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d5ddfe8477b10/Personal/Investing/Aarvi/Arbitrage/"/>
    </mc:Choice>
  </mc:AlternateContent>
  <xr:revisionPtr revIDLastSave="468" documentId="8_{8237E50F-1615-47AB-A353-CB8D2F23C11D}" xr6:coauthVersionLast="47" xr6:coauthVersionMax="47" xr10:uidLastSave="{DD92FAE4-022C-4F8A-8E09-579AD5D3F0F3}"/>
  <bookViews>
    <workbookView xWindow="-98" yWindow="-98" windowWidth="21795" windowHeight="12975" activeTab="2" xr2:uid="{A8F3D41B-605B-47FA-BD23-E0325DEC4187}"/>
  </bookViews>
  <sheets>
    <sheet name="InPru vs KSB" sheetId="1" r:id="rId1"/>
    <sheet name="Entry Simulation" sheetId="2" r:id="rId2"/>
    <sheet name="Exit 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9" i="3"/>
  <c r="E36" i="3" l="1"/>
  <c r="E20" i="2"/>
  <c r="D19" i="3" l="1"/>
  <c r="F19" i="3" s="1"/>
  <c r="N18" i="3"/>
  <c r="L18" i="3"/>
  <c r="N17" i="3"/>
  <c r="L17" i="3"/>
  <c r="N16" i="3"/>
  <c r="L16" i="3"/>
  <c r="N15" i="3"/>
  <c r="L15" i="3"/>
  <c r="B15" i="3"/>
  <c r="B16" i="3" s="1"/>
  <c r="B17" i="3" s="1"/>
  <c r="B18" i="3" s="1"/>
  <c r="N14" i="3"/>
  <c r="L14" i="3"/>
  <c r="N13" i="3"/>
  <c r="L13" i="3"/>
  <c r="B14" i="3"/>
  <c r="D9" i="3"/>
  <c r="N8" i="3"/>
  <c r="L8" i="3"/>
  <c r="H8" i="3"/>
  <c r="N7" i="3"/>
  <c r="L7" i="3"/>
  <c r="H7" i="3"/>
  <c r="N6" i="3"/>
  <c r="L6" i="3"/>
  <c r="H6" i="3"/>
  <c r="N5" i="3"/>
  <c r="L5" i="3"/>
  <c r="H5" i="3"/>
  <c r="N4" i="3"/>
  <c r="L4" i="3" s="1"/>
  <c r="H4" i="3"/>
  <c r="B4" i="3"/>
  <c r="B5" i="3" s="1"/>
  <c r="B6" i="3" s="1"/>
  <c r="B7" i="3" s="1"/>
  <c r="B8" i="3" s="1"/>
  <c r="N3" i="3"/>
  <c r="F3" i="3"/>
  <c r="H3" i="3" s="1"/>
  <c r="H9" i="3" s="1"/>
  <c r="H18" i="3" s="1"/>
  <c r="B4" i="2"/>
  <c r="B5" i="2" s="1"/>
  <c r="B6" i="2" s="1"/>
  <c r="B7" i="2" s="1"/>
  <c r="B8" i="2" s="1"/>
  <c r="D9" i="2"/>
  <c r="N8" i="2"/>
  <c r="L8" i="2" s="1"/>
  <c r="H8" i="2"/>
  <c r="N7" i="2"/>
  <c r="L7" i="2" s="1"/>
  <c r="H7" i="2"/>
  <c r="N6" i="2"/>
  <c r="L6" i="2" s="1"/>
  <c r="H6" i="2"/>
  <c r="N5" i="2"/>
  <c r="L5" i="2" s="1"/>
  <c r="H5" i="2"/>
  <c r="H4" i="2"/>
  <c r="N4" i="2"/>
  <c r="L4" i="2" s="1"/>
  <c r="N3" i="2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3" i="1"/>
  <c r="H611" i="1"/>
  <c r="H610" i="1"/>
  <c r="H609" i="1"/>
  <c r="H589" i="1"/>
  <c r="H588" i="1"/>
  <c r="H587" i="1"/>
  <c r="H567" i="1"/>
  <c r="H566" i="1"/>
  <c r="H565" i="1"/>
  <c r="H545" i="1"/>
  <c r="H544" i="1"/>
  <c r="H543" i="1"/>
  <c r="H523" i="1"/>
  <c r="H522" i="1"/>
  <c r="H521" i="1"/>
  <c r="H501" i="1"/>
  <c r="H500" i="1"/>
  <c r="H499" i="1"/>
  <c r="H497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498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14" i="3" l="1"/>
  <c r="H15" i="3"/>
  <c r="H16" i="3"/>
  <c r="H17" i="3"/>
  <c r="J9" i="3"/>
  <c r="L3" i="3"/>
  <c r="F9" i="3"/>
  <c r="F9" i="2"/>
  <c r="C12" i="2" s="1"/>
  <c r="H3" i="2"/>
  <c r="L3" i="2"/>
  <c r="N1222" i="1"/>
  <c r="N1002" i="1"/>
  <c r="N1068" i="1"/>
  <c r="N650" i="1"/>
  <c r="N672" i="1"/>
  <c r="N716" i="1"/>
  <c r="N738" i="1"/>
  <c r="N1024" i="1"/>
  <c r="N1134" i="1"/>
  <c r="N694" i="1"/>
  <c r="N1090" i="1"/>
  <c r="N936" i="1"/>
  <c r="N1112" i="1"/>
  <c r="N848" i="1"/>
  <c r="N958" i="1"/>
  <c r="N1200" i="1"/>
  <c r="N647" i="1"/>
  <c r="N648" i="1"/>
  <c r="N670" i="1"/>
  <c r="N33" i="1"/>
  <c r="N760" i="1"/>
  <c r="N452" i="1"/>
  <c r="N474" i="1"/>
  <c r="N386" i="1"/>
  <c r="N1244" i="1"/>
  <c r="N994" i="1"/>
  <c r="N1060" i="1"/>
  <c r="N1104" i="1"/>
  <c r="N1192" i="1"/>
  <c r="N1236" i="1"/>
  <c r="N997" i="1"/>
  <c r="N954" i="1"/>
  <c r="N998" i="1"/>
  <c r="N1020" i="1"/>
  <c r="N1064" i="1"/>
  <c r="N1196" i="1"/>
  <c r="N1218" i="1"/>
  <c r="N1240" i="1"/>
  <c r="N1000" i="1"/>
  <c r="N1022" i="1"/>
  <c r="N1066" i="1"/>
  <c r="N1110" i="1"/>
  <c r="N1132" i="1"/>
  <c r="N1198" i="1"/>
  <c r="N1242" i="1"/>
  <c r="N862" i="1"/>
  <c r="N840" i="1"/>
  <c r="N844" i="1"/>
  <c r="N866" i="1"/>
  <c r="N888" i="1"/>
  <c r="N712" i="1"/>
  <c r="N756" i="1"/>
  <c r="N735" i="1"/>
  <c r="N757" i="1"/>
  <c r="N846" i="1"/>
  <c r="N890" i="1"/>
  <c r="N912" i="1"/>
  <c r="N934" i="1"/>
  <c r="N736" i="1"/>
  <c r="N758" i="1"/>
  <c r="N496" i="1"/>
  <c r="N624" i="1"/>
  <c r="N691" i="1"/>
  <c r="N692" i="1"/>
  <c r="N4" i="1"/>
  <c r="N1241" i="1"/>
  <c r="N601" i="1"/>
  <c r="N1220" i="1"/>
  <c r="N602" i="1"/>
  <c r="N779" i="1"/>
  <c r="N780" i="1"/>
  <c r="N802" i="1"/>
  <c r="N868" i="1"/>
  <c r="N782" i="1"/>
  <c r="N804" i="1"/>
  <c r="N870" i="1"/>
  <c r="N558" i="1"/>
  <c r="N536" i="1"/>
  <c r="N470" i="1"/>
  <c r="N668" i="1"/>
  <c r="N360" i="1"/>
  <c r="N382" i="1"/>
  <c r="N228" i="1"/>
  <c r="N3" i="1"/>
  <c r="T31" i="1" s="1"/>
  <c r="U31" i="1" s="1"/>
  <c r="N933" i="1"/>
  <c r="N1065" i="1"/>
  <c r="N1131" i="1"/>
  <c r="N598" i="1"/>
  <c r="N514" i="1"/>
  <c r="N515" i="1"/>
  <c r="N559" i="1"/>
  <c r="N516" i="1"/>
  <c r="N538" i="1"/>
  <c r="N560" i="1"/>
  <c r="N582" i="1"/>
  <c r="N604" i="1"/>
  <c r="N626" i="1"/>
  <c r="N518" i="1"/>
  <c r="N540" i="1"/>
  <c r="N584" i="1"/>
  <c r="N606" i="1"/>
  <c r="N628" i="1"/>
  <c r="N427" i="1"/>
  <c r="N449" i="1"/>
  <c r="N493" i="1"/>
  <c r="N399" i="1"/>
  <c r="N400" i="1"/>
  <c r="N444" i="1"/>
  <c r="N466" i="1"/>
  <c r="N488" i="1"/>
  <c r="N402" i="1"/>
  <c r="N426" i="1"/>
  <c r="N448" i="1"/>
  <c r="N492" i="1"/>
  <c r="N406" i="1"/>
  <c r="N428" i="1"/>
  <c r="N450" i="1"/>
  <c r="N472" i="1"/>
  <c r="N494" i="1"/>
  <c r="N334" i="1"/>
  <c r="N293" i="1"/>
  <c r="N9" i="1"/>
  <c r="N75" i="1"/>
  <c r="N119" i="1"/>
  <c r="N207" i="1"/>
  <c r="N295" i="1"/>
  <c r="N317" i="1"/>
  <c r="N339" i="1"/>
  <c r="N361" i="1"/>
  <c r="N10" i="1"/>
  <c r="N54" i="1"/>
  <c r="N76" i="1"/>
  <c r="N98" i="1"/>
  <c r="N120" i="1"/>
  <c r="N164" i="1"/>
  <c r="N208" i="1"/>
  <c r="N230" i="1"/>
  <c r="N274" i="1"/>
  <c r="N296" i="1"/>
  <c r="N318" i="1"/>
  <c r="N340" i="1"/>
  <c r="N362" i="1"/>
  <c r="N92" i="1"/>
  <c r="N336" i="1"/>
  <c r="N294" i="1"/>
  <c r="N97" i="1"/>
  <c r="N11" i="1"/>
  <c r="N55" i="1"/>
  <c r="N77" i="1"/>
  <c r="N99" i="1"/>
  <c r="N121" i="1"/>
  <c r="N12" i="1"/>
  <c r="N34" i="1"/>
  <c r="N56" i="1"/>
  <c r="N100" i="1"/>
  <c r="N122" i="1"/>
  <c r="N144" i="1"/>
  <c r="N166" i="1"/>
  <c r="N188" i="1"/>
  <c r="N210" i="1"/>
  <c r="N232" i="1"/>
  <c r="N254" i="1"/>
  <c r="N276" i="1"/>
  <c r="N298" i="1"/>
  <c r="N320" i="1"/>
  <c r="N342" i="1"/>
  <c r="N364" i="1"/>
  <c r="N245" i="1"/>
  <c r="N26" i="1"/>
  <c r="N48" i="1"/>
  <c r="N70" i="1"/>
  <c r="N114" i="1"/>
  <c r="N44" i="1"/>
  <c r="N1037" i="1"/>
  <c r="N1082" i="1"/>
  <c r="N775" i="1"/>
  <c r="N1018" i="1"/>
  <c r="N975" i="1"/>
  <c r="N976" i="1"/>
  <c r="N999" i="1"/>
  <c r="N978" i="1"/>
  <c r="N136" i="1"/>
  <c r="N158" i="1"/>
  <c r="N180" i="1"/>
  <c r="N202" i="1"/>
  <c r="N224" i="1"/>
  <c r="N246" i="1"/>
  <c r="N268" i="1"/>
  <c r="N290" i="1"/>
  <c r="N312" i="1"/>
  <c r="N356" i="1"/>
  <c r="N378" i="1"/>
  <c r="N422" i="1"/>
  <c r="N510" i="1"/>
  <c r="N532" i="1"/>
  <c r="N554" i="1"/>
  <c r="N576" i="1"/>
  <c r="N620" i="1"/>
  <c r="N642" i="1"/>
  <c r="N664" i="1"/>
  <c r="N686" i="1"/>
  <c r="N708" i="1"/>
  <c r="N730" i="1"/>
  <c r="N752" i="1"/>
  <c r="N774" i="1"/>
  <c r="N884" i="1"/>
  <c r="N906" i="1"/>
  <c r="N928" i="1"/>
  <c r="N950" i="1"/>
  <c r="N972" i="1"/>
  <c r="N1016" i="1"/>
  <c r="N1038" i="1"/>
  <c r="N577" i="1"/>
  <c r="N72" i="1"/>
  <c r="N138" i="1"/>
  <c r="N248" i="1"/>
  <c r="N578" i="1"/>
  <c r="N644" i="1"/>
  <c r="N776" i="1"/>
  <c r="N73" i="1"/>
  <c r="N403" i="1"/>
  <c r="N557" i="1"/>
  <c r="N645" i="1"/>
  <c r="N953" i="1"/>
  <c r="N8" i="1"/>
  <c r="N30" i="1"/>
  <c r="N52" i="1"/>
  <c r="N74" i="1"/>
  <c r="N96" i="1"/>
  <c r="N118" i="1"/>
  <c r="N140" i="1"/>
  <c r="N162" i="1"/>
  <c r="N184" i="1"/>
  <c r="N206" i="1"/>
  <c r="N250" i="1"/>
  <c r="N272" i="1"/>
  <c r="N316" i="1"/>
  <c r="N338" i="1"/>
  <c r="N404" i="1"/>
  <c r="N580" i="1"/>
  <c r="N646" i="1"/>
  <c r="N690" i="1"/>
  <c r="N734" i="1"/>
  <c r="N910" i="1"/>
  <c r="N932" i="1"/>
  <c r="N911" i="1"/>
  <c r="N955" i="1"/>
  <c r="N977" i="1"/>
  <c r="N956" i="1"/>
  <c r="N1214" i="1"/>
  <c r="N1170" i="1"/>
  <c r="N1152" i="1"/>
  <c r="N1174" i="1"/>
  <c r="N1175" i="1"/>
  <c r="N1154" i="1"/>
  <c r="N1176" i="1"/>
  <c r="N1156" i="1"/>
  <c r="N1178" i="1"/>
  <c r="N1126" i="1"/>
  <c r="N1148" i="1"/>
  <c r="N1108" i="1"/>
  <c r="N1130" i="1"/>
  <c r="N1042" i="1"/>
  <c r="N1086" i="1"/>
  <c r="N1087" i="1"/>
  <c r="N1044" i="1"/>
  <c r="N1088" i="1"/>
  <c r="N980" i="1"/>
  <c r="N796" i="1"/>
  <c r="N818" i="1"/>
  <c r="N821" i="1"/>
  <c r="N778" i="1"/>
  <c r="N800" i="1"/>
  <c r="N822" i="1"/>
  <c r="N801" i="1"/>
  <c r="N823" i="1"/>
  <c r="N824" i="1"/>
  <c r="N826" i="1"/>
  <c r="N251" i="1"/>
  <c r="N32" i="1"/>
  <c r="N142" i="1"/>
  <c r="N186" i="1"/>
  <c r="N252" i="1"/>
  <c r="N384" i="1"/>
  <c r="N714" i="1"/>
  <c r="N63" i="1"/>
  <c r="N151" i="1"/>
  <c r="N217" i="1"/>
  <c r="N349" i="1"/>
  <c r="N481" i="1"/>
  <c r="N503" i="1"/>
  <c r="N679" i="1"/>
  <c r="N701" i="1"/>
  <c r="N723" i="1"/>
  <c r="N877" i="1"/>
  <c r="N1185" i="1"/>
  <c r="N174" i="1"/>
  <c r="N218" i="1"/>
  <c r="N306" i="1"/>
  <c r="N328" i="1"/>
  <c r="N680" i="1"/>
  <c r="N724" i="1"/>
  <c r="N812" i="1"/>
  <c r="N966" i="1"/>
  <c r="N1231" i="1"/>
  <c r="N327" i="1"/>
  <c r="N657" i="1"/>
  <c r="N21" i="1"/>
  <c r="N87" i="1"/>
  <c r="N109" i="1"/>
  <c r="N153" i="1"/>
  <c r="N175" i="1"/>
  <c r="N329" i="1"/>
  <c r="N373" i="1"/>
  <c r="N527" i="1"/>
  <c r="N549" i="1"/>
  <c r="N571" i="1"/>
  <c r="N593" i="1"/>
  <c r="N659" i="1"/>
  <c r="N725" i="1"/>
  <c r="N813" i="1"/>
  <c r="N857" i="1"/>
  <c r="N879" i="1"/>
  <c r="N901" i="1"/>
  <c r="N923" i="1"/>
  <c r="N1011" i="1"/>
  <c r="N1033" i="1"/>
  <c r="N1143" i="1"/>
  <c r="N1165" i="1"/>
  <c r="N1209" i="1"/>
  <c r="N22" i="1"/>
  <c r="N176" i="1"/>
  <c r="N23" i="1"/>
  <c r="N45" i="1"/>
  <c r="N67" i="1"/>
  <c r="N89" i="1"/>
  <c r="N111" i="1"/>
  <c r="N133" i="1"/>
  <c r="N199" i="1"/>
  <c r="N221" i="1"/>
  <c r="N331" i="1"/>
  <c r="N375" i="1"/>
  <c r="N441" i="1"/>
  <c r="N507" i="1"/>
  <c r="N551" i="1"/>
  <c r="N595" i="1"/>
  <c r="N683" i="1"/>
  <c r="N727" i="1"/>
  <c r="N771" i="1"/>
  <c r="N859" i="1"/>
  <c r="N925" i="1"/>
  <c r="N969" i="1"/>
  <c r="N1013" i="1"/>
  <c r="N1101" i="1"/>
  <c r="N1189" i="1"/>
  <c r="N198" i="1"/>
  <c r="N220" i="1"/>
  <c r="N242" i="1"/>
  <c r="N264" i="1"/>
  <c r="N374" i="1"/>
  <c r="N484" i="1"/>
  <c r="N528" i="1"/>
  <c r="N594" i="1"/>
  <c r="N616" i="1"/>
  <c r="N704" i="1"/>
  <c r="N726" i="1"/>
  <c r="N880" i="1"/>
  <c r="N924" i="1"/>
  <c r="N968" i="1"/>
  <c r="N1012" i="1"/>
  <c r="N1210" i="1"/>
  <c r="N243" i="1"/>
  <c r="N353" i="1"/>
  <c r="N419" i="1"/>
  <c r="N463" i="1"/>
  <c r="N485" i="1"/>
  <c r="N529" i="1"/>
  <c r="N573" i="1"/>
  <c r="N705" i="1"/>
  <c r="N749" i="1"/>
  <c r="N815" i="1"/>
  <c r="N903" i="1"/>
  <c r="N947" i="1"/>
  <c r="N991" i="1"/>
  <c r="N1057" i="1"/>
  <c r="N1167" i="1"/>
  <c r="N1233" i="1"/>
  <c r="N58" i="1"/>
  <c r="N103" i="1"/>
  <c r="N301" i="1"/>
  <c r="N1203" i="1"/>
  <c r="N322" i="1"/>
  <c r="N520" i="1"/>
  <c r="N37" i="1"/>
  <c r="N59" i="1"/>
  <c r="N81" i="1"/>
  <c r="N125" i="1"/>
  <c r="N147" i="1"/>
  <c r="N213" i="1"/>
  <c r="N235" i="1"/>
  <c r="N257" i="1"/>
  <c r="N279" i="1"/>
  <c r="N323" i="1"/>
  <c r="N345" i="1"/>
  <c r="N389" i="1"/>
  <c r="N411" i="1"/>
  <c r="N433" i="1"/>
  <c r="N455" i="1"/>
  <c r="N521" i="1"/>
  <c r="N543" i="1"/>
  <c r="N587" i="1"/>
  <c r="N609" i="1"/>
  <c r="N631" i="1"/>
  <c r="N653" i="1"/>
  <c r="N675" i="1"/>
  <c r="N719" i="1"/>
  <c r="N741" i="1"/>
  <c r="N807" i="1"/>
  <c r="N829" i="1"/>
  <c r="N851" i="1"/>
  <c r="N917" i="1"/>
  <c r="N939" i="1"/>
  <c r="N983" i="1"/>
  <c r="N1005" i="1"/>
  <c r="N1027" i="1"/>
  <c r="N1049" i="1"/>
  <c r="N1071" i="1"/>
  <c r="N1093" i="1"/>
  <c r="N1115" i="1"/>
  <c r="N1137" i="1"/>
  <c r="N1159" i="1"/>
  <c r="N1181" i="1"/>
  <c r="N1225" i="1"/>
  <c r="N62" i="1"/>
  <c r="N150" i="1"/>
  <c r="N304" i="1"/>
  <c r="N876" i="1"/>
  <c r="N1140" i="1"/>
  <c r="N13" i="1"/>
  <c r="N35" i="1"/>
  <c r="N57" i="1"/>
  <c r="N79" i="1"/>
  <c r="N101" i="1"/>
  <c r="N123" i="1"/>
  <c r="N145" i="1"/>
  <c r="N167" i="1"/>
  <c r="N189" i="1"/>
  <c r="N211" i="1"/>
  <c r="N233" i="1"/>
  <c r="N255" i="1"/>
  <c r="N277" i="1"/>
  <c r="N299" i="1"/>
  <c r="N321" i="1"/>
  <c r="N343" i="1"/>
  <c r="N365" i="1"/>
  <c r="N387" i="1"/>
  <c r="N409" i="1"/>
  <c r="N431" i="1"/>
  <c r="N453" i="1"/>
  <c r="N475" i="1"/>
  <c r="N497" i="1"/>
  <c r="N519" i="1"/>
  <c r="N418" i="1"/>
  <c r="N541" i="1"/>
  <c r="N563" i="1"/>
  <c r="N585" i="1"/>
  <c r="N607" i="1"/>
  <c r="N629" i="1"/>
  <c r="N651" i="1"/>
  <c r="N673" i="1"/>
  <c r="N695" i="1"/>
  <c r="N717" i="1"/>
  <c r="N739" i="1"/>
  <c r="N761" i="1"/>
  <c r="N783" i="1"/>
  <c r="N805" i="1"/>
  <c r="N827" i="1"/>
  <c r="N849" i="1"/>
  <c r="N871" i="1"/>
  <c r="N893" i="1"/>
  <c r="N915" i="1"/>
  <c r="N937" i="1"/>
  <c r="N959" i="1"/>
  <c r="N981" i="1"/>
  <c r="N1003" i="1"/>
  <c r="N1025" i="1"/>
  <c r="N1047" i="1"/>
  <c r="N1069" i="1"/>
  <c r="N1091" i="1"/>
  <c r="N1113" i="1"/>
  <c r="N1135" i="1"/>
  <c r="N1157" i="1"/>
  <c r="N1179" i="1"/>
  <c r="N1201" i="1"/>
  <c r="N1223" i="1"/>
  <c r="N46" i="1"/>
  <c r="N68" i="1"/>
  <c r="N90" i="1"/>
  <c r="N112" i="1"/>
  <c r="N134" i="1"/>
  <c r="N178" i="1"/>
  <c r="N200" i="1"/>
  <c r="N222" i="1"/>
  <c r="N288" i="1"/>
  <c r="N310" i="1"/>
  <c r="N332" i="1"/>
  <c r="N354" i="1"/>
  <c r="N376" i="1"/>
  <c r="N398" i="1"/>
  <c r="N420" i="1"/>
  <c r="N442" i="1"/>
  <c r="N530" i="1"/>
  <c r="N552" i="1"/>
  <c r="N574" i="1"/>
  <c r="N596" i="1"/>
  <c r="N618" i="1"/>
  <c r="N662" i="1"/>
  <c r="N684" i="1"/>
  <c r="N706" i="1"/>
  <c r="N750" i="1"/>
  <c r="N772" i="1"/>
  <c r="N794" i="1"/>
  <c r="N816" i="1"/>
  <c r="N860" i="1"/>
  <c r="N882" i="1"/>
  <c r="N904" i="1"/>
  <c r="N926" i="1"/>
  <c r="N948" i="1"/>
  <c r="N1014" i="1"/>
  <c r="N1058" i="1"/>
  <c r="N1080" i="1"/>
  <c r="N1102" i="1"/>
  <c r="N1146" i="1"/>
  <c r="N1168" i="1"/>
  <c r="N1234" i="1"/>
  <c r="N14" i="1"/>
  <c r="N223" i="1"/>
  <c r="N421" i="1"/>
  <c r="N597" i="1"/>
  <c r="N619" i="1"/>
  <c r="N993" i="1"/>
  <c r="N1015" i="1"/>
  <c r="N93" i="1"/>
  <c r="N137" i="1"/>
  <c r="N247" i="1"/>
  <c r="N401" i="1"/>
  <c r="N445" i="1"/>
  <c r="N489" i="1"/>
  <c r="N599" i="1"/>
  <c r="N643" i="1"/>
  <c r="N687" i="1"/>
  <c r="N797" i="1"/>
  <c r="N1039" i="1"/>
  <c r="N1105" i="1"/>
  <c r="N1171" i="1"/>
  <c r="N1215" i="1"/>
  <c r="N94" i="1"/>
  <c r="N160" i="1"/>
  <c r="N468" i="1"/>
  <c r="N666" i="1"/>
  <c r="N798" i="1"/>
  <c r="N886" i="1"/>
  <c r="N974" i="1"/>
  <c r="N1040" i="1"/>
  <c r="N1128" i="1"/>
  <c r="N139" i="1"/>
  <c r="N425" i="1"/>
  <c r="N579" i="1"/>
  <c r="N623" i="1"/>
  <c r="N755" i="1"/>
  <c r="N1217" i="1"/>
  <c r="N209" i="1"/>
  <c r="N5" i="1"/>
  <c r="N115" i="1"/>
  <c r="N335" i="1"/>
  <c r="N379" i="1"/>
  <c r="N467" i="1"/>
  <c r="N885" i="1"/>
  <c r="N973" i="1"/>
  <c r="N1061" i="1"/>
  <c r="N1127" i="1"/>
  <c r="N1193" i="1"/>
  <c r="N6" i="1"/>
  <c r="N182" i="1"/>
  <c r="N270" i="1"/>
  <c r="N446" i="1"/>
  <c r="N534" i="1"/>
  <c r="N732" i="1"/>
  <c r="N820" i="1"/>
  <c r="N1062" i="1"/>
  <c r="N1106" i="1"/>
  <c r="N117" i="1"/>
  <c r="N249" i="1"/>
  <c r="N381" i="1"/>
  <c r="N1129" i="1"/>
  <c r="N36" i="1"/>
  <c r="N80" i="1"/>
  <c r="N102" i="1"/>
  <c r="N124" i="1"/>
  <c r="N146" i="1"/>
  <c r="N168" i="1"/>
  <c r="N190" i="1"/>
  <c r="N212" i="1"/>
  <c r="N234" i="1"/>
  <c r="N256" i="1"/>
  <c r="N278" i="1"/>
  <c r="N300" i="1"/>
  <c r="N344" i="1"/>
  <c r="N366" i="1"/>
  <c r="N388" i="1"/>
  <c r="N410" i="1"/>
  <c r="N432" i="1"/>
  <c r="N454" i="1"/>
  <c r="N476" i="1"/>
  <c r="N498" i="1"/>
  <c r="N542" i="1"/>
  <c r="N564" i="1"/>
  <c r="N586" i="1"/>
  <c r="N608" i="1"/>
  <c r="N630" i="1"/>
  <c r="N652" i="1"/>
  <c r="N674" i="1"/>
  <c r="N696" i="1"/>
  <c r="N718" i="1"/>
  <c r="N740" i="1"/>
  <c r="N762" i="1"/>
  <c r="N784" i="1"/>
  <c r="N806" i="1"/>
  <c r="N828" i="1"/>
  <c r="N850" i="1"/>
  <c r="N872" i="1"/>
  <c r="N894" i="1"/>
  <c r="N916" i="1"/>
  <c r="N938" i="1"/>
  <c r="N960" i="1"/>
  <c r="N982" i="1"/>
  <c r="N1004" i="1"/>
  <c r="N1026" i="1"/>
  <c r="N1048" i="1"/>
  <c r="N1070" i="1"/>
  <c r="N1092" i="1"/>
  <c r="N1114" i="1"/>
  <c r="N1136" i="1"/>
  <c r="N1158" i="1"/>
  <c r="N1180" i="1"/>
  <c r="N1202" i="1"/>
  <c r="N1224" i="1"/>
  <c r="N499" i="1"/>
  <c r="N785" i="1"/>
  <c r="N873" i="1"/>
  <c r="N895" i="1"/>
  <c r="N16" i="1"/>
  <c r="N38" i="1"/>
  <c r="N60" i="1"/>
  <c r="N82" i="1"/>
  <c r="N104" i="1"/>
  <c r="N126" i="1"/>
  <c r="N148" i="1"/>
  <c r="N170" i="1"/>
  <c r="N192" i="1"/>
  <c r="N214" i="1"/>
  <c r="N236" i="1"/>
  <c r="N258" i="1"/>
  <c r="N280" i="1"/>
  <c r="N302" i="1"/>
  <c r="N324" i="1"/>
  <c r="N346" i="1"/>
  <c r="N368" i="1"/>
  <c r="N390" i="1"/>
  <c r="N412" i="1"/>
  <c r="N434" i="1"/>
  <c r="N456" i="1"/>
  <c r="N478" i="1"/>
  <c r="N500" i="1"/>
  <c r="N522" i="1"/>
  <c r="N544" i="1"/>
  <c r="N566" i="1"/>
  <c r="N588" i="1"/>
  <c r="N610" i="1"/>
  <c r="N632" i="1"/>
  <c r="N654" i="1"/>
  <c r="N676" i="1"/>
  <c r="N698" i="1"/>
  <c r="N720" i="1"/>
  <c r="N742" i="1"/>
  <c r="N764" i="1"/>
  <c r="N786" i="1"/>
  <c r="N808" i="1"/>
  <c r="N830" i="1"/>
  <c r="N852" i="1"/>
  <c r="N874" i="1"/>
  <c r="N896" i="1"/>
  <c r="N918" i="1"/>
  <c r="N940" i="1"/>
  <c r="N962" i="1"/>
  <c r="N984" i="1"/>
  <c r="N1006" i="1"/>
  <c r="N1028" i="1"/>
  <c r="N1050" i="1"/>
  <c r="N1072" i="1"/>
  <c r="N1094" i="1"/>
  <c r="N1116" i="1"/>
  <c r="N1138" i="1"/>
  <c r="N1160" i="1"/>
  <c r="N1182" i="1"/>
  <c r="N1204" i="1"/>
  <c r="N1226" i="1"/>
  <c r="N17" i="1"/>
  <c r="N39" i="1"/>
  <c r="N61" i="1"/>
  <c r="N83" i="1"/>
  <c r="N105" i="1"/>
  <c r="N127" i="1"/>
  <c r="N149" i="1"/>
  <c r="N171" i="1"/>
  <c r="N193" i="1"/>
  <c r="N215" i="1"/>
  <c r="N237" i="1"/>
  <c r="N259" i="1"/>
  <c r="N281" i="1"/>
  <c r="N303" i="1"/>
  <c r="N325" i="1"/>
  <c r="N347" i="1"/>
  <c r="N369" i="1"/>
  <c r="N391" i="1"/>
  <c r="N413" i="1"/>
  <c r="N435" i="1"/>
  <c r="N457" i="1"/>
  <c r="N479" i="1"/>
  <c r="N501" i="1"/>
  <c r="N523" i="1"/>
  <c r="N545" i="1"/>
  <c r="N567" i="1"/>
  <c r="N589" i="1"/>
  <c r="N611" i="1"/>
  <c r="N633" i="1"/>
  <c r="N655" i="1"/>
  <c r="N677" i="1"/>
  <c r="N699" i="1"/>
  <c r="N721" i="1"/>
  <c r="N743" i="1"/>
  <c r="N765" i="1"/>
  <c r="N787" i="1"/>
  <c r="N809" i="1"/>
  <c r="N831" i="1"/>
  <c r="N853" i="1"/>
  <c r="N875" i="1"/>
  <c r="N941" i="1"/>
  <c r="N1036" i="1"/>
  <c r="N1190" i="1"/>
  <c r="N897" i="1"/>
  <c r="N919" i="1"/>
  <c r="N985" i="1"/>
  <c r="N1029" i="1"/>
  <c r="N1073" i="1"/>
  <c r="N1095" i="1"/>
  <c r="N1139" i="1"/>
  <c r="N1183" i="1"/>
  <c r="N1227" i="1"/>
  <c r="N40" i="1"/>
  <c r="N106" i="1"/>
  <c r="N172" i="1"/>
  <c r="N216" i="1"/>
  <c r="N260" i="1"/>
  <c r="N282" i="1"/>
  <c r="N348" i="1"/>
  <c r="N370" i="1"/>
  <c r="N414" i="1"/>
  <c r="N458" i="1"/>
  <c r="N502" i="1"/>
  <c r="N546" i="1"/>
  <c r="N590" i="1"/>
  <c r="N634" i="1"/>
  <c r="N678" i="1"/>
  <c r="N744" i="1"/>
  <c r="N788" i="1"/>
  <c r="N832" i="1"/>
  <c r="N898" i="1"/>
  <c r="N942" i="1"/>
  <c r="N986" i="1"/>
  <c r="N1052" i="1"/>
  <c r="N1096" i="1"/>
  <c r="N1162" i="1"/>
  <c r="N1206" i="1"/>
  <c r="N20" i="1"/>
  <c r="N240" i="1"/>
  <c r="N394" i="1"/>
  <c r="N504" i="1"/>
  <c r="N658" i="1"/>
  <c r="N834" i="1"/>
  <c r="N1142" i="1"/>
  <c r="N88" i="1"/>
  <c r="N154" i="1"/>
  <c r="N330" i="1"/>
  <c r="N1056" i="1"/>
  <c r="N963" i="1"/>
  <c r="N1007" i="1"/>
  <c r="N1051" i="1"/>
  <c r="N1117" i="1"/>
  <c r="N1161" i="1"/>
  <c r="N1205" i="1"/>
  <c r="N18" i="1"/>
  <c r="N84" i="1"/>
  <c r="N128" i="1"/>
  <c r="N194" i="1"/>
  <c r="N238" i="1"/>
  <c r="N326" i="1"/>
  <c r="N392" i="1"/>
  <c r="N436" i="1"/>
  <c r="N480" i="1"/>
  <c r="N524" i="1"/>
  <c r="N568" i="1"/>
  <c r="N612" i="1"/>
  <c r="N656" i="1"/>
  <c r="N700" i="1"/>
  <c r="N722" i="1"/>
  <c r="N766" i="1"/>
  <c r="N810" i="1"/>
  <c r="N854" i="1"/>
  <c r="N920" i="1"/>
  <c r="N964" i="1"/>
  <c r="N1008" i="1"/>
  <c r="N1030" i="1"/>
  <c r="N1074" i="1"/>
  <c r="N1118" i="1"/>
  <c r="N1184" i="1"/>
  <c r="N1228" i="1"/>
  <c r="N42" i="1"/>
  <c r="N108" i="1"/>
  <c r="N350" i="1"/>
  <c r="N482" i="1"/>
  <c r="N526" i="1"/>
  <c r="N570" i="1"/>
  <c r="N922" i="1"/>
  <c r="N1054" i="1"/>
  <c r="N1164" i="1"/>
  <c r="N66" i="1"/>
  <c r="N110" i="1"/>
  <c r="N132" i="1"/>
  <c r="N286" i="1"/>
  <c r="N308" i="1"/>
  <c r="N352" i="1"/>
  <c r="N396" i="1"/>
  <c r="N440" i="1"/>
  <c r="N462" i="1"/>
  <c r="N506" i="1"/>
  <c r="N550" i="1"/>
  <c r="N572" i="1"/>
  <c r="N638" i="1"/>
  <c r="N660" i="1"/>
  <c r="N682" i="1"/>
  <c r="N748" i="1"/>
  <c r="N770" i="1"/>
  <c r="N792" i="1"/>
  <c r="N814" i="1"/>
  <c r="N836" i="1"/>
  <c r="N858" i="1"/>
  <c r="N902" i="1"/>
  <c r="N946" i="1"/>
  <c r="N990" i="1"/>
  <c r="N1034" i="1"/>
  <c r="N1078" i="1"/>
  <c r="N1100" i="1"/>
  <c r="N1122" i="1"/>
  <c r="N1144" i="1"/>
  <c r="N1166" i="1"/>
  <c r="N1188" i="1"/>
  <c r="N1232" i="1"/>
  <c r="N15" i="1"/>
  <c r="N191" i="1"/>
  <c r="N367" i="1"/>
  <c r="N697" i="1"/>
  <c r="N763" i="1"/>
  <c r="N961" i="1"/>
  <c r="N185" i="1"/>
  <c r="N197" i="1"/>
  <c r="N241" i="1"/>
  <c r="N263" i="1"/>
  <c r="N285" i="1"/>
  <c r="N351" i="1"/>
  <c r="N395" i="1"/>
  <c r="N417" i="1"/>
  <c r="N439" i="1"/>
  <c r="N835" i="1"/>
  <c r="N989" i="1"/>
  <c r="N1055" i="1"/>
  <c r="N1077" i="1"/>
  <c r="N265" i="1"/>
  <c r="N287" i="1"/>
  <c r="N1211" i="1"/>
  <c r="N169" i="1"/>
  <c r="N477" i="1"/>
  <c r="N565" i="1"/>
  <c r="N43" i="1"/>
  <c r="N24" i="1"/>
  <c r="N156" i="1"/>
  <c r="N244" i="1"/>
  <c r="N266" i="1"/>
  <c r="N464" i="1"/>
  <c r="N486" i="1"/>
  <c r="N508" i="1"/>
  <c r="N838" i="1"/>
  <c r="N25" i="1"/>
  <c r="N47" i="1"/>
  <c r="N69" i="1"/>
  <c r="N91" i="1"/>
  <c r="N113" i="1"/>
  <c r="N135" i="1"/>
  <c r="N157" i="1"/>
  <c r="N179" i="1"/>
  <c r="N201" i="1"/>
  <c r="N267" i="1"/>
  <c r="N289" i="1"/>
  <c r="N311" i="1"/>
  <c r="N333" i="1"/>
  <c r="N355" i="1"/>
  <c r="N377" i="1"/>
  <c r="N443" i="1"/>
  <c r="N465" i="1"/>
  <c r="N487" i="1"/>
  <c r="N509" i="1"/>
  <c r="N531" i="1"/>
  <c r="N553" i="1"/>
  <c r="N575" i="1"/>
  <c r="N641" i="1"/>
  <c r="N663" i="1"/>
  <c r="N685" i="1"/>
  <c r="N707" i="1"/>
  <c r="N729" i="1"/>
  <c r="N751" i="1"/>
  <c r="N773" i="1"/>
  <c r="N795" i="1"/>
  <c r="N817" i="1"/>
  <c r="N839" i="1"/>
  <c r="N861" i="1"/>
  <c r="N883" i="1"/>
  <c r="N905" i="1"/>
  <c r="N927" i="1"/>
  <c r="N949" i="1"/>
  <c r="N971" i="1"/>
  <c r="N1059" i="1"/>
  <c r="N1081" i="1"/>
  <c r="N1103" i="1"/>
  <c r="N1125" i="1"/>
  <c r="N1147" i="1"/>
  <c r="N1169" i="1"/>
  <c r="N1191" i="1"/>
  <c r="N1213" i="1"/>
  <c r="N1235" i="1"/>
  <c r="N19" i="1"/>
  <c r="N41" i="1"/>
  <c r="N85" i="1"/>
  <c r="N107" i="1"/>
  <c r="N129" i="1"/>
  <c r="N173" i="1"/>
  <c r="N195" i="1"/>
  <c r="N239" i="1"/>
  <c r="N261" i="1"/>
  <c r="N283" i="1"/>
  <c r="N305" i="1"/>
  <c r="N371" i="1"/>
  <c r="N393" i="1"/>
  <c r="N415" i="1"/>
  <c r="N437" i="1"/>
  <c r="N459" i="1"/>
  <c r="N525" i="1"/>
  <c r="N547" i="1"/>
  <c r="N569" i="1"/>
  <c r="N591" i="1"/>
  <c r="N613" i="1"/>
  <c r="N635" i="1"/>
  <c r="N745" i="1"/>
  <c r="N767" i="1"/>
  <c r="N789" i="1"/>
  <c r="N811" i="1"/>
  <c r="N833" i="1"/>
  <c r="N855" i="1"/>
  <c r="N899" i="1"/>
  <c r="N921" i="1"/>
  <c r="N943" i="1"/>
  <c r="N965" i="1"/>
  <c r="N987" i="1"/>
  <c r="N1009" i="1"/>
  <c r="N1031" i="1"/>
  <c r="N1053" i="1"/>
  <c r="N1075" i="1"/>
  <c r="N1097" i="1"/>
  <c r="N1119" i="1"/>
  <c r="N1141" i="1"/>
  <c r="N1163" i="1"/>
  <c r="N1207" i="1"/>
  <c r="N1229" i="1"/>
  <c r="N617" i="1"/>
  <c r="N837" i="1"/>
  <c r="N1035" i="1"/>
  <c r="N1079" i="1"/>
  <c r="N78" i="1"/>
  <c r="N408" i="1"/>
  <c r="N430" i="1"/>
  <c r="N562" i="1"/>
  <c r="N892" i="1"/>
  <c r="N914" i="1"/>
  <c r="N1046" i="1"/>
  <c r="N64" i="1"/>
  <c r="N86" i="1"/>
  <c r="N196" i="1"/>
  <c r="N262" i="1"/>
  <c r="N416" i="1"/>
  <c r="N438" i="1"/>
  <c r="N460" i="1"/>
  <c r="N548" i="1"/>
  <c r="N592" i="1"/>
  <c r="N702" i="1"/>
  <c r="N746" i="1"/>
  <c r="N790" i="1"/>
  <c r="N878" i="1"/>
  <c r="N900" i="1"/>
  <c r="N944" i="1"/>
  <c r="N988" i="1"/>
  <c r="N1010" i="1"/>
  <c r="N1032" i="1"/>
  <c r="N1076" i="1"/>
  <c r="N1186" i="1"/>
  <c r="N1208" i="1"/>
  <c r="N1230" i="1"/>
  <c r="N143" i="1"/>
  <c r="N165" i="1"/>
  <c r="N187" i="1"/>
  <c r="N231" i="1"/>
  <c r="N253" i="1"/>
  <c r="N275" i="1"/>
  <c r="N297" i="1"/>
  <c r="N319" i="1"/>
  <c r="N341" i="1"/>
  <c r="N363" i="1"/>
  <c r="N385" i="1"/>
  <c r="N407" i="1"/>
  <c r="N429" i="1"/>
  <c r="N451" i="1"/>
  <c r="N473" i="1"/>
  <c r="N495" i="1"/>
  <c r="N517" i="1"/>
  <c r="N539" i="1"/>
  <c r="N561" i="1"/>
  <c r="N583" i="1"/>
  <c r="N605" i="1"/>
  <c r="N627" i="1"/>
  <c r="N649" i="1"/>
  <c r="N671" i="1"/>
  <c r="N693" i="1"/>
  <c r="N715" i="1"/>
  <c r="N737" i="1"/>
  <c r="N759" i="1"/>
  <c r="N781" i="1"/>
  <c r="N803" i="1"/>
  <c r="N825" i="1"/>
  <c r="N847" i="1"/>
  <c r="N869" i="1"/>
  <c r="N891" i="1"/>
  <c r="N913" i="1"/>
  <c r="N935" i="1"/>
  <c r="N957" i="1"/>
  <c r="N979" i="1"/>
  <c r="N1001" i="1"/>
  <c r="N1023" i="1"/>
  <c r="N1045" i="1"/>
  <c r="N1067" i="1"/>
  <c r="N1089" i="1"/>
  <c r="N1111" i="1"/>
  <c r="N1133" i="1"/>
  <c r="N1155" i="1"/>
  <c r="N1177" i="1"/>
  <c r="N1199" i="1"/>
  <c r="N1221" i="1"/>
  <c r="N1243" i="1"/>
  <c r="N71" i="1"/>
  <c r="N203" i="1"/>
  <c r="N313" i="1"/>
  <c r="N709" i="1"/>
  <c r="N731" i="1"/>
  <c r="N907" i="1"/>
  <c r="N929" i="1"/>
  <c r="N951" i="1"/>
  <c r="N50" i="1"/>
  <c r="N314" i="1"/>
  <c r="N556" i="1"/>
  <c r="N710" i="1"/>
  <c r="N754" i="1"/>
  <c r="N908" i="1"/>
  <c r="N952" i="1"/>
  <c r="N7" i="1"/>
  <c r="N29" i="1"/>
  <c r="N51" i="1"/>
  <c r="N95" i="1"/>
  <c r="N161" i="1"/>
  <c r="N183" i="1"/>
  <c r="N205" i="1"/>
  <c r="N227" i="1"/>
  <c r="N271" i="1"/>
  <c r="N315" i="1"/>
  <c r="N337" i="1"/>
  <c r="N359" i="1"/>
  <c r="N447" i="1"/>
  <c r="N469" i="1"/>
  <c r="N491" i="1"/>
  <c r="N513" i="1"/>
  <c r="N535" i="1"/>
  <c r="N667" i="1"/>
  <c r="N689" i="1"/>
  <c r="N711" i="1"/>
  <c r="N733" i="1"/>
  <c r="N777" i="1"/>
  <c r="N799" i="1"/>
  <c r="N843" i="1"/>
  <c r="N865" i="1"/>
  <c r="N887" i="1"/>
  <c r="N909" i="1"/>
  <c r="N931" i="1"/>
  <c r="N1019" i="1"/>
  <c r="N1041" i="1"/>
  <c r="N1063" i="1"/>
  <c r="N1085" i="1"/>
  <c r="N1107" i="1"/>
  <c r="N1151" i="1"/>
  <c r="N1173" i="1"/>
  <c r="N1195" i="1"/>
  <c r="N1239" i="1"/>
  <c r="N130" i="1"/>
  <c r="N152" i="1"/>
  <c r="N284" i="1"/>
  <c r="N372" i="1"/>
  <c r="N614" i="1"/>
  <c r="N636" i="1"/>
  <c r="N768" i="1"/>
  <c r="N856" i="1"/>
  <c r="N1098" i="1"/>
  <c r="N1120" i="1"/>
  <c r="N65" i="1"/>
  <c r="N131" i="1"/>
  <c r="N219" i="1"/>
  <c r="N307" i="1"/>
  <c r="N461" i="1"/>
  <c r="N483" i="1"/>
  <c r="N505" i="1"/>
  <c r="N615" i="1"/>
  <c r="N637" i="1"/>
  <c r="N681" i="1"/>
  <c r="N703" i="1"/>
  <c r="N747" i="1"/>
  <c r="N769" i="1"/>
  <c r="N791" i="1"/>
  <c r="N945" i="1"/>
  <c r="N967" i="1"/>
  <c r="N1099" i="1"/>
  <c r="N1121" i="1"/>
  <c r="N1187" i="1"/>
  <c r="N640" i="1"/>
  <c r="N992" i="1"/>
  <c r="N1124" i="1"/>
  <c r="N27" i="1"/>
  <c r="N49" i="1"/>
  <c r="N159" i="1"/>
  <c r="N181" i="1"/>
  <c r="N225" i="1"/>
  <c r="N269" i="1"/>
  <c r="N291" i="1"/>
  <c r="N357" i="1"/>
  <c r="N423" i="1"/>
  <c r="N511" i="1"/>
  <c r="N533" i="1"/>
  <c r="N555" i="1"/>
  <c r="N621" i="1"/>
  <c r="N665" i="1"/>
  <c r="N753" i="1"/>
  <c r="N819" i="1"/>
  <c r="N841" i="1"/>
  <c r="N863" i="1"/>
  <c r="N995" i="1"/>
  <c r="N1017" i="1"/>
  <c r="N1083" i="1"/>
  <c r="N1149" i="1"/>
  <c r="N1237" i="1"/>
  <c r="N28" i="1"/>
  <c r="N116" i="1"/>
  <c r="N204" i="1"/>
  <c r="N226" i="1"/>
  <c r="N292" i="1"/>
  <c r="N358" i="1"/>
  <c r="N380" i="1"/>
  <c r="N424" i="1"/>
  <c r="N490" i="1"/>
  <c r="N512" i="1"/>
  <c r="N600" i="1"/>
  <c r="N622" i="1"/>
  <c r="N688" i="1"/>
  <c r="N842" i="1"/>
  <c r="N864" i="1"/>
  <c r="N930" i="1"/>
  <c r="N996" i="1"/>
  <c r="N1084" i="1"/>
  <c r="N1150" i="1"/>
  <c r="N1172" i="1"/>
  <c r="N1194" i="1"/>
  <c r="N1216" i="1"/>
  <c r="N1238" i="1"/>
  <c r="N728" i="1"/>
  <c r="N970" i="1"/>
  <c r="N1212" i="1"/>
  <c r="N31" i="1"/>
  <c r="N53" i="1"/>
  <c r="N141" i="1"/>
  <c r="N163" i="1"/>
  <c r="N229" i="1"/>
  <c r="N273" i="1"/>
  <c r="N383" i="1"/>
  <c r="N405" i="1"/>
  <c r="N471" i="1"/>
  <c r="N537" i="1"/>
  <c r="N581" i="1"/>
  <c r="N603" i="1"/>
  <c r="N625" i="1"/>
  <c r="N669" i="1"/>
  <c r="N713" i="1"/>
  <c r="N845" i="1"/>
  <c r="N867" i="1"/>
  <c r="N889" i="1"/>
  <c r="N1021" i="1"/>
  <c r="N1043" i="1"/>
  <c r="N1109" i="1"/>
  <c r="N1153" i="1"/>
  <c r="N1197" i="1"/>
  <c r="N1219" i="1"/>
  <c r="N155" i="1"/>
  <c r="N177" i="1"/>
  <c r="N309" i="1"/>
  <c r="N397" i="1"/>
  <c r="N639" i="1"/>
  <c r="N661" i="1"/>
  <c r="N793" i="1"/>
  <c r="N881" i="1"/>
  <c r="N1123" i="1"/>
  <c r="N1145" i="1"/>
  <c r="D36" i="3" l="1"/>
  <c r="C28" i="3"/>
  <c r="J19" i="3"/>
  <c r="C29" i="3" s="1"/>
  <c r="D20" i="2"/>
  <c r="H9" i="2"/>
  <c r="T35" i="1"/>
  <c r="T32" i="1"/>
  <c r="U32" i="1" s="1"/>
  <c r="T34" i="1"/>
  <c r="T33" i="1"/>
  <c r="U33" i="1" s="1"/>
  <c r="C30" i="3" l="1"/>
  <c r="F36" i="3"/>
  <c r="J9" i="2"/>
  <c r="C13" i="2" s="1"/>
  <c r="C14" i="2" s="1"/>
  <c r="F38" i="3" l="1"/>
  <c r="F20" i="2"/>
  <c r="F22" i="2" s="1"/>
</calcChain>
</file>

<file path=xl/sharedStrings.xml><?xml version="1.0" encoding="utf-8"?>
<sst xmlns="http://schemas.openxmlformats.org/spreadsheetml/2006/main" count="93" uniqueCount="32">
  <si>
    <t xml:space="preserve">Date </t>
  </si>
  <si>
    <t>close price</t>
  </si>
  <si>
    <t xml:space="preserve">Outstanding Shares </t>
  </si>
  <si>
    <t xml:space="preserve">Market Value </t>
  </si>
  <si>
    <t>Total Value of Shares Held</t>
  </si>
  <si>
    <t xml:space="preserve">Discount to Holding Value </t>
  </si>
  <si>
    <t>5 Year Discount Trends</t>
  </si>
  <si>
    <t>Date</t>
  </si>
  <si>
    <t>Current Discount</t>
  </si>
  <si>
    <t xml:space="preserve">Maximum Discount </t>
  </si>
  <si>
    <t>Minimum Discount</t>
  </si>
  <si>
    <t>Median</t>
  </si>
  <si>
    <t>Average</t>
  </si>
  <si>
    <t>KSB</t>
  </si>
  <si>
    <t xml:space="preserve">Industrial and Prudential </t>
  </si>
  <si>
    <t>Shares Held in KSB</t>
  </si>
  <si>
    <t xml:space="preserve">Long </t>
  </si>
  <si>
    <t>Short</t>
  </si>
  <si>
    <t>Discount</t>
  </si>
  <si>
    <t>Number of KSB Shares Held in 1 InPru Share</t>
  </si>
  <si>
    <t>In Pru @</t>
  </si>
  <si>
    <t>KSB Shares @</t>
  </si>
  <si>
    <t>Price</t>
  </si>
  <si>
    <t>Total Investment</t>
  </si>
  <si>
    <t>InPru</t>
  </si>
  <si>
    <t>Rate of Return</t>
  </si>
  <si>
    <t>Net Position</t>
  </si>
  <si>
    <t>Total Gain/(Loss)</t>
  </si>
  <si>
    <t>Gain/(Loss) in KSB</t>
  </si>
  <si>
    <t>Gain/(Loss) in InPru</t>
  </si>
  <si>
    <t>`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</si>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</sst>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"/>
    <numFmt numFmtId="166" formatCode="_-* #,##0_-;\-* #,##0_-;_-* &quot;-&quot;??_-;_-@_-"/>
    <numFmt numFmtId="167" formatCode="#,##0;\(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15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9" fontId="0" fillId="0" borderId="0" xfId="43" applyFont="1" applyAlignment="1">
      <alignment horizontal="center"/>
    </xf>
    <xf numFmtId="2" fontId="0" fillId="0" borderId="0" xfId="0" applyNumberFormat="1"/>
    <xf numFmtId="165" fontId="0" fillId="0" borderId="0" xfId="0" applyNumberFormat="1"/>
    <xf numFmtId="9" fontId="0" fillId="0" borderId="0" xfId="43" applyFont="1"/>
    <xf numFmtId="3" fontId="0" fillId="0" borderId="0" xfId="0" applyNumberFormat="1"/>
    <xf numFmtId="0" fontId="16" fillId="0" borderId="0" xfId="0" applyFont="1"/>
    <xf numFmtId="3" fontId="16" fillId="0" borderId="0" xfId="0" applyNumberFormat="1" applyFont="1"/>
    <xf numFmtId="0" fontId="0" fillId="0" borderId="10" xfId="0" applyBorder="1"/>
    <xf numFmtId="166" fontId="0" fillId="0" borderId="0" xfId="42" applyNumberFormat="1" applyFont="1"/>
    <xf numFmtId="166" fontId="16" fillId="0" borderId="0" xfId="0" applyNumberFormat="1" applyFont="1"/>
    <xf numFmtId="164" fontId="0" fillId="0" borderId="0" xfId="43" applyNumberFormat="1" applyFont="1"/>
    <xf numFmtId="3" fontId="0" fillId="0" borderId="10" xfId="0" applyNumberFormat="1" applyBorder="1"/>
    <xf numFmtId="165" fontId="0" fillId="0" borderId="10" xfId="0" applyNumberFormat="1" applyBorder="1"/>
    <xf numFmtId="164" fontId="0" fillId="0" borderId="10" xfId="43" applyNumberFormat="1" applyFont="1" applyBorder="1"/>
    <xf numFmtId="2" fontId="0" fillId="0" borderId="10" xfId="0" applyNumberFormat="1" applyBorder="1"/>
    <xf numFmtId="1" fontId="16" fillId="0" borderId="0" xfId="0" applyNumberFormat="1" applyFont="1"/>
    <xf numFmtId="167" fontId="16" fillId="0" borderId="0" xfId="0" applyNumberFormat="1" applyFont="1"/>
    <xf numFmtId="167" fontId="16" fillId="0" borderId="0" xfId="42" applyNumberFormat="1" applyFont="1"/>
    <xf numFmtId="15" fontId="0" fillId="0" borderId="10" xfId="0" applyNumberFormat="1" applyBorder="1" applyAlignment="1">
      <alignment horizontal="center"/>
    </xf>
    <xf numFmtId="167" fontId="1" fillId="0" borderId="0" xfId="42" applyNumberFormat="1" applyFont="1" applyAlignment="1">
      <alignment horizontal="center"/>
    </xf>
    <xf numFmtId="167" fontId="1" fillId="0" borderId="10" xfId="42" applyNumberFormat="1" applyFont="1" applyBorder="1" applyAlignment="1">
      <alignment horizontal="center"/>
    </xf>
    <xf numFmtId="166" fontId="0" fillId="0" borderId="0" xfId="42" applyNumberFormat="1" applyFont="1" applyAlignment="1">
      <alignment horizontal="center"/>
    </xf>
    <xf numFmtId="3" fontId="0" fillId="0" borderId="10" xfId="0" applyNumberForma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43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0" xfId="43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167" fontId="16" fillId="0" borderId="0" xfId="0" applyNumberFormat="1" applyFont="1" applyAlignment="1">
      <alignment horizontal="center"/>
    </xf>
    <xf numFmtId="167" fontId="16" fillId="0" borderId="0" xfId="42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Discount to Holding Value (KSB)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38"/>
              <c:layout>
                <c:manualLayout>
                  <c:x val="-5.1515491027288793E-2"/>
                  <c:y val="-7.23899975938066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9F-45A5-BDAC-57FDF3458822}"/>
                </c:ext>
              </c:extLst>
            </c:dLbl>
            <c:dLbl>
              <c:idx val="1614"/>
              <c:layout>
                <c:manualLayout>
                  <c:x val="-6.468810148731397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DB-495E-B280-B396BE8C5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'InPru vs KSB'!$A$3:$A$1244</c:f>
              <c:numCache>
                <c:formatCode>d\-mmm\-yy</c:formatCode>
                <c:ptCount val="1242"/>
                <c:pt idx="0">
                  <c:v>45943</c:v>
                </c:pt>
                <c:pt idx="1">
                  <c:v>45940</c:v>
                </c:pt>
                <c:pt idx="2">
                  <c:v>45939</c:v>
                </c:pt>
                <c:pt idx="3">
                  <c:v>45938</c:v>
                </c:pt>
                <c:pt idx="4">
                  <c:v>45937</c:v>
                </c:pt>
                <c:pt idx="5">
                  <c:v>45936</c:v>
                </c:pt>
                <c:pt idx="6">
                  <c:v>45933</c:v>
                </c:pt>
                <c:pt idx="7">
                  <c:v>45931</c:v>
                </c:pt>
                <c:pt idx="8">
                  <c:v>45930</c:v>
                </c:pt>
                <c:pt idx="9">
                  <c:v>45929</c:v>
                </c:pt>
                <c:pt idx="10">
                  <c:v>45926</c:v>
                </c:pt>
                <c:pt idx="11">
                  <c:v>45925</c:v>
                </c:pt>
                <c:pt idx="12">
                  <c:v>45924</c:v>
                </c:pt>
                <c:pt idx="13">
                  <c:v>45923</c:v>
                </c:pt>
                <c:pt idx="14">
                  <c:v>45922</c:v>
                </c:pt>
                <c:pt idx="15">
                  <c:v>45919</c:v>
                </c:pt>
                <c:pt idx="16">
                  <c:v>45918</c:v>
                </c:pt>
                <c:pt idx="17">
                  <c:v>45917</c:v>
                </c:pt>
                <c:pt idx="18">
                  <c:v>45916</c:v>
                </c:pt>
                <c:pt idx="19">
                  <c:v>45915</c:v>
                </c:pt>
                <c:pt idx="20">
                  <c:v>45912</c:v>
                </c:pt>
                <c:pt idx="21">
                  <c:v>45911</c:v>
                </c:pt>
                <c:pt idx="22">
                  <c:v>45910</c:v>
                </c:pt>
                <c:pt idx="23">
                  <c:v>45909</c:v>
                </c:pt>
                <c:pt idx="24">
                  <c:v>45908</c:v>
                </c:pt>
                <c:pt idx="25">
                  <c:v>45905</c:v>
                </c:pt>
                <c:pt idx="26">
                  <c:v>45904</c:v>
                </c:pt>
                <c:pt idx="27">
                  <c:v>45903</c:v>
                </c:pt>
                <c:pt idx="28">
                  <c:v>45902</c:v>
                </c:pt>
                <c:pt idx="29">
                  <c:v>45901</c:v>
                </c:pt>
                <c:pt idx="30">
                  <c:v>45898</c:v>
                </c:pt>
                <c:pt idx="31">
                  <c:v>45897</c:v>
                </c:pt>
                <c:pt idx="32">
                  <c:v>45895</c:v>
                </c:pt>
                <c:pt idx="33">
                  <c:v>45894</c:v>
                </c:pt>
                <c:pt idx="34">
                  <c:v>45891</c:v>
                </c:pt>
                <c:pt idx="35">
                  <c:v>45890</c:v>
                </c:pt>
                <c:pt idx="36">
                  <c:v>45889</c:v>
                </c:pt>
                <c:pt idx="37">
                  <c:v>45888</c:v>
                </c:pt>
                <c:pt idx="38">
                  <c:v>45887</c:v>
                </c:pt>
                <c:pt idx="39">
                  <c:v>45883</c:v>
                </c:pt>
                <c:pt idx="40">
                  <c:v>45882</c:v>
                </c:pt>
                <c:pt idx="41">
                  <c:v>45881</c:v>
                </c:pt>
                <c:pt idx="42">
                  <c:v>45880</c:v>
                </c:pt>
                <c:pt idx="43">
                  <c:v>45877</c:v>
                </c:pt>
                <c:pt idx="44">
                  <c:v>45876</c:v>
                </c:pt>
                <c:pt idx="45">
                  <c:v>45875</c:v>
                </c:pt>
                <c:pt idx="46">
                  <c:v>45874</c:v>
                </c:pt>
                <c:pt idx="47">
                  <c:v>45873</c:v>
                </c:pt>
                <c:pt idx="48">
                  <c:v>45870</c:v>
                </c:pt>
                <c:pt idx="49">
                  <c:v>45869</c:v>
                </c:pt>
                <c:pt idx="50">
                  <c:v>45868</c:v>
                </c:pt>
                <c:pt idx="51">
                  <c:v>45867</c:v>
                </c:pt>
                <c:pt idx="52">
                  <c:v>45866</c:v>
                </c:pt>
                <c:pt idx="53">
                  <c:v>45863</c:v>
                </c:pt>
                <c:pt idx="54">
                  <c:v>45862</c:v>
                </c:pt>
                <c:pt idx="55">
                  <c:v>45861</c:v>
                </c:pt>
                <c:pt idx="56">
                  <c:v>45860</c:v>
                </c:pt>
                <c:pt idx="57">
                  <c:v>45859</c:v>
                </c:pt>
                <c:pt idx="58">
                  <c:v>45856</c:v>
                </c:pt>
                <c:pt idx="59">
                  <c:v>45855</c:v>
                </c:pt>
                <c:pt idx="60">
                  <c:v>45854</c:v>
                </c:pt>
                <c:pt idx="61">
                  <c:v>45853</c:v>
                </c:pt>
                <c:pt idx="62">
                  <c:v>45852</c:v>
                </c:pt>
                <c:pt idx="63">
                  <c:v>45849</c:v>
                </c:pt>
                <c:pt idx="64">
                  <c:v>45848</c:v>
                </c:pt>
                <c:pt idx="65">
                  <c:v>45847</c:v>
                </c:pt>
                <c:pt idx="66">
                  <c:v>45846</c:v>
                </c:pt>
                <c:pt idx="67">
                  <c:v>45845</c:v>
                </c:pt>
                <c:pt idx="68">
                  <c:v>45842</c:v>
                </c:pt>
                <c:pt idx="69">
                  <c:v>45841</c:v>
                </c:pt>
                <c:pt idx="70">
                  <c:v>45840</c:v>
                </c:pt>
                <c:pt idx="71">
                  <c:v>45839</c:v>
                </c:pt>
                <c:pt idx="72">
                  <c:v>45838</c:v>
                </c:pt>
                <c:pt idx="73">
                  <c:v>45835</c:v>
                </c:pt>
                <c:pt idx="74">
                  <c:v>45834</c:v>
                </c:pt>
                <c:pt idx="75">
                  <c:v>45833</c:v>
                </c:pt>
                <c:pt idx="76">
                  <c:v>45832</c:v>
                </c:pt>
                <c:pt idx="77">
                  <c:v>45831</c:v>
                </c:pt>
                <c:pt idx="78">
                  <c:v>45828</c:v>
                </c:pt>
                <c:pt idx="79">
                  <c:v>45827</c:v>
                </c:pt>
                <c:pt idx="80">
                  <c:v>45826</c:v>
                </c:pt>
                <c:pt idx="81">
                  <c:v>45825</c:v>
                </c:pt>
                <c:pt idx="82">
                  <c:v>45824</c:v>
                </c:pt>
                <c:pt idx="83">
                  <c:v>45821</c:v>
                </c:pt>
                <c:pt idx="84">
                  <c:v>45820</c:v>
                </c:pt>
                <c:pt idx="85">
                  <c:v>45819</c:v>
                </c:pt>
                <c:pt idx="86">
                  <c:v>45818</c:v>
                </c:pt>
                <c:pt idx="87">
                  <c:v>45817</c:v>
                </c:pt>
                <c:pt idx="88">
                  <c:v>45814</c:v>
                </c:pt>
                <c:pt idx="89">
                  <c:v>45813</c:v>
                </c:pt>
                <c:pt idx="90">
                  <c:v>45812</c:v>
                </c:pt>
                <c:pt idx="91">
                  <c:v>45811</c:v>
                </c:pt>
                <c:pt idx="92">
                  <c:v>45810</c:v>
                </c:pt>
                <c:pt idx="93">
                  <c:v>45807</c:v>
                </c:pt>
                <c:pt idx="94">
                  <c:v>45806</c:v>
                </c:pt>
                <c:pt idx="95">
                  <c:v>45805</c:v>
                </c:pt>
                <c:pt idx="96">
                  <c:v>45804</c:v>
                </c:pt>
                <c:pt idx="97">
                  <c:v>45803</c:v>
                </c:pt>
                <c:pt idx="98">
                  <c:v>45800</c:v>
                </c:pt>
                <c:pt idx="99">
                  <c:v>45799</c:v>
                </c:pt>
                <c:pt idx="100">
                  <c:v>45798</c:v>
                </c:pt>
                <c:pt idx="101">
                  <c:v>45797</c:v>
                </c:pt>
                <c:pt idx="102">
                  <c:v>45796</c:v>
                </c:pt>
                <c:pt idx="103">
                  <c:v>45793</c:v>
                </c:pt>
                <c:pt idx="104">
                  <c:v>45792</c:v>
                </c:pt>
                <c:pt idx="105">
                  <c:v>45791</c:v>
                </c:pt>
                <c:pt idx="106">
                  <c:v>45790</c:v>
                </c:pt>
                <c:pt idx="107">
                  <c:v>45789</c:v>
                </c:pt>
                <c:pt idx="108">
                  <c:v>45786</c:v>
                </c:pt>
                <c:pt idx="109">
                  <c:v>45785</c:v>
                </c:pt>
                <c:pt idx="110">
                  <c:v>45784</c:v>
                </c:pt>
                <c:pt idx="111">
                  <c:v>45783</c:v>
                </c:pt>
                <c:pt idx="112">
                  <c:v>45782</c:v>
                </c:pt>
                <c:pt idx="113">
                  <c:v>45779</c:v>
                </c:pt>
                <c:pt idx="114">
                  <c:v>45777</c:v>
                </c:pt>
                <c:pt idx="115">
                  <c:v>45776</c:v>
                </c:pt>
                <c:pt idx="116">
                  <c:v>45775</c:v>
                </c:pt>
                <c:pt idx="117">
                  <c:v>45772</c:v>
                </c:pt>
                <c:pt idx="118">
                  <c:v>45771</c:v>
                </c:pt>
                <c:pt idx="119">
                  <c:v>45770</c:v>
                </c:pt>
                <c:pt idx="120">
                  <c:v>45769</c:v>
                </c:pt>
                <c:pt idx="121">
                  <c:v>45768</c:v>
                </c:pt>
                <c:pt idx="122">
                  <c:v>45764</c:v>
                </c:pt>
                <c:pt idx="123">
                  <c:v>45763</c:v>
                </c:pt>
                <c:pt idx="124">
                  <c:v>45762</c:v>
                </c:pt>
                <c:pt idx="125">
                  <c:v>45758</c:v>
                </c:pt>
                <c:pt idx="126">
                  <c:v>45756</c:v>
                </c:pt>
                <c:pt idx="127">
                  <c:v>45755</c:v>
                </c:pt>
                <c:pt idx="128">
                  <c:v>45754</c:v>
                </c:pt>
                <c:pt idx="129">
                  <c:v>45751</c:v>
                </c:pt>
                <c:pt idx="130">
                  <c:v>45750</c:v>
                </c:pt>
                <c:pt idx="131">
                  <c:v>45749</c:v>
                </c:pt>
                <c:pt idx="132">
                  <c:v>45748</c:v>
                </c:pt>
                <c:pt idx="133">
                  <c:v>45744</c:v>
                </c:pt>
                <c:pt idx="134">
                  <c:v>45743</c:v>
                </c:pt>
                <c:pt idx="135">
                  <c:v>45742</c:v>
                </c:pt>
                <c:pt idx="136">
                  <c:v>45741</c:v>
                </c:pt>
                <c:pt idx="137">
                  <c:v>45740</c:v>
                </c:pt>
                <c:pt idx="138">
                  <c:v>45737</c:v>
                </c:pt>
                <c:pt idx="139">
                  <c:v>45736</c:v>
                </c:pt>
                <c:pt idx="140">
                  <c:v>45735</c:v>
                </c:pt>
                <c:pt idx="141">
                  <c:v>45734</c:v>
                </c:pt>
                <c:pt idx="142">
                  <c:v>45733</c:v>
                </c:pt>
                <c:pt idx="143">
                  <c:v>45729</c:v>
                </c:pt>
                <c:pt idx="144">
                  <c:v>45728</c:v>
                </c:pt>
                <c:pt idx="145">
                  <c:v>45727</c:v>
                </c:pt>
                <c:pt idx="146">
                  <c:v>45726</c:v>
                </c:pt>
                <c:pt idx="147">
                  <c:v>45723</c:v>
                </c:pt>
                <c:pt idx="148">
                  <c:v>45722</c:v>
                </c:pt>
                <c:pt idx="149">
                  <c:v>45721</c:v>
                </c:pt>
                <c:pt idx="150">
                  <c:v>45720</c:v>
                </c:pt>
                <c:pt idx="151">
                  <c:v>45719</c:v>
                </c:pt>
                <c:pt idx="152">
                  <c:v>45716</c:v>
                </c:pt>
                <c:pt idx="153">
                  <c:v>45715</c:v>
                </c:pt>
                <c:pt idx="154">
                  <c:v>45713</c:v>
                </c:pt>
                <c:pt idx="155">
                  <c:v>45712</c:v>
                </c:pt>
                <c:pt idx="156">
                  <c:v>45709</c:v>
                </c:pt>
                <c:pt idx="157">
                  <c:v>45708</c:v>
                </c:pt>
                <c:pt idx="158">
                  <c:v>45707</c:v>
                </c:pt>
                <c:pt idx="159">
                  <c:v>45706</c:v>
                </c:pt>
                <c:pt idx="160">
                  <c:v>45705</c:v>
                </c:pt>
                <c:pt idx="161">
                  <c:v>45702</c:v>
                </c:pt>
                <c:pt idx="162">
                  <c:v>45701</c:v>
                </c:pt>
                <c:pt idx="163">
                  <c:v>45700</c:v>
                </c:pt>
                <c:pt idx="164">
                  <c:v>45699</c:v>
                </c:pt>
                <c:pt idx="165">
                  <c:v>45698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45689</c:v>
                </c:pt>
                <c:pt idx="172">
                  <c:v>45688</c:v>
                </c:pt>
                <c:pt idx="173">
                  <c:v>45687</c:v>
                </c:pt>
                <c:pt idx="174">
                  <c:v>45686</c:v>
                </c:pt>
                <c:pt idx="175">
                  <c:v>45685</c:v>
                </c:pt>
                <c:pt idx="176">
                  <c:v>45684</c:v>
                </c:pt>
                <c:pt idx="177">
                  <c:v>45681</c:v>
                </c:pt>
                <c:pt idx="178">
                  <c:v>45680</c:v>
                </c:pt>
                <c:pt idx="179">
                  <c:v>45679</c:v>
                </c:pt>
                <c:pt idx="180">
                  <c:v>45678</c:v>
                </c:pt>
                <c:pt idx="181">
                  <c:v>45677</c:v>
                </c:pt>
                <c:pt idx="182">
                  <c:v>45674</c:v>
                </c:pt>
                <c:pt idx="183">
                  <c:v>45673</c:v>
                </c:pt>
                <c:pt idx="184">
                  <c:v>45672</c:v>
                </c:pt>
                <c:pt idx="185">
                  <c:v>45671</c:v>
                </c:pt>
                <c:pt idx="186">
                  <c:v>45670</c:v>
                </c:pt>
                <c:pt idx="187">
                  <c:v>45667</c:v>
                </c:pt>
                <c:pt idx="188">
                  <c:v>45666</c:v>
                </c:pt>
                <c:pt idx="189">
                  <c:v>45665</c:v>
                </c:pt>
                <c:pt idx="190">
                  <c:v>45664</c:v>
                </c:pt>
                <c:pt idx="191">
                  <c:v>45663</c:v>
                </c:pt>
                <c:pt idx="192">
                  <c:v>45660</c:v>
                </c:pt>
                <c:pt idx="193">
                  <c:v>45659</c:v>
                </c:pt>
                <c:pt idx="194">
                  <c:v>45658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45650</c:v>
                </c:pt>
                <c:pt idx="200">
                  <c:v>45649</c:v>
                </c:pt>
                <c:pt idx="201">
                  <c:v>45646</c:v>
                </c:pt>
                <c:pt idx="202">
                  <c:v>45645</c:v>
                </c:pt>
                <c:pt idx="203">
                  <c:v>45644</c:v>
                </c:pt>
                <c:pt idx="204">
                  <c:v>45643</c:v>
                </c:pt>
                <c:pt idx="205">
                  <c:v>45642</c:v>
                </c:pt>
                <c:pt idx="206">
                  <c:v>45639</c:v>
                </c:pt>
                <c:pt idx="207">
                  <c:v>45638</c:v>
                </c:pt>
                <c:pt idx="208">
                  <c:v>45637</c:v>
                </c:pt>
                <c:pt idx="209">
                  <c:v>45636</c:v>
                </c:pt>
                <c:pt idx="210">
                  <c:v>45635</c:v>
                </c:pt>
                <c:pt idx="211">
                  <c:v>45632</c:v>
                </c:pt>
                <c:pt idx="212">
                  <c:v>45631</c:v>
                </c:pt>
                <c:pt idx="213">
                  <c:v>45630</c:v>
                </c:pt>
                <c:pt idx="214">
                  <c:v>45629</c:v>
                </c:pt>
                <c:pt idx="215">
                  <c:v>45628</c:v>
                </c:pt>
                <c:pt idx="216">
                  <c:v>45625</c:v>
                </c:pt>
                <c:pt idx="217">
                  <c:v>45624</c:v>
                </c:pt>
                <c:pt idx="218">
                  <c:v>45623</c:v>
                </c:pt>
                <c:pt idx="219">
                  <c:v>45622</c:v>
                </c:pt>
                <c:pt idx="220">
                  <c:v>45621</c:v>
                </c:pt>
                <c:pt idx="221">
                  <c:v>45618</c:v>
                </c:pt>
                <c:pt idx="222">
                  <c:v>45617</c:v>
                </c:pt>
                <c:pt idx="223">
                  <c:v>45615</c:v>
                </c:pt>
                <c:pt idx="224">
                  <c:v>45614</c:v>
                </c:pt>
                <c:pt idx="225">
                  <c:v>45610</c:v>
                </c:pt>
                <c:pt idx="226">
                  <c:v>45609</c:v>
                </c:pt>
                <c:pt idx="227">
                  <c:v>45608</c:v>
                </c:pt>
                <c:pt idx="228">
                  <c:v>45607</c:v>
                </c:pt>
                <c:pt idx="229">
                  <c:v>45604</c:v>
                </c:pt>
                <c:pt idx="230">
                  <c:v>45603</c:v>
                </c:pt>
                <c:pt idx="231">
                  <c:v>45602</c:v>
                </c:pt>
                <c:pt idx="232">
                  <c:v>45601</c:v>
                </c:pt>
                <c:pt idx="233">
                  <c:v>45600</c:v>
                </c:pt>
                <c:pt idx="234">
                  <c:v>45597</c:v>
                </c:pt>
                <c:pt idx="235">
                  <c:v>45596</c:v>
                </c:pt>
                <c:pt idx="236">
                  <c:v>45595</c:v>
                </c:pt>
                <c:pt idx="237">
                  <c:v>45594</c:v>
                </c:pt>
                <c:pt idx="238">
                  <c:v>45593</c:v>
                </c:pt>
                <c:pt idx="239">
                  <c:v>45590</c:v>
                </c:pt>
                <c:pt idx="240">
                  <c:v>45589</c:v>
                </c:pt>
                <c:pt idx="241">
                  <c:v>45588</c:v>
                </c:pt>
                <c:pt idx="242">
                  <c:v>45587</c:v>
                </c:pt>
                <c:pt idx="243">
                  <c:v>45586</c:v>
                </c:pt>
                <c:pt idx="244">
                  <c:v>45583</c:v>
                </c:pt>
                <c:pt idx="245">
                  <c:v>45582</c:v>
                </c:pt>
                <c:pt idx="246">
                  <c:v>45581</c:v>
                </c:pt>
                <c:pt idx="247">
                  <c:v>45580</c:v>
                </c:pt>
                <c:pt idx="248">
                  <c:v>45579</c:v>
                </c:pt>
                <c:pt idx="249">
                  <c:v>45576</c:v>
                </c:pt>
                <c:pt idx="250">
                  <c:v>45575</c:v>
                </c:pt>
                <c:pt idx="251">
                  <c:v>45574</c:v>
                </c:pt>
                <c:pt idx="252">
                  <c:v>45573</c:v>
                </c:pt>
                <c:pt idx="253">
                  <c:v>45572</c:v>
                </c:pt>
                <c:pt idx="254">
                  <c:v>45569</c:v>
                </c:pt>
                <c:pt idx="255">
                  <c:v>45568</c:v>
                </c:pt>
                <c:pt idx="256">
                  <c:v>45566</c:v>
                </c:pt>
                <c:pt idx="257">
                  <c:v>45565</c:v>
                </c:pt>
                <c:pt idx="258">
                  <c:v>45562</c:v>
                </c:pt>
                <c:pt idx="259">
                  <c:v>45561</c:v>
                </c:pt>
                <c:pt idx="260">
                  <c:v>45560</c:v>
                </c:pt>
                <c:pt idx="261">
                  <c:v>45559</c:v>
                </c:pt>
                <c:pt idx="262">
                  <c:v>45558</c:v>
                </c:pt>
                <c:pt idx="263">
                  <c:v>45555</c:v>
                </c:pt>
                <c:pt idx="264">
                  <c:v>45554</c:v>
                </c:pt>
                <c:pt idx="265">
                  <c:v>45553</c:v>
                </c:pt>
                <c:pt idx="266">
                  <c:v>45552</c:v>
                </c:pt>
                <c:pt idx="267">
                  <c:v>45551</c:v>
                </c:pt>
                <c:pt idx="268">
                  <c:v>45548</c:v>
                </c:pt>
                <c:pt idx="269">
                  <c:v>45547</c:v>
                </c:pt>
                <c:pt idx="270">
                  <c:v>45546</c:v>
                </c:pt>
                <c:pt idx="271">
                  <c:v>45545</c:v>
                </c:pt>
                <c:pt idx="272">
                  <c:v>45544</c:v>
                </c:pt>
                <c:pt idx="273">
                  <c:v>45541</c:v>
                </c:pt>
                <c:pt idx="274">
                  <c:v>45540</c:v>
                </c:pt>
                <c:pt idx="275">
                  <c:v>45539</c:v>
                </c:pt>
                <c:pt idx="276">
                  <c:v>45538</c:v>
                </c:pt>
                <c:pt idx="277">
                  <c:v>45537</c:v>
                </c:pt>
                <c:pt idx="278">
                  <c:v>45534</c:v>
                </c:pt>
                <c:pt idx="279">
                  <c:v>45533</c:v>
                </c:pt>
                <c:pt idx="280">
                  <c:v>45532</c:v>
                </c:pt>
                <c:pt idx="281">
                  <c:v>45531</c:v>
                </c:pt>
                <c:pt idx="282">
                  <c:v>45530</c:v>
                </c:pt>
                <c:pt idx="283">
                  <c:v>45527</c:v>
                </c:pt>
                <c:pt idx="284">
                  <c:v>45526</c:v>
                </c:pt>
                <c:pt idx="285">
                  <c:v>45525</c:v>
                </c:pt>
                <c:pt idx="286">
                  <c:v>45524</c:v>
                </c:pt>
                <c:pt idx="287">
                  <c:v>45523</c:v>
                </c:pt>
                <c:pt idx="288">
                  <c:v>45520</c:v>
                </c:pt>
                <c:pt idx="289">
                  <c:v>45518</c:v>
                </c:pt>
                <c:pt idx="290">
                  <c:v>45517</c:v>
                </c:pt>
                <c:pt idx="291">
                  <c:v>45516</c:v>
                </c:pt>
                <c:pt idx="292">
                  <c:v>45513</c:v>
                </c:pt>
                <c:pt idx="293">
                  <c:v>45512</c:v>
                </c:pt>
                <c:pt idx="294">
                  <c:v>45511</c:v>
                </c:pt>
                <c:pt idx="295">
                  <c:v>45510</c:v>
                </c:pt>
                <c:pt idx="296">
                  <c:v>45509</c:v>
                </c:pt>
                <c:pt idx="297">
                  <c:v>45506</c:v>
                </c:pt>
                <c:pt idx="298">
                  <c:v>45505</c:v>
                </c:pt>
                <c:pt idx="299">
                  <c:v>45504</c:v>
                </c:pt>
                <c:pt idx="300">
                  <c:v>45503</c:v>
                </c:pt>
                <c:pt idx="301">
                  <c:v>45502</c:v>
                </c:pt>
                <c:pt idx="302">
                  <c:v>45499</c:v>
                </c:pt>
                <c:pt idx="303">
                  <c:v>45498</c:v>
                </c:pt>
                <c:pt idx="304">
                  <c:v>45497</c:v>
                </c:pt>
                <c:pt idx="305">
                  <c:v>45496</c:v>
                </c:pt>
                <c:pt idx="306">
                  <c:v>45495</c:v>
                </c:pt>
                <c:pt idx="307">
                  <c:v>45492</c:v>
                </c:pt>
                <c:pt idx="308">
                  <c:v>45491</c:v>
                </c:pt>
                <c:pt idx="309">
                  <c:v>45489</c:v>
                </c:pt>
                <c:pt idx="310">
                  <c:v>45488</c:v>
                </c:pt>
                <c:pt idx="311">
                  <c:v>45485</c:v>
                </c:pt>
                <c:pt idx="312">
                  <c:v>45484</c:v>
                </c:pt>
                <c:pt idx="313">
                  <c:v>45483</c:v>
                </c:pt>
                <c:pt idx="314">
                  <c:v>45482</c:v>
                </c:pt>
                <c:pt idx="315">
                  <c:v>45481</c:v>
                </c:pt>
                <c:pt idx="316">
                  <c:v>45478</c:v>
                </c:pt>
                <c:pt idx="317">
                  <c:v>45477</c:v>
                </c:pt>
                <c:pt idx="318">
                  <c:v>45476</c:v>
                </c:pt>
                <c:pt idx="319">
                  <c:v>45475</c:v>
                </c:pt>
                <c:pt idx="320">
                  <c:v>45474</c:v>
                </c:pt>
                <c:pt idx="321">
                  <c:v>45471</c:v>
                </c:pt>
                <c:pt idx="322">
                  <c:v>45470</c:v>
                </c:pt>
                <c:pt idx="323">
                  <c:v>45469</c:v>
                </c:pt>
                <c:pt idx="324">
                  <c:v>45468</c:v>
                </c:pt>
                <c:pt idx="325">
                  <c:v>45467</c:v>
                </c:pt>
                <c:pt idx="326">
                  <c:v>45464</c:v>
                </c:pt>
                <c:pt idx="327">
                  <c:v>45463</c:v>
                </c:pt>
                <c:pt idx="328">
                  <c:v>45462</c:v>
                </c:pt>
                <c:pt idx="329">
                  <c:v>45461</c:v>
                </c:pt>
                <c:pt idx="330">
                  <c:v>45457</c:v>
                </c:pt>
                <c:pt idx="331">
                  <c:v>45456</c:v>
                </c:pt>
                <c:pt idx="332">
                  <c:v>45455</c:v>
                </c:pt>
                <c:pt idx="333">
                  <c:v>45454</c:v>
                </c:pt>
                <c:pt idx="334">
                  <c:v>45453</c:v>
                </c:pt>
                <c:pt idx="335">
                  <c:v>45450</c:v>
                </c:pt>
                <c:pt idx="336">
                  <c:v>45449</c:v>
                </c:pt>
                <c:pt idx="337">
                  <c:v>45448</c:v>
                </c:pt>
                <c:pt idx="338">
                  <c:v>45447</c:v>
                </c:pt>
                <c:pt idx="339">
                  <c:v>45446</c:v>
                </c:pt>
                <c:pt idx="340">
                  <c:v>45443</c:v>
                </c:pt>
                <c:pt idx="341">
                  <c:v>45442</c:v>
                </c:pt>
                <c:pt idx="342">
                  <c:v>45441</c:v>
                </c:pt>
                <c:pt idx="343">
                  <c:v>45440</c:v>
                </c:pt>
                <c:pt idx="344">
                  <c:v>45439</c:v>
                </c:pt>
                <c:pt idx="345">
                  <c:v>45436</c:v>
                </c:pt>
                <c:pt idx="346">
                  <c:v>45435</c:v>
                </c:pt>
                <c:pt idx="347">
                  <c:v>45434</c:v>
                </c:pt>
                <c:pt idx="348">
                  <c:v>45433</c:v>
                </c:pt>
                <c:pt idx="349">
                  <c:v>45430</c:v>
                </c:pt>
                <c:pt idx="350">
                  <c:v>45429</c:v>
                </c:pt>
                <c:pt idx="351">
                  <c:v>45428</c:v>
                </c:pt>
                <c:pt idx="352">
                  <c:v>45427</c:v>
                </c:pt>
                <c:pt idx="353">
                  <c:v>45426</c:v>
                </c:pt>
                <c:pt idx="354">
                  <c:v>45425</c:v>
                </c:pt>
                <c:pt idx="355">
                  <c:v>45422</c:v>
                </c:pt>
                <c:pt idx="356">
                  <c:v>45421</c:v>
                </c:pt>
                <c:pt idx="357">
                  <c:v>45420</c:v>
                </c:pt>
                <c:pt idx="358">
                  <c:v>45419</c:v>
                </c:pt>
                <c:pt idx="359">
                  <c:v>45418</c:v>
                </c:pt>
                <c:pt idx="360">
                  <c:v>45415</c:v>
                </c:pt>
                <c:pt idx="361">
                  <c:v>45414</c:v>
                </c:pt>
                <c:pt idx="362">
                  <c:v>45412</c:v>
                </c:pt>
                <c:pt idx="363">
                  <c:v>45411</c:v>
                </c:pt>
                <c:pt idx="364">
                  <c:v>45408</c:v>
                </c:pt>
                <c:pt idx="365">
                  <c:v>45407</c:v>
                </c:pt>
                <c:pt idx="366">
                  <c:v>45406</c:v>
                </c:pt>
                <c:pt idx="367">
                  <c:v>45405</c:v>
                </c:pt>
                <c:pt idx="368">
                  <c:v>45404</c:v>
                </c:pt>
                <c:pt idx="369">
                  <c:v>45401</c:v>
                </c:pt>
                <c:pt idx="370">
                  <c:v>45400</c:v>
                </c:pt>
                <c:pt idx="371">
                  <c:v>45398</c:v>
                </c:pt>
                <c:pt idx="372">
                  <c:v>45397</c:v>
                </c:pt>
                <c:pt idx="373">
                  <c:v>45394</c:v>
                </c:pt>
                <c:pt idx="374">
                  <c:v>45392</c:v>
                </c:pt>
                <c:pt idx="375">
                  <c:v>45391</c:v>
                </c:pt>
                <c:pt idx="376">
                  <c:v>45390</c:v>
                </c:pt>
                <c:pt idx="377">
                  <c:v>45387</c:v>
                </c:pt>
                <c:pt idx="378">
                  <c:v>45386</c:v>
                </c:pt>
                <c:pt idx="379">
                  <c:v>45385</c:v>
                </c:pt>
                <c:pt idx="380">
                  <c:v>45384</c:v>
                </c:pt>
                <c:pt idx="381">
                  <c:v>45383</c:v>
                </c:pt>
                <c:pt idx="382">
                  <c:v>45379</c:v>
                </c:pt>
                <c:pt idx="383">
                  <c:v>45378</c:v>
                </c:pt>
                <c:pt idx="384">
                  <c:v>45377</c:v>
                </c:pt>
                <c:pt idx="385">
                  <c:v>45373</c:v>
                </c:pt>
                <c:pt idx="386">
                  <c:v>45372</c:v>
                </c:pt>
                <c:pt idx="387">
                  <c:v>45371</c:v>
                </c:pt>
                <c:pt idx="388">
                  <c:v>45370</c:v>
                </c:pt>
                <c:pt idx="389">
                  <c:v>45369</c:v>
                </c:pt>
                <c:pt idx="390">
                  <c:v>45366</c:v>
                </c:pt>
                <c:pt idx="391">
                  <c:v>45365</c:v>
                </c:pt>
                <c:pt idx="392">
                  <c:v>45364</c:v>
                </c:pt>
                <c:pt idx="393">
                  <c:v>45363</c:v>
                </c:pt>
                <c:pt idx="394">
                  <c:v>45362</c:v>
                </c:pt>
                <c:pt idx="395">
                  <c:v>45358</c:v>
                </c:pt>
                <c:pt idx="396">
                  <c:v>45357</c:v>
                </c:pt>
                <c:pt idx="397">
                  <c:v>45356</c:v>
                </c:pt>
                <c:pt idx="398">
                  <c:v>45355</c:v>
                </c:pt>
                <c:pt idx="399">
                  <c:v>45353</c:v>
                </c:pt>
                <c:pt idx="400">
                  <c:v>45352</c:v>
                </c:pt>
                <c:pt idx="401">
                  <c:v>45351</c:v>
                </c:pt>
                <c:pt idx="402">
                  <c:v>45350</c:v>
                </c:pt>
                <c:pt idx="403">
                  <c:v>45349</c:v>
                </c:pt>
                <c:pt idx="404">
                  <c:v>45348</c:v>
                </c:pt>
                <c:pt idx="405">
                  <c:v>45345</c:v>
                </c:pt>
                <c:pt idx="406">
                  <c:v>45344</c:v>
                </c:pt>
                <c:pt idx="407">
                  <c:v>45343</c:v>
                </c:pt>
                <c:pt idx="408">
                  <c:v>45342</c:v>
                </c:pt>
                <c:pt idx="409">
                  <c:v>45341</c:v>
                </c:pt>
                <c:pt idx="410">
                  <c:v>45338</c:v>
                </c:pt>
                <c:pt idx="411">
                  <c:v>45337</c:v>
                </c:pt>
                <c:pt idx="412">
                  <c:v>45336</c:v>
                </c:pt>
                <c:pt idx="413">
                  <c:v>45335</c:v>
                </c:pt>
                <c:pt idx="414">
                  <c:v>45334</c:v>
                </c:pt>
                <c:pt idx="415">
                  <c:v>45331</c:v>
                </c:pt>
                <c:pt idx="416">
                  <c:v>45330</c:v>
                </c:pt>
                <c:pt idx="417">
                  <c:v>45329</c:v>
                </c:pt>
                <c:pt idx="418">
                  <c:v>45328</c:v>
                </c:pt>
                <c:pt idx="419">
                  <c:v>45327</c:v>
                </c:pt>
                <c:pt idx="420">
                  <c:v>45324</c:v>
                </c:pt>
                <c:pt idx="421">
                  <c:v>45323</c:v>
                </c:pt>
                <c:pt idx="422">
                  <c:v>45322</c:v>
                </c:pt>
                <c:pt idx="423">
                  <c:v>45321</c:v>
                </c:pt>
                <c:pt idx="424">
                  <c:v>45320</c:v>
                </c:pt>
                <c:pt idx="425">
                  <c:v>45316</c:v>
                </c:pt>
                <c:pt idx="426">
                  <c:v>45315</c:v>
                </c:pt>
                <c:pt idx="427">
                  <c:v>45314</c:v>
                </c:pt>
                <c:pt idx="428">
                  <c:v>45311</c:v>
                </c:pt>
                <c:pt idx="429">
                  <c:v>45310</c:v>
                </c:pt>
                <c:pt idx="430">
                  <c:v>45309</c:v>
                </c:pt>
                <c:pt idx="431">
                  <c:v>45308</c:v>
                </c:pt>
                <c:pt idx="432">
                  <c:v>45307</c:v>
                </c:pt>
                <c:pt idx="433">
                  <c:v>45306</c:v>
                </c:pt>
                <c:pt idx="434">
                  <c:v>45303</c:v>
                </c:pt>
                <c:pt idx="435">
                  <c:v>45302</c:v>
                </c:pt>
                <c:pt idx="436">
                  <c:v>45301</c:v>
                </c:pt>
                <c:pt idx="437">
                  <c:v>45300</c:v>
                </c:pt>
                <c:pt idx="438">
                  <c:v>45299</c:v>
                </c:pt>
                <c:pt idx="439">
                  <c:v>45296</c:v>
                </c:pt>
                <c:pt idx="440">
                  <c:v>45295</c:v>
                </c:pt>
                <c:pt idx="441">
                  <c:v>45294</c:v>
                </c:pt>
                <c:pt idx="442">
                  <c:v>45293</c:v>
                </c:pt>
                <c:pt idx="443">
                  <c:v>45292</c:v>
                </c:pt>
                <c:pt idx="444">
                  <c:v>45289</c:v>
                </c:pt>
                <c:pt idx="445">
                  <c:v>45288</c:v>
                </c:pt>
                <c:pt idx="446">
                  <c:v>45287</c:v>
                </c:pt>
                <c:pt idx="447">
                  <c:v>45286</c:v>
                </c:pt>
                <c:pt idx="448">
                  <c:v>45282</c:v>
                </c:pt>
                <c:pt idx="449">
                  <c:v>45281</c:v>
                </c:pt>
                <c:pt idx="450">
                  <c:v>45280</c:v>
                </c:pt>
                <c:pt idx="451">
                  <c:v>45279</c:v>
                </c:pt>
                <c:pt idx="452">
                  <c:v>45278</c:v>
                </c:pt>
                <c:pt idx="453">
                  <c:v>45275</c:v>
                </c:pt>
                <c:pt idx="454">
                  <c:v>45274</c:v>
                </c:pt>
                <c:pt idx="455">
                  <c:v>45273</c:v>
                </c:pt>
                <c:pt idx="456">
                  <c:v>45272</c:v>
                </c:pt>
                <c:pt idx="457">
                  <c:v>45271</c:v>
                </c:pt>
                <c:pt idx="458">
                  <c:v>45268</c:v>
                </c:pt>
                <c:pt idx="459">
                  <c:v>45267</c:v>
                </c:pt>
                <c:pt idx="460">
                  <c:v>45266</c:v>
                </c:pt>
                <c:pt idx="461">
                  <c:v>45265</c:v>
                </c:pt>
                <c:pt idx="462">
                  <c:v>45264</c:v>
                </c:pt>
                <c:pt idx="463">
                  <c:v>45261</c:v>
                </c:pt>
                <c:pt idx="464">
                  <c:v>45260</c:v>
                </c:pt>
                <c:pt idx="465">
                  <c:v>45259</c:v>
                </c:pt>
                <c:pt idx="466">
                  <c:v>45258</c:v>
                </c:pt>
                <c:pt idx="467">
                  <c:v>45254</c:v>
                </c:pt>
                <c:pt idx="468">
                  <c:v>45253</c:v>
                </c:pt>
                <c:pt idx="469">
                  <c:v>45252</c:v>
                </c:pt>
                <c:pt idx="470">
                  <c:v>45251</c:v>
                </c:pt>
                <c:pt idx="471">
                  <c:v>45250</c:v>
                </c:pt>
                <c:pt idx="472">
                  <c:v>45247</c:v>
                </c:pt>
                <c:pt idx="473">
                  <c:v>45246</c:v>
                </c:pt>
                <c:pt idx="474">
                  <c:v>45245</c:v>
                </c:pt>
                <c:pt idx="475">
                  <c:v>45243</c:v>
                </c:pt>
                <c:pt idx="476">
                  <c:v>45242</c:v>
                </c:pt>
                <c:pt idx="477">
                  <c:v>45240</c:v>
                </c:pt>
                <c:pt idx="478">
                  <c:v>45239</c:v>
                </c:pt>
                <c:pt idx="479">
                  <c:v>45238</c:v>
                </c:pt>
                <c:pt idx="480">
                  <c:v>45237</c:v>
                </c:pt>
                <c:pt idx="481">
                  <c:v>45236</c:v>
                </c:pt>
                <c:pt idx="482">
                  <c:v>45233</c:v>
                </c:pt>
                <c:pt idx="483">
                  <c:v>45232</c:v>
                </c:pt>
                <c:pt idx="484">
                  <c:v>45231</c:v>
                </c:pt>
                <c:pt idx="485">
                  <c:v>45230</c:v>
                </c:pt>
                <c:pt idx="486">
                  <c:v>45229</c:v>
                </c:pt>
                <c:pt idx="487">
                  <c:v>45226</c:v>
                </c:pt>
                <c:pt idx="488">
                  <c:v>45225</c:v>
                </c:pt>
                <c:pt idx="489">
                  <c:v>45224</c:v>
                </c:pt>
                <c:pt idx="490">
                  <c:v>45222</c:v>
                </c:pt>
                <c:pt idx="491">
                  <c:v>45219</c:v>
                </c:pt>
                <c:pt idx="492">
                  <c:v>45218</c:v>
                </c:pt>
                <c:pt idx="493">
                  <c:v>45217</c:v>
                </c:pt>
                <c:pt idx="494">
                  <c:v>45216</c:v>
                </c:pt>
                <c:pt idx="495">
                  <c:v>45215</c:v>
                </c:pt>
                <c:pt idx="496">
                  <c:v>45212</c:v>
                </c:pt>
                <c:pt idx="497">
                  <c:v>45211</c:v>
                </c:pt>
                <c:pt idx="498">
                  <c:v>45210</c:v>
                </c:pt>
                <c:pt idx="499">
                  <c:v>45209</c:v>
                </c:pt>
                <c:pt idx="500">
                  <c:v>45208</c:v>
                </c:pt>
                <c:pt idx="501">
                  <c:v>45205</c:v>
                </c:pt>
                <c:pt idx="502">
                  <c:v>45204</c:v>
                </c:pt>
                <c:pt idx="503">
                  <c:v>45203</c:v>
                </c:pt>
                <c:pt idx="504">
                  <c:v>45202</c:v>
                </c:pt>
                <c:pt idx="505">
                  <c:v>45198</c:v>
                </c:pt>
                <c:pt idx="506">
                  <c:v>45197</c:v>
                </c:pt>
                <c:pt idx="507">
                  <c:v>45196</c:v>
                </c:pt>
                <c:pt idx="508">
                  <c:v>45195</c:v>
                </c:pt>
                <c:pt idx="509">
                  <c:v>45194</c:v>
                </c:pt>
                <c:pt idx="510">
                  <c:v>45191</c:v>
                </c:pt>
                <c:pt idx="511">
                  <c:v>45190</c:v>
                </c:pt>
                <c:pt idx="512">
                  <c:v>45189</c:v>
                </c:pt>
                <c:pt idx="513">
                  <c:v>45187</c:v>
                </c:pt>
                <c:pt idx="514">
                  <c:v>45184</c:v>
                </c:pt>
                <c:pt idx="515">
                  <c:v>45183</c:v>
                </c:pt>
                <c:pt idx="516">
                  <c:v>45182</c:v>
                </c:pt>
                <c:pt idx="517">
                  <c:v>45181</c:v>
                </c:pt>
                <c:pt idx="518">
                  <c:v>45180</c:v>
                </c:pt>
                <c:pt idx="519">
                  <c:v>45177</c:v>
                </c:pt>
                <c:pt idx="520">
                  <c:v>45176</c:v>
                </c:pt>
                <c:pt idx="521">
                  <c:v>45175</c:v>
                </c:pt>
                <c:pt idx="522">
                  <c:v>45174</c:v>
                </c:pt>
                <c:pt idx="523">
                  <c:v>45173</c:v>
                </c:pt>
                <c:pt idx="524">
                  <c:v>45170</c:v>
                </c:pt>
                <c:pt idx="525">
                  <c:v>45169</c:v>
                </c:pt>
                <c:pt idx="526">
                  <c:v>45168</c:v>
                </c:pt>
                <c:pt idx="527">
                  <c:v>45167</c:v>
                </c:pt>
                <c:pt idx="528">
                  <c:v>45166</c:v>
                </c:pt>
                <c:pt idx="529">
                  <c:v>45163</c:v>
                </c:pt>
                <c:pt idx="530">
                  <c:v>45162</c:v>
                </c:pt>
                <c:pt idx="531">
                  <c:v>45161</c:v>
                </c:pt>
                <c:pt idx="532">
                  <c:v>45160</c:v>
                </c:pt>
                <c:pt idx="533">
                  <c:v>45159</c:v>
                </c:pt>
                <c:pt idx="534">
                  <c:v>45156</c:v>
                </c:pt>
                <c:pt idx="535">
                  <c:v>45155</c:v>
                </c:pt>
                <c:pt idx="536">
                  <c:v>45154</c:v>
                </c:pt>
                <c:pt idx="537">
                  <c:v>45152</c:v>
                </c:pt>
                <c:pt idx="538">
                  <c:v>45149</c:v>
                </c:pt>
                <c:pt idx="539">
                  <c:v>45148</c:v>
                </c:pt>
                <c:pt idx="540">
                  <c:v>45147</c:v>
                </c:pt>
                <c:pt idx="541">
                  <c:v>45146</c:v>
                </c:pt>
                <c:pt idx="542">
                  <c:v>45145</c:v>
                </c:pt>
                <c:pt idx="543">
                  <c:v>45142</c:v>
                </c:pt>
                <c:pt idx="544">
                  <c:v>45141</c:v>
                </c:pt>
                <c:pt idx="545">
                  <c:v>45140</c:v>
                </c:pt>
                <c:pt idx="546">
                  <c:v>45139</c:v>
                </c:pt>
                <c:pt idx="547">
                  <c:v>45138</c:v>
                </c:pt>
                <c:pt idx="548">
                  <c:v>45135</c:v>
                </c:pt>
                <c:pt idx="549">
                  <c:v>45134</c:v>
                </c:pt>
                <c:pt idx="550">
                  <c:v>45133</c:v>
                </c:pt>
                <c:pt idx="551">
                  <c:v>45132</c:v>
                </c:pt>
                <c:pt idx="552">
                  <c:v>45131</c:v>
                </c:pt>
                <c:pt idx="553">
                  <c:v>45128</c:v>
                </c:pt>
                <c:pt idx="554">
                  <c:v>45127</c:v>
                </c:pt>
                <c:pt idx="555">
                  <c:v>45126</c:v>
                </c:pt>
                <c:pt idx="556">
                  <c:v>45125</c:v>
                </c:pt>
                <c:pt idx="557">
                  <c:v>45124</c:v>
                </c:pt>
                <c:pt idx="558">
                  <c:v>45121</c:v>
                </c:pt>
                <c:pt idx="559">
                  <c:v>45120</c:v>
                </c:pt>
                <c:pt idx="560">
                  <c:v>45119</c:v>
                </c:pt>
                <c:pt idx="561">
                  <c:v>45118</c:v>
                </c:pt>
                <c:pt idx="562">
                  <c:v>45117</c:v>
                </c:pt>
                <c:pt idx="563">
                  <c:v>45114</c:v>
                </c:pt>
                <c:pt idx="564">
                  <c:v>45113</c:v>
                </c:pt>
                <c:pt idx="565">
                  <c:v>45112</c:v>
                </c:pt>
                <c:pt idx="566">
                  <c:v>45111</c:v>
                </c:pt>
                <c:pt idx="567">
                  <c:v>45110</c:v>
                </c:pt>
                <c:pt idx="568">
                  <c:v>45107</c:v>
                </c:pt>
                <c:pt idx="569">
                  <c:v>45105</c:v>
                </c:pt>
                <c:pt idx="570">
                  <c:v>45104</c:v>
                </c:pt>
                <c:pt idx="571">
                  <c:v>45103</c:v>
                </c:pt>
                <c:pt idx="572">
                  <c:v>45100</c:v>
                </c:pt>
                <c:pt idx="573">
                  <c:v>45099</c:v>
                </c:pt>
                <c:pt idx="574">
                  <c:v>45098</c:v>
                </c:pt>
                <c:pt idx="575">
                  <c:v>45097</c:v>
                </c:pt>
                <c:pt idx="576">
                  <c:v>45096</c:v>
                </c:pt>
                <c:pt idx="577">
                  <c:v>45093</c:v>
                </c:pt>
                <c:pt idx="578">
                  <c:v>45092</c:v>
                </c:pt>
                <c:pt idx="579">
                  <c:v>45091</c:v>
                </c:pt>
                <c:pt idx="580">
                  <c:v>45090</c:v>
                </c:pt>
                <c:pt idx="581">
                  <c:v>45089</c:v>
                </c:pt>
                <c:pt idx="582">
                  <c:v>45086</c:v>
                </c:pt>
                <c:pt idx="583">
                  <c:v>45085</c:v>
                </c:pt>
                <c:pt idx="584">
                  <c:v>45084</c:v>
                </c:pt>
                <c:pt idx="585">
                  <c:v>45083</c:v>
                </c:pt>
                <c:pt idx="586">
                  <c:v>45082</c:v>
                </c:pt>
                <c:pt idx="587">
                  <c:v>45079</c:v>
                </c:pt>
                <c:pt idx="588">
                  <c:v>45078</c:v>
                </c:pt>
                <c:pt idx="589">
                  <c:v>45077</c:v>
                </c:pt>
                <c:pt idx="590">
                  <c:v>45076</c:v>
                </c:pt>
                <c:pt idx="591">
                  <c:v>45075</c:v>
                </c:pt>
                <c:pt idx="592">
                  <c:v>45072</c:v>
                </c:pt>
                <c:pt idx="593">
                  <c:v>45071</c:v>
                </c:pt>
                <c:pt idx="594">
                  <c:v>45070</c:v>
                </c:pt>
                <c:pt idx="595">
                  <c:v>45069</c:v>
                </c:pt>
                <c:pt idx="596">
                  <c:v>45068</c:v>
                </c:pt>
                <c:pt idx="597">
                  <c:v>45065</c:v>
                </c:pt>
                <c:pt idx="598">
                  <c:v>45064</c:v>
                </c:pt>
                <c:pt idx="599">
                  <c:v>45063</c:v>
                </c:pt>
                <c:pt idx="600">
                  <c:v>45062</c:v>
                </c:pt>
                <c:pt idx="601">
                  <c:v>45061</c:v>
                </c:pt>
                <c:pt idx="602">
                  <c:v>45058</c:v>
                </c:pt>
                <c:pt idx="603">
                  <c:v>45057</c:v>
                </c:pt>
                <c:pt idx="604">
                  <c:v>45056</c:v>
                </c:pt>
                <c:pt idx="605">
                  <c:v>45055</c:v>
                </c:pt>
                <c:pt idx="606">
                  <c:v>45054</c:v>
                </c:pt>
                <c:pt idx="607">
                  <c:v>45051</c:v>
                </c:pt>
                <c:pt idx="608">
                  <c:v>45050</c:v>
                </c:pt>
                <c:pt idx="609">
                  <c:v>45049</c:v>
                </c:pt>
                <c:pt idx="610">
                  <c:v>45048</c:v>
                </c:pt>
                <c:pt idx="611">
                  <c:v>45044</c:v>
                </c:pt>
                <c:pt idx="612">
                  <c:v>45043</c:v>
                </c:pt>
                <c:pt idx="613">
                  <c:v>45042</c:v>
                </c:pt>
                <c:pt idx="614">
                  <c:v>45041</c:v>
                </c:pt>
                <c:pt idx="615">
                  <c:v>45040</c:v>
                </c:pt>
                <c:pt idx="616">
                  <c:v>45037</c:v>
                </c:pt>
                <c:pt idx="617">
                  <c:v>45036</c:v>
                </c:pt>
                <c:pt idx="618">
                  <c:v>45035</c:v>
                </c:pt>
                <c:pt idx="619">
                  <c:v>45034</c:v>
                </c:pt>
                <c:pt idx="620">
                  <c:v>45033</c:v>
                </c:pt>
                <c:pt idx="621">
                  <c:v>45029</c:v>
                </c:pt>
                <c:pt idx="622">
                  <c:v>45028</c:v>
                </c:pt>
                <c:pt idx="623">
                  <c:v>45027</c:v>
                </c:pt>
                <c:pt idx="624">
                  <c:v>45026</c:v>
                </c:pt>
                <c:pt idx="625">
                  <c:v>45022</c:v>
                </c:pt>
                <c:pt idx="626">
                  <c:v>45021</c:v>
                </c:pt>
                <c:pt idx="627">
                  <c:v>45019</c:v>
                </c:pt>
                <c:pt idx="628">
                  <c:v>45016</c:v>
                </c:pt>
                <c:pt idx="629">
                  <c:v>45014</c:v>
                </c:pt>
                <c:pt idx="630">
                  <c:v>45013</c:v>
                </c:pt>
                <c:pt idx="631">
                  <c:v>45012</c:v>
                </c:pt>
                <c:pt idx="632">
                  <c:v>45009</c:v>
                </c:pt>
                <c:pt idx="633">
                  <c:v>45008</c:v>
                </c:pt>
                <c:pt idx="634">
                  <c:v>45007</c:v>
                </c:pt>
                <c:pt idx="635">
                  <c:v>45006</c:v>
                </c:pt>
                <c:pt idx="636">
                  <c:v>45005</c:v>
                </c:pt>
                <c:pt idx="637">
                  <c:v>45002</c:v>
                </c:pt>
                <c:pt idx="638">
                  <c:v>45001</c:v>
                </c:pt>
                <c:pt idx="639">
                  <c:v>45000</c:v>
                </c:pt>
                <c:pt idx="640">
                  <c:v>44999</c:v>
                </c:pt>
                <c:pt idx="641">
                  <c:v>44998</c:v>
                </c:pt>
                <c:pt idx="642">
                  <c:v>44995</c:v>
                </c:pt>
                <c:pt idx="643">
                  <c:v>44994</c:v>
                </c:pt>
                <c:pt idx="644">
                  <c:v>44993</c:v>
                </c:pt>
                <c:pt idx="645">
                  <c:v>44991</c:v>
                </c:pt>
                <c:pt idx="646">
                  <c:v>44988</c:v>
                </c:pt>
                <c:pt idx="647">
                  <c:v>44987</c:v>
                </c:pt>
                <c:pt idx="648">
                  <c:v>44986</c:v>
                </c:pt>
                <c:pt idx="649">
                  <c:v>44985</c:v>
                </c:pt>
                <c:pt idx="650">
                  <c:v>44984</c:v>
                </c:pt>
                <c:pt idx="651">
                  <c:v>44981</c:v>
                </c:pt>
                <c:pt idx="652">
                  <c:v>44980</c:v>
                </c:pt>
                <c:pt idx="653">
                  <c:v>44979</c:v>
                </c:pt>
                <c:pt idx="654">
                  <c:v>44978</c:v>
                </c:pt>
                <c:pt idx="655">
                  <c:v>44977</c:v>
                </c:pt>
                <c:pt idx="656">
                  <c:v>44974</c:v>
                </c:pt>
                <c:pt idx="657">
                  <c:v>44973</c:v>
                </c:pt>
                <c:pt idx="658">
                  <c:v>44972</c:v>
                </c:pt>
                <c:pt idx="659">
                  <c:v>44971</c:v>
                </c:pt>
                <c:pt idx="660">
                  <c:v>44970</c:v>
                </c:pt>
                <c:pt idx="661">
                  <c:v>44967</c:v>
                </c:pt>
                <c:pt idx="662">
                  <c:v>44966</c:v>
                </c:pt>
                <c:pt idx="663">
                  <c:v>44965</c:v>
                </c:pt>
                <c:pt idx="664">
                  <c:v>44964</c:v>
                </c:pt>
                <c:pt idx="665">
                  <c:v>44963</c:v>
                </c:pt>
                <c:pt idx="666">
                  <c:v>44960</c:v>
                </c:pt>
                <c:pt idx="667">
                  <c:v>44959</c:v>
                </c:pt>
                <c:pt idx="668">
                  <c:v>44958</c:v>
                </c:pt>
                <c:pt idx="669">
                  <c:v>44957</c:v>
                </c:pt>
                <c:pt idx="670">
                  <c:v>44956</c:v>
                </c:pt>
                <c:pt idx="671">
                  <c:v>44953</c:v>
                </c:pt>
                <c:pt idx="672">
                  <c:v>44951</c:v>
                </c:pt>
                <c:pt idx="673">
                  <c:v>44950</c:v>
                </c:pt>
                <c:pt idx="674">
                  <c:v>44949</c:v>
                </c:pt>
                <c:pt idx="675">
                  <c:v>44946</c:v>
                </c:pt>
                <c:pt idx="676">
                  <c:v>44945</c:v>
                </c:pt>
                <c:pt idx="677">
                  <c:v>44944</c:v>
                </c:pt>
                <c:pt idx="678">
                  <c:v>44943</c:v>
                </c:pt>
                <c:pt idx="679">
                  <c:v>44942</c:v>
                </c:pt>
                <c:pt idx="680">
                  <c:v>44939</c:v>
                </c:pt>
                <c:pt idx="681">
                  <c:v>44938</c:v>
                </c:pt>
                <c:pt idx="682">
                  <c:v>44937</c:v>
                </c:pt>
                <c:pt idx="683">
                  <c:v>44936</c:v>
                </c:pt>
                <c:pt idx="684">
                  <c:v>44935</c:v>
                </c:pt>
                <c:pt idx="685">
                  <c:v>44932</c:v>
                </c:pt>
                <c:pt idx="686">
                  <c:v>44931</c:v>
                </c:pt>
                <c:pt idx="687">
                  <c:v>44930</c:v>
                </c:pt>
                <c:pt idx="688">
                  <c:v>44929</c:v>
                </c:pt>
                <c:pt idx="689">
                  <c:v>44928</c:v>
                </c:pt>
                <c:pt idx="690">
                  <c:v>44925</c:v>
                </c:pt>
                <c:pt idx="691">
                  <c:v>44924</c:v>
                </c:pt>
                <c:pt idx="692">
                  <c:v>44923</c:v>
                </c:pt>
                <c:pt idx="693">
                  <c:v>44922</c:v>
                </c:pt>
                <c:pt idx="694">
                  <c:v>44921</c:v>
                </c:pt>
                <c:pt idx="695">
                  <c:v>44918</c:v>
                </c:pt>
                <c:pt idx="696">
                  <c:v>44917</c:v>
                </c:pt>
                <c:pt idx="697">
                  <c:v>44916</c:v>
                </c:pt>
                <c:pt idx="698">
                  <c:v>44915</c:v>
                </c:pt>
                <c:pt idx="699">
                  <c:v>44914</c:v>
                </c:pt>
                <c:pt idx="700">
                  <c:v>44911</c:v>
                </c:pt>
                <c:pt idx="701">
                  <c:v>44910</c:v>
                </c:pt>
                <c:pt idx="702">
                  <c:v>44909</c:v>
                </c:pt>
                <c:pt idx="703">
                  <c:v>44908</c:v>
                </c:pt>
                <c:pt idx="704">
                  <c:v>44907</c:v>
                </c:pt>
                <c:pt idx="705">
                  <c:v>44904</c:v>
                </c:pt>
                <c:pt idx="706">
                  <c:v>44903</c:v>
                </c:pt>
                <c:pt idx="707">
                  <c:v>44902</c:v>
                </c:pt>
                <c:pt idx="708">
                  <c:v>44901</c:v>
                </c:pt>
                <c:pt idx="709">
                  <c:v>44900</c:v>
                </c:pt>
                <c:pt idx="710">
                  <c:v>44897</c:v>
                </c:pt>
                <c:pt idx="711">
                  <c:v>44896</c:v>
                </c:pt>
                <c:pt idx="712">
                  <c:v>44895</c:v>
                </c:pt>
                <c:pt idx="713">
                  <c:v>44894</c:v>
                </c:pt>
                <c:pt idx="714">
                  <c:v>44893</c:v>
                </c:pt>
                <c:pt idx="715">
                  <c:v>44890</c:v>
                </c:pt>
                <c:pt idx="716">
                  <c:v>44889</c:v>
                </c:pt>
                <c:pt idx="717">
                  <c:v>44888</c:v>
                </c:pt>
                <c:pt idx="718">
                  <c:v>44887</c:v>
                </c:pt>
                <c:pt idx="719">
                  <c:v>44886</c:v>
                </c:pt>
                <c:pt idx="720">
                  <c:v>44883</c:v>
                </c:pt>
                <c:pt idx="721">
                  <c:v>44882</c:v>
                </c:pt>
                <c:pt idx="722">
                  <c:v>44881</c:v>
                </c:pt>
                <c:pt idx="723">
                  <c:v>44880</c:v>
                </c:pt>
                <c:pt idx="724">
                  <c:v>44879</c:v>
                </c:pt>
                <c:pt idx="725">
                  <c:v>44876</c:v>
                </c:pt>
                <c:pt idx="726">
                  <c:v>44875</c:v>
                </c:pt>
                <c:pt idx="727">
                  <c:v>44874</c:v>
                </c:pt>
                <c:pt idx="728">
                  <c:v>44872</c:v>
                </c:pt>
                <c:pt idx="729">
                  <c:v>44869</c:v>
                </c:pt>
                <c:pt idx="730">
                  <c:v>44868</c:v>
                </c:pt>
                <c:pt idx="731">
                  <c:v>44867</c:v>
                </c:pt>
                <c:pt idx="732">
                  <c:v>44866</c:v>
                </c:pt>
                <c:pt idx="733">
                  <c:v>44865</c:v>
                </c:pt>
                <c:pt idx="734">
                  <c:v>44862</c:v>
                </c:pt>
                <c:pt idx="735">
                  <c:v>44861</c:v>
                </c:pt>
                <c:pt idx="736">
                  <c:v>44859</c:v>
                </c:pt>
                <c:pt idx="737">
                  <c:v>44858</c:v>
                </c:pt>
                <c:pt idx="738">
                  <c:v>44855</c:v>
                </c:pt>
                <c:pt idx="739">
                  <c:v>44854</c:v>
                </c:pt>
                <c:pt idx="740">
                  <c:v>44853</c:v>
                </c:pt>
                <c:pt idx="741">
                  <c:v>44852</c:v>
                </c:pt>
                <c:pt idx="742">
                  <c:v>44851</c:v>
                </c:pt>
                <c:pt idx="743">
                  <c:v>44848</c:v>
                </c:pt>
                <c:pt idx="744">
                  <c:v>44847</c:v>
                </c:pt>
                <c:pt idx="745">
                  <c:v>44846</c:v>
                </c:pt>
                <c:pt idx="746">
                  <c:v>44845</c:v>
                </c:pt>
                <c:pt idx="747">
                  <c:v>44844</c:v>
                </c:pt>
                <c:pt idx="748">
                  <c:v>44841</c:v>
                </c:pt>
                <c:pt idx="749">
                  <c:v>44840</c:v>
                </c:pt>
                <c:pt idx="750">
                  <c:v>44838</c:v>
                </c:pt>
                <c:pt idx="751">
                  <c:v>44837</c:v>
                </c:pt>
                <c:pt idx="752">
                  <c:v>44834</c:v>
                </c:pt>
                <c:pt idx="753">
                  <c:v>44833</c:v>
                </c:pt>
                <c:pt idx="754">
                  <c:v>44832</c:v>
                </c:pt>
                <c:pt idx="755">
                  <c:v>44831</c:v>
                </c:pt>
                <c:pt idx="756">
                  <c:v>44830</c:v>
                </c:pt>
                <c:pt idx="757">
                  <c:v>44827</c:v>
                </c:pt>
                <c:pt idx="758">
                  <c:v>44826</c:v>
                </c:pt>
                <c:pt idx="759">
                  <c:v>44825</c:v>
                </c:pt>
                <c:pt idx="760">
                  <c:v>44824</c:v>
                </c:pt>
                <c:pt idx="761">
                  <c:v>44823</c:v>
                </c:pt>
                <c:pt idx="762">
                  <c:v>44820</c:v>
                </c:pt>
                <c:pt idx="763">
                  <c:v>44819</c:v>
                </c:pt>
                <c:pt idx="764">
                  <c:v>44818</c:v>
                </c:pt>
                <c:pt idx="765">
                  <c:v>44817</c:v>
                </c:pt>
                <c:pt idx="766">
                  <c:v>44816</c:v>
                </c:pt>
                <c:pt idx="767">
                  <c:v>44813</c:v>
                </c:pt>
                <c:pt idx="768">
                  <c:v>44812</c:v>
                </c:pt>
                <c:pt idx="769">
                  <c:v>44811</c:v>
                </c:pt>
                <c:pt idx="770">
                  <c:v>44810</c:v>
                </c:pt>
                <c:pt idx="771">
                  <c:v>44809</c:v>
                </c:pt>
                <c:pt idx="772">
                  <c:v>44806</c:v>
                </c:pt>
                <c:pt idx="773">
                  <c:v>44805</c:v>
                </c:pt>
                <c:pt idx="774">
                  <c:v>44803</c:v>
                </c:pt>
                <c:pt idx="775">
                  <c:v>44802</c:v>
                </c:pt>
                <c:pt idx="776">
                  <c:v>44799</c:v>
                </c:pt>
                <c:pt idx="777">
                  <c:v>44798</c:v>
                </c:pt>
                <c:pt idx="778">
                  <c:v>44797</c:v>
                </c:pt>
                <c:pt idx="779">
                  <c:v>44796</c:v>
                </c:pt>
                <c:pt idx="780">
                  <c:v>44795</c:v>
                </c:pt>
                <c:pt idx="781">
                  <c:v>44792</c:v>
                </c:pt>
                <c:pt idx="782">
                  <c:v>44791</c:v>
                </c:pt>
                <c:pt idx="783">
                  <c:v>44790</c:v>
                </c:pt>
                <c:pt idx="784">
                  <c:v>44789</c:v>
                </c:pt>
                <c:pt idx="785">
                  <c:v>44785</c:v>
                </c:pt>
                <c:pt idx="786">
                  <c:v>44784</c:v>
                </c:pt>
                <c:pt idx="787">
                  <c:v>44783</c:v>
                </c:pt>
                <c:pt idx="788">
                  <c:v>44781</c:v>
                </c:pt>
                <c:pt idx="789">
                  <c:v>44778</c:v>
                </c:pt>
                <c:pt idx="790">
                  <c:v>44777</c:v>
                </c:pt>
                <c:pt idx="791">
                  <c:v>44776</c:v>
                </c:pt>
                <c:pt idx="792">
                  <c:v>44775</c:v>
                </c:pt>
                <c:pt idx="793">
                  <c:v>44774</c:v>
                </c:pt>
                <c:pt idx="794">
                  <c:v>44771</c:v>
                </c:pt>
                <c:pt idx="795">
                  <c:v>44770</c:v>
                </c:pt>
                <c:pt idx="796">
                  <c:v>44769</c:v>
                </c:pt>
                <c:pt idx="797">
                  <c:v>44768</c:v>
                </c:pt>
                <c:pt idx="798">
                  <c:v>44767</c:v>
                </c:pt>
                <c:pt idx="799">
                  <c:v>44764</c:v>
                </c:pt>
                <c:pt idx="800">
                  <c:v>44763</c:v>
                </c:pt>
                <c:pt idx="801">
                  <c:v>44762</c:v>
                </c:pt>
                <c:pt idx="802">
                  <c:v>44761</c:v>
                </c:pt>
                <c:pt idx="803">
                  <c:v>44760</c:v>
                </c:pt>
                <c:pt idx="804">
                  <c:v>44757</c:v>
                </c:pt>
                <c:pt idx="805">
                  <c:v>44756</c:v>
                </c:pt>
                <c:pt idx="806">
                  <c:v>44755</c:v>
                </c:pt>
                <c:pt idx="807">
                  <c:v>44754</c:v>
                </c:pt>
                <c:pt idx="808">
                  <c:v>44753</c:v>
                </c:pt>
                <c:pt idx="809">
                  <c:v>44750</c:v>
                </c:pt>
                <c:pt idx="810">
                  <c:v>44749</c:v>
                </c:pt>
                <c:pt idx="811">
                  <c:v>44748</c:v>
                </c:pt>
                <c:pt idx="812">
                  <c:v>44747</c:v>
                </c:pt>
                <c:pt idx="813">
                  <c:v>44746</c:v>
                </c:pt>
                <c:pt idx="814">
                  <c:v>44743</c:v>
                </c:pt>
                <c:pt idx="815">
                  <c:v>44742</c:v>
                </c:pt>
                <c:pt idx="816">
                  <c:v>44741</c:v>
                </c:pt>
                <c:pt idx="817">
                  <c:v>44740</c:v>
                </c:pt>
                <c:pt idx="818">
                  <c:v>44739</c:v>
                </c:pt>
                <c:pt idx="819">
                  <c:v>44736</c:v>
                </c:pt>
                <c:pt idx="820">
                  <c:v>44735</c:v>
                </c:pt>
                <c:pt idx="821">
                  <c:v>44734</c:v>
                </c:pt>
                <c:pt idx="822">
                  <c:v>44733</c:v>
                </c:pt>
                <c:pt idx="823">
                  <c:v>44732</c:v>
                </c:pt>
                <c:pt idx="824">
                  <c:v>44729</c:v>
                </c:pt>
                <c:pt idx="825">
                  <c:v>44728</c:v>
                </c:pt>
                <c:pt idx="826">
                  <c:v>44727</c:v>
                </c:pt>
                <c:pt idx="827">
                  <c:v>44726</c:v>
                </c:pt>
                <c:pt idx="828">
                  <c:v>44725</c:v>
                </c:pt>
                <c:pt idx="829">
                  <c:v>44722</c:v>
                </c:pt>
                <c:pt idx="830">
                  <c:v>44721</c:v>
                </c:pt>
                <c:pt idx="831">
                  <c:v>44720</c:v>
                </c:pt>
                <c:pt idx="832">
                  <c:v>44719</c:v>
                </c:pt>
                <c:pt idx="833">
                  <c:v>44718</c:v>
                </c:pt>
                <c:pt idx="834">
                  <c:v>44715</c:v>
                </c:pt>
                <c:pt idx="835">
                  <c:v>44714</c:v>
                </c:pt>
                <c:pt idx="836">
                  <c:v>44713</c:v>
                </c:pt>
                <c:pt idx="837">
                  <c:v>44712</c:v>
                </c:pt>
                <c:pt idx="838">
                  <c:v>44711</c:v>
                </c:pt>
                <c:pt idx="839">
                  <c:v>44708</c:v>
                </c:pt>
                <c:pt idx="840">
                  <c:v>44707</c:v>
                </c:pt>
                <c:pt idx="841">
                  <c:v>44706</c:v>
                </c:pt>
                <c:pt idx="842">
                  <c:v>44705</c:v>
                </c:pt>
                <c:pt idx="843">
                  <c:v>44704</c:v>
                </c:pt>
                <c:pt idx="844">
                  <c:v>44701</c:v>
                </c:pt>
                <c:pt idx="845">
                  <c:v>44700</c:v>
                </c:pt>
                <c:pt idx="846">
                  <c:v>44699</c:v>
                </c:pt>
                <c:pt idx="847">
                  <c:v>44698</c:v>
                </c:pt>
                <c:pt idx="848">
                  <c:v>44697</c:v>
                </c:pt>
                <c:pt idx="849">
                  <c:v>44694</c:v>
                </c:pt>
                <c:pt idx="850">
                  <c:v>44693</c:v>
                </c:pt>
                <c:pt idx="851">
                  <c:v>44692</c:v>
                </c:pt>
                <c:pt idx="852">
                  <c:v>44691</c:v>
                </c:pt>
                <c:pt idx="853">
                  <c:v>44690</c:v>
                </c:pt>
                <c:pt idx="854">
                  <c:v>44687</c:v>
                </c:pt>
                <c:pt idx="855">
                  <c:v>44686</c:v>
                </c:pt>
                <c:pt idx="856">
                  <c:v>44685</c:v>
                </c:pt>
                <c:pt idx="857">
                  <c:v>44683</c:v>
                </c:pt>
                <c:pt idx="858">
                  <c:v>44680</c:v>
                </c:pt>
                <c:pt idx="859">
                  <c:v>44679</c:v>
                </c:pt>
                <c:pt idx="860">
                  <c:v>44678</c:v>
                </c:pt>
                <c:pt idx="861">
                  <c:v>44677</c:v>
                </c:pt>
                <c:pt idx="862">
                  <c:v>44676</c:v>
                </c:pt>
                <c:pt idx="863">
                  <c:v>44673</c:v>
                </c:pt>
                <c:pt idx="864">
                  <c:v>44672</c:v>
                </c:pt>
                <c:pt idx="865">
                  <c:v>44671</c:v>
                </c:pt>
                <c:pt idx="866">
                  <c:v>44670</c:v>
                </c:pt>
                <c:pt idx="867">
                  <c:v>44669</c:v>
                </c:pt>
                <c:pt idx="868">
                  <c:v>44664</c:v>
                </c:pt>
                <c:pt idx="869">
                  <c:v>44663</c:v>
                </c:pt>
                <c:pt idx="870">
                  <c:v>44662</c:v>
                </c:pt>
                <c:pt idx="871">
                  <c:v>44659</c:v>
                </c:pt>
                <c:pt idx="872">
                  <c:v>44658</c:v>
                </c:pt>
                <c:pt idx="873">
                  <c:v>44657</c:v>
                </c:pt>
                <c:pt idx="874">
                  <c:v>44656</c:v>
                </c:pt>
                <c:pt idx="875">
                  <c:v>44655</c:v>
                </c:pt>
                <c:pt idx="876">
                  <c:v>44652</c:v>
                </c:pt>
                <c:pt idx="877">
                  <c:v>44651</c:v>
                </c:pt>
                <c:pt idx="878">
                  <c:v>44650</c:v>
                </c:pt>
                <c:pt idx="879">
                  <c:v>44649</c:v>
                </c:pt>
                <c:pt idx="880">
                  <c:v>44648</c:v>
                </c:pt>
                <c:pt idx="881">
                  <c:v>44645</c:v>
                </c:pt>
                <c:pt idx="882">
                  <c:v>44644</c:v>
                </c:pt>
                <c:pt idx="883">
                  <c:v>44643</c:v>
                </c:pt>
                <c:pt idx="884">
                  <c:v>44642</c:v>
                </c:pt>
                <c:pt idx="885">
                  <c:v>44641</c:v>
                </c:pt>
                <c:pt idx="886">
                  <c:v>44637</c:v>
                </c:pt>
                <c:pt idx="887">
                  <c:v>44636</c:v>
                </c:pt>
                <c:pt idx="888">
                  <c:v>44635</c:v>
                </c:pt>
                <c:pt idx="889">
                  <c:v>44634</c:v>
                </c:pt>
                <c:pt idx="890">
                  <c:v>44631</c:v>
                </c:pt>
                <c:pt idx="891">
                  <c:v>44630</c:v>
                </c:pt>
                <c:pt idx="892">
                  <c:v>44629</c:v>
                </c:pt>
                <c:pt idx="893">
                  <c:v>44628</c:v>
                </c:pt>
                <c:pt idx="894">
                  <c:v>44627</c:v>
                </c:pt>
                <c:pt idx="895">
                  <c:v>44624</c:v>
                </c:pt>
                <c:pt idx="896">
                  <c:v>44623</c:v>
                </c:pt>
                <c:pt idx="897">
                  <c:v>44622</c:v>
                </c:pt>
                <c:pt idx="898">
                  <c:v>44620</c:v>
                </c:pt>
                <c:pt idx="899">
                  <c:v>44617</c:v>
                </c:pt>
                <c:pt idx="900">
                  <c:v>44616</c:v>
                </c:pt>
                <c:pt idx="901">
                  <c:v>44615</c:v>
                </c:pt>
                <c:pt idx="902">
                  <c:v>44614</c:v>
                </c:pt>
                <c:pt idx="903">
                  <c:v>44613</c:v>
                </c:pt>
                <c:pt idx="904">
                  <c:v>44610</c:v>
                </c:pt>
                <c:pt idx="905">
                  <c:v>44609</c:v>
                </c:pt>
                <c:pt idx="906">
                  <c:v>44608</c:v>
                </c:pt>
                <c:pt idx="907">
                  <c:v>44607</c:v>
                </c:pt>
                <c:pt idx="908">
                  <c:v>44606</c:v>
                </c:pt>
                <c:pt idx="909">
                  <c:v>44603</c:v>
                </c:pt>
                <c:pt idx="910">
                  <c:v>44602</c:v>
                </c:pt>
                <c:pt idx="911">
                  <c:v>44601</c:v>
                </c:pt>
                <c:pt idx="912">
                  <c:v>44600</c:v>
                </c:pt>
                <c:pt idx="913">
                  <c:v>44599</c:v>
                </c:pt>
                <c:pt idx="914">
                  <c:v>44596</c:v>
                </c:pt>
                <c:pt idx="915">
                  <c:v>44595</c:v>
                </c:pt>
                <c:pt idx="916">
                  <c:v>44594</c:v>
                </c:pt>
                <c:pt idx="917">
                  <c:v>44593</c:v>
                </c:pt>
                <c:pt idx="918">
                  <c:v>44592</c:v>
                </c:pt>
                <c:pt idx="919">
                  <c:v>44589</c:v>
                </c:pt>
                <c:pt idx="920">
                  <c:v>44588</c:v>
                </c:pt>
                <c:pt idx="921">
                  <c:v>44586</c:v>
                </c:pt>
                <c:pt idx="922">
                  <c:v>44585</c:v>
                </c:pt>
                <c:pt idx="923">
                  <c:v>44582</c:v>
                </c:pt>
                <c:pt idx="924">
                  <c:v>44581</c:v>
                </c:pt>
                <c:pt idx="925">
                  <c:v>44580</c:v>
                </c:pt>
                <c:pt idx="926">
                  <c:v>44579</c:v>
                </c:pt>
                <c:pt idx="927">
                  <c:v>44578</c:v>
                </c:pt>
                <c:pt idx="928">
                  <c:v>44575</c:v>
                </c:pt>
                <c:pt idx="929">
                  <c:v>44574</c:v>
                </c:pt>
                <c:pt idx="930">
                  <c:v>44573</c:v>
                </c:pt>
                <c:pt idx="931">
                  <c:v>44572</c:v>
                </c:pt>
                <c:pt idx="932">
                  <c:v>44571</c:v>
                </c:pt>
                <c:pt idx="933">
                  <c:v>44568</c:v>
                </c:pt>
                <c:pt idx="934">
                  <c:v>44567</c:v>
                </c:pt>
                <c:pt idx="935">
                  <c:v>44566</c:v>
                </c:pt>
                <c:pt idx="936">
                  <c:v>44565</c:v>
                </c:pt>
                <c:pt idx="937">
                  <c:v>44564</c:v>
                </c:pt>
                <c:pt idx="938">
                  <c:v>44561</c:v>
                </c:pt>
                <c:pt idx="939">
                  <c:v>44560</c:v>
                </c:pt>
                <c:pt idx="940">
                  <c:v>44559</c:v>
                </c:pt>
                <c:pt idx="941">
                  <c:v>44558</c:v>
                </c:pt>
                <c:pt idx="942">
                  <c:v>44557</c:v>
                </c:pt>
                <c:pt idx="943">
                  <c:v>44554</c:v>
                </c:pt>
                <c:pt idx="944">
                  <c:v>44553</c:v>
                </c:pt>
                <c:pt idx="945">
                  <c:v>44552</c:v>
                </c:pt>
                <c:pt idx="946">
                  <c:v>44551</c:v>
                </c:pt>
                <c:pt idx="947">
                  <c:v>44550</c:v>
                </c:pt>
                <c:pt idx="948">
                  <c:v>44547</c:v>
                </c:pt>
                <c:pt idx="949">
                  <c:v>44546</c:v>
                </c:pt>
                <c:pt idx="950">
                  <c:v>44545</c:v>
                </c:pt>
                <c:pt idx="951">
                  <c:v>44544</c:v>
                </c:pt>
                <c:pt idx="952">
                  <c:v>44543</c:v>
                </c:pt>
                <c:pt idx="953">
                  <c:v>44540</c:v>
                </c:pt>
                <c:pt idx="954">
                  <c:v>44539</c:v>
                </c:pt>
                <c:pt idx="955">
                  <c:v>44538</c:v>
                </c:pt>
                <c:pt idx="956">
                  <c:v>44537</c:v>
                </c:pt>
                <c:pt idx="957">
                  <c:v>44536</c:v>
                </c:pt>
                <c:pt idx="958">
                  <c:v>44533</c:v>
                </c:pt>
                <c:pt idx="959">
                  <c:v>44532</c:v>
                </c:pt>
                <c:pt idx="960">
                  <c:v>44531</c:v>
                </c:pt>
                <c:pt idx="961">
                  <c:v>44530</c:v>
                </c:pt>
                <c:pt idx="962">
                  <c:v>44529</c:v>
                </c:pt>
                <c:pt idx="963">
                  <c:v>44526</c:v>
                </c:pt>
                <c:pt idx="964">
                  <c:v>44525</c:v>
                </c:pt>
                <c:pt idx="965">
                  <c:v>44524</c:v>
                </c:pt>
                <c:pt idx="966">
                  <c:v>44523</c:v>
                </c:pt>
                <c:pt idx="967">
                  <c:v>44522</c:v>
                </c:pt>
                <c:pt idx="968">
                  <c:v>44518</c:v>
                </c:pt>
                <c:pt idx="969">
                  <c:v>44517</c:v>
                </c:pt>
                <c:pt idx="970">
                  <c:v>44516</c:v>
                </c:pt>
                <c:pt idx="971">
                  <c:v>44515</c:v>
                </c:pt>
                <c:pt idx="972">
                  <c:v>44512</c:v>
                </c:pt>
                <c:pt idx="973">
                  <c:v>44511</c:v>
                </c:pt>
                <c:pt idx="974">
                  <c:v>44510</c:v>
                </c:pt>
                <c:pt idx="975">
                  <c:v>44509</c:v>
                </c:pt>
                <c:pt idx="976">
                  <c:v>44508</c:v>
                </c:pt>
                <c:pt idx="977">
                  <c:v>44504</c:v>
                </c:pt>
                <c:pt idx="978">
                  <c:v>44503</c:v>
                </c:pt>
                <c:pt idx="979">
                  <c:v>44502</c:v>
                </c:pt>
                <c:pt idx="980">
                  <c:v>44501</c:v>
                </c:pt>
                <c:pt idx="981">
                  <c:v>44498</c:v>
                </c:pt>
                <c:pt idx="982">
                  <c:v>44497</c:v>
                </c:pt>
                <c:pt idx="983">
                  <c:v>44496</c:v>
                </c:pt>
                <c:pt idx="984">
                  <c:v>44495</c:v>
                </c:pt>
                <c:pt idx="985">
                  <c:v>44494</c:v>
                </c:pt>
                <c:pt idx="986">
                  <c:v>44491</c:v>
                </c:pt>
                <c:pt idx="987">
                  <c:v>44490</c:v>
                </c:pt>
                <c:pt idx="988">
                  <c:v>44489</c:v>
                </c:pt>
                <c:pt idx="989">
                  <c:v>44488</c:v>
                </c:pt>
                <c:pt idx="990">
                  <c:v>44487</c:v>
                </c:pt>
                <c:pt idx="991">
                  <c:v>44483</c:v>
                </c:pt>
                <c:pt idx="992">
                  <c:v>44482</c:v>
                </c:pt>
                <c:pt idx="993">
                  <c:v>44481</c:v>
                </c:pt>
                <c:pt idx="994">
                  <c:v>44480</c:v>
                </c:pt>
                <c:pt idx="995">
                  <c:v>44477</c:v>
                </c:pt>
                <c:pt idx="996">
                  <c:v>44476</c:v>
                </c:pt>
                <c:pt idx="997">
                  <c:v>44475</c:v>
                </c:pt>
                <c:pt idx="998">
                  <c:v>44474</c:v>
                </c:pt>
                <c:pt idx="999">
                  <c:v>44473</c:v>
                </c:pt>
                <c:pt idx="1000">
                  <c:v>44470</c:v>
                </c:pt>
                <c:pt idx="1001">
                  <c:v>44469</c:v>
                </c:pt>
                <c:pt idx="1002">
                  <c:v>44468</c:v>
                </c:pt>
                <c:pt idx="1003">
                  <c:v>44467</c:v>
                </c:pt>
                <c:pt idx="1004">
                  <c:v>44466</c:v>
                </c:pt>
                <c:pt idx="1005">
                  <c:v>44463</c:v>
                </c:pt>
                <c:pt idx="1006">
                  <c:v>44462</c:v>
                </c:pt>
                <c:pt idx="1007">
                  <c:v>44461</c:v>
                </c:pt>
                <c:pt idx="1008">
                  <c:v>44460</c:v>
                </c:pt>
                <c:pt idx="1009">
                  <c:v>44459</c:v>
                </c:pt>
                <c:pt idx="1010">
                  <c:v>44456</c:v>
                </c:pt>
                <c:pt idx="1011">
                  <c:v>44455</c:v>
                </c:pt>
                <c:pt idx="1012">
                  <c:v>44454</c:v>
                </c:pt>
                <c:pt idx="1013">
                  <c:v>44453</c:v>
                </c:pt>
                <c:pt idx="1014">
                  <c:v>44452</c:v>
                </c:pt>
                <c:pt idx="1015">
                  <c:v>44448</c:v>
                </c:pt>
                <c:pt idx="1016">
                  <c:v>44447</c:v>
                </c:pt>
                <c:pt idx="1017">
                  <c:v>44446</c:v>
                </c:pt>
                <c:pt idx="1018">
                  <c:v>44445</c:v>
                </c:pt>
                <c:pt idx="1019">
                  <c:v>44442</c:v>
                </c:pt>
                <c:pt idx="1020">
                  <c:v>44441</c:v>
                </c:pt>
                <c:pt idx="1021">
                  <c:v>44440</c:v>
                </c:pt>
                <c:pt idx="1022">
                  <c:v>44439</c:v>
                </c:pt>
                <c:pt idx="1023">
                  <c:v>44438</c:v>
                </c:pt>
                <c:pt idx="1024">
                  <c:v>44435</c:v>
                </c:pt>
                <c:pt idx="1025">
                  <c:v>44434</c:v>
                </c:pt>
                <c:pt idx="1026">
                  <c:v>44433</c:v>
                </c:pt>
                <c:pt idx="1027">
                  <c:v>44432</c:v>
                </c:pt>
                <c:pt idx="1028">
                  <c:v>44431</c:v>
                </c:pt>
                <c:pt idx="1029">
                  <c:v>44428</c:v>
                </c:pt>
                <c:pt idx="1030">
                  <c:v>44426</c:v>
                </c:pt>
                <c:pt idx="1031">
                  <c:v>44425</c:v>
                </c:pt>
                <c:pt idx="1032">
                  <c:v>44424</c:v>
                </c:pt>
                <c:pt idx="1033">
                  <c:v>44421</c:v>
                </c:pt>
                <c:pt idx="1034">
                  <c:v>44420</c:v>
                </c:pt>
                <c:pt idx="1035">
                  <c:v>44419</c:v>
                </c:pt>
                <c:pt idx="1036">
                  <c:v>44418</c:v>
                </c:pt>
                <c:pt idx="1037">
                  <c:v>44417</c:v>
                </c:pt>
                <c:pt idx="1038">
                  <c:v>44414</c:v>
                </c:pt>
                <c:pt idx="1039">
                  <c:v>44413</c:v>
                </c:pt>
                <c:pt idx="1040">
                  <c:v>44412</c:v>
                </c:pt>
                <c:pt idx="1041">
                  <c:v>44411</c:v>
                </c:pt>
                <c:pt idx="1042">
                  <c:v>44410</c:v>
                </c:pt>
                <c:pt idx="1043">
                  <c:v>44407</c:v>
                </c:pt>
                <c:pt idx="1044">
                  <c:v>44406</c:v>
                </c:pt>
                <c:pt idx="1045">
                  <c:v>44405</c:v>
                </c:pt>
                <c:pt idx="1046">
                  <c:v>44404</c:v>
                </c:pt>
                <c:pt idx="1047">
                  <c:v>44403</c:v>
                </c:pt>
                <c:pt idx="1048">
                  <c:v>44400</c:v>
                </c:pt>
                <c:pt idx="1049">
                  <c:v>44399</c:v>
                </c:pt>
                <c:pt idx="1050">
                  <c:v>44397</c:v>
                </c:pt>
                <c:pt idx="1051">
                  <c:v>44396</c:v>
                </c:pt>
                <c:pt idx="1052">
                  <c:v>44393</c:v>
                </c:pt>
                <c:pt idx="1053">
                  <c:v>44392</c:v>
                </c:pt>
                <c:pt idx="1054">
                  <c:v>44391</c:v>
                </c:pt>
                <c:pt idx="1055">
                  <c:v>44390</c:v>
                </c:pt>
                <c:pt idx="1056">
                  <c:v>44389</c:v>
                </c:pt>
                <c:pt idx="1057">
                  <c:v>44386</c:v>
                </c:pt>
                <c:pt idx="1058">
                  <c:v>44385</c:v>
                </c:pt>
                <c:pt idx="1059">
                  <c:v>44384</c:v>
                </c:pt>
                <c:pt idx="1060">
                  <c:v>44383</c:v>
                </c:pt>
                <c:pt idx="1061">
                  <c:v>44382</c:v>
                </c:pt>
                <c:pt idx="1062">
                  <c:v>44379</c:v>
                </c:pt>
                <c:pt idx="1063">
                  <c:v>44378</c:v>
                </c:pt>
                <c:pt idx="1064">
                  <c:v>44377</c:v>
                </c:pt>
                <c:pt idx="1065">
                  <c:v>44376</c:v>
                </c:pt>
                <c:pt idx="1066">
                  <c:v>44375</c:v>
                </c:pt>
                <c:pt idx="1067">
                  <c:v>44372</c:v>
                </c:pt>
                <c:pt idx="1068">
                  <c:v>44371</c:v>
                </c:pt>
                <c:pt idx="1069">
                  <c:v>44370</c:v>
                </c:pt>
                <c:pt idx="1070">
                  <c:v>44369</c:v>
                </c:pt>
                <c:pt idx="1071">
                  <c:v>44368</c:v>
                </c:pt>
                <c:pt idx="1072">
                  <c:v>44365</c:v>
                </c:pt>
                <c:pt idx="1073">
                  <c:v>44364</c:v>
                </c:pt>
                <c:pt idx="1074">
                  <c:v>44363</c:v>
                </c:pt>
                <c:pt idx="1075">
                  <c:v>44362</c:v>
                </c:pt>
                <c:pt idx="1076">
                  <c:v>44361</c:v>
                </c:pt>
                <c:pt idx="1077">
                  <c:v>44358</c:v>
                </c:pt>
                <c:pt idx="1078">
                  <c:v>44357</c:v>
                </c:pt>
                <c:pt idx="1079">
                  <c:v>44356</c:v>
                </c:pt>
                <c:pt idx="1080">
                  <c:v>44355</c:v>
                </c:pt>
                <c:pt idx="1081">
                  <c:v>44354</c:v>
                </c:pt>
                <c:pt idx="1082">
                  <c:v>44351</c:v>
                </c:pt>
                <c:pt idx="1083">
                  <c:v>44350</c:v>
                </c:pt>
                <c:pt idx="1084">
                  <c:v>44349</c:v>
                </c:pt>
                <c:pt idx="1085">
                  <c:v>44348</c:v>
                </c:pt>
                <c:pt idx="1086">
                  <c:v>44347</c:v>
                </c:pt>
                <c:pt idx="1087">
                  <c:v>44344</c:v>
                </c:pt>
                <c:pt idx="1088">
                  <c:v>44343</c:v>
                </c:pt>
                <c:pt idx="1089">
                  <c:v>44342</c:v>
                </c:pt>
                <c:pt idx="1090">
                  <c:v>44341</c:v>
                </c:pt>
                <c:pt idx="1091">
                  <c:v>44340</c:v>
                </c:pt>
                <c:pt idx="1092">
                  <c:v>44337</c:v>
                </c:pt>
                <c:pt idx="1093">
                  <c:v>44336</c:v>
                </c:pt>
                <c:pt idx="1094">
                  <c:v>44335</c:v>
                </c:pt>
                <c:pt idx="1095">
                  <c:v>44334</c:v>
                </c:pt>
                <c:pt idx="1096">
                  <c:v>44333</c:v>
                </c:pt>
                <c:pt idx="1097">
                  <c:v>44330</c:v>
                </c:pt>
                <c:pt idx="1098">
                  <c:v>44328</c:v>
                </c:pt>
                <c:pt idx="1099">
                  <c:v>44327</c:v>
                </c:pt>
                <c:pt idx="1100">
                  <c:v>44326</c:v>
                </c:pt>
                <c:pt idx="1101">
                  <c:v>44323</c:v>
                </c:pt>
                <c:pt idx="1102">
                  <c:v>44322</c:v>
                </c:pt>
                <c:pt idx="1103">
                  <c:v>44321</c:v>
                </c:pt>
                <c:pt idx="1104">
                  <c:v>44320</c:v>
                </c:pt>
                <c:pt idx="1105">
                  <c:v>44319</c:v>
                </c:pt>
                <c:pt idx="1106">
                  <c:v>44316</c:v>
                </c:pt>
                <c:pt idx="1107">
                  <c:v>44315</c:v>
                </c:pt>
                <c:pt idx="1108">
                  <c:v>44314</c:v>
                </c:pt>
                <c:pt idx="1109">
                  <c:v>44313</c:v>
                </c:pt>
                <c:pt idx="1110">
                  <c:v>44312</c:v>
                </c:pt>
                <c:pt idx="1111">
                  <c:v>44309</c:v>
                </c:pt>
                <c:pt idx="1112">
                  <c:v>44308</c:v>
                </c:pt>
                <c:pt idx="1113">
                  <c:v>44306</c:v>
                </c:pt>
                <c:pt idx="1114">
                  <c:v>44305</c:v>
                </c:pt>
                <c:pt idx="1115">
                  <c:v>44302</c:v>
                </c:pt>
                <c:pt idx="1116">
                  <c:v>44301</c:v>
                </c:pt>
                <c:pt idx="1117">
                  <c:v>44299</c:v>
                </c:pt>
                <c:pt idx="1118">
                  <c:v>44298</c:v>
                </c:pt>
                <c:pt idx="1119">
                  <c:v>44295</c:v>
                </c:pt>
                <c:pt idx="1120">
                  <c:v>44294</c:v>
                </c:pt>
                <c:pt idx="1121">
                  <c:v>44293</c:v>
                </c:pt>
                <c:pt idx="1122">
                  <c:v>44292</c:v>
                </c:pt>
                <c:pt idx="1123">
                  <c:v>44291</c:v>
                </c:pt>
                <c:pt idx="1124">
                  <c:v>44287</c:v>
                </c:pt>
                <c:pt idx="1125">
                  <c:v>44286</c:v>
                </c:pt>
                <c:pt idx="1126">
                  <c:v>44285</c:v>
                </c:pt>
                <c:pt idx="1127">
                  <c:v>44281</c:v>
                </c:pt>
                <c:pt idx="1128">
                  <c:v>44280</c:v>
                </c:pt>
                <c:pt idx="1129">
                  <c:v>44279</c:v>
                </c:pt>
                <c:pt idx="1130">
                  <c:v>44278</c:v>
                </c:pt>
                <c:pt idx="1131">
                  <c:v>44277</c:v>
                </c:pt>
                <c:pt idx="1132">
                  <c:v>44274</c:v>
                </c:pt>
                <c:pt idx="1133">
                  <c:v>44273</c:v>
                </c:pt>
                <c:pt idx="1134">
                  <c:v>44272</c:v>
                </c:pt>
                <c:pt idx="1135">
                  <c:v>44271</c:v>
                </c:pt>
                <c:pt idx="1136">
                  <c:v>44270</c:v>
                </c:pt>
                <c:pt idx="1137">
                  <c:v>44267</c:v>
                </c:pt>
                <c:pt idx="1138">
                  <c:v>44265</c:v>
                </c:pt>
                <c:pt idx="1139">
                  <c:v>44264</c:v>
                </c:pt>
                <c:pt idx="1140">
                  <c:v>44263</c:v>
                </c:pt>
                <c:pt idx="1141">
                  <c:v>44260</c:v>
                </c:pt>
                <c:pt idx="1142">
                  <c:v>44259</c:v>
                </c:pt>
                <c:pt idx="1143">
                  <c:v>44258</c:v>
                </c:pt>
                <c:pt idx="1144">
                  <c:v>44257</c:v>
                </c:pt>
                <c:pt idx="1145">
                  <c:v>44256</c:v>
                </c:pt>
                <c:pt idx="1146">
                  <c:v>44253</c:v>
                </c:pt>
                <c:pt idx="1147">
                  <c:v>44252</c:v>
                </c:pt>
                <c:pt idx="1148">
                  <c:v>44251</c:v>
                </c:pt>
                <c:pt idx="1149">
                  <c:v>44250</c:v>
                </c:pt>
                <c:pt idx="1150">
                  <c:v>44249</c:v>
                </c:pt>
                <c:pt idx="1151">
                  <c:v>44246</c:v>
                </c:pt>
                <c:pt idx="1152">
                  <c:v>44245</c:v>
                </c:pt>
                <c:pt idx="1153">
                  <c:v>44244</c:v>
                </c:pt>
                <c:pt idx="1154">
                  <c:v>44243</c:v>
                </c:pt>
                <c:pt idx="1155">
                  <c:v>44242</c:v>
                </c:pt>
                <c:pt idx="1156">
                  <c:v>44239</c:v>
                </c:pt>
                <c:pt idx="1157">
                  <c:v>44238</c:v>
                </c:pt>
                <c:pt idx="1158">
                  <c:v>44237</c:v>
                </c:pt>
                <c:pt idx="1159">
                  <c:v>44236</c:v>
                </c:pt>
                <c:pt idx="1160">
                  <c:v>44235</c:v>
                </c:pt>
                <c:pt idx="1161">
                  <c:v>44232</c:v>
                </c:pt>
                <c:pt idx="1162">
                  <c:v>44231</c:v>
                </c:pt>
                <c:pt idx="1163">
                  <c:v>44230</c:v>
                </c:pt>
                <c:pt idx="1164">
                  <c:v>44229</c:v>
                </c:pt>
                <c:pt idx="1165">
                  <c:v>44228</c:v>
                </c:pt>
                <c:pt idx="1166">
                  <c:v>44225</c:v>
                </c:pt>
                <c:pt idx="1167">
                  <c:v>44224</c:v>
                </c:pt>
                <c:pt idx="1168">
                  <c:v>44223</c:v>
                </c:pt>
                <c:pt idx="1169">
                  <c:v>44221</c:v>
                </c:pt>
                <c:pt idx="1170">
                  <c:v>44218</c:v>
                </c:pt>
                <c:pt idx="1171">
                  <c:v>44217</c:v>
                </c:pt>
                <c:pt idx="1172">
                  <c:v>44216</c:v>
                </c:pt>
                <c:pt idx="1173">
                  <c:v>44215</c:v>
                </c:pt>
                <c:pt idx="1174">
                  <c:v>44214</c:v>
                </c:pt>
                <c:pt idx="1175">
                  <c:v>44211</c:v>
                </c:pt>
                <c:pt idx="1176">
                  <c:v>44210</c:v>
                </c:pt>
                <c:pt idx="1177">
                  <c:v>44209</c:v>
                </c:pt>
                <c:pt idx="1178">
                  <c:v>44208</c:v>
                </c:pt>
                <c:pt idx="1179">
                  <c:v>44207</c:v>
                </c:pt>
                <c:pt idx="1180">
                  <c:v>44204</c:v>
                </c:pt>
                <c:pt idx="1181">
                  <c:v>44203</c:v>
                </c:pt>
                <c:pt idx="1182">
                  <c:v>44202</c:v>
                </c:pt>
                <c:pt idx="1183">
                  <c:v>44201</c:v>
                </c:pt>
                <c:pt idx="1184">
                  <c:v>44200</c:v>
                </c:pt>
                <c:pt idx="1185">
                  <c:v>44197</c:v>
                </c:pt>
                <c:pt idx="1186">
                  <c:v>44196</c:v>
                </c:pt>
                <c:pt idx="1187">
                  <c:v>44195</c:v>
                </c:pt>
                <c:pt idx="1188">
                  <c:v>44194</c:v>
                </c:pt>
                <c:pt idx="1189">
                  <c:v>44193</c:v>
                </c:pt>
                <c:pt idx="1190">
                  <c:v>44189</c:v>
                </c:pt>
                <c:pt idx="1191">
                  <c:v>44188</c:v>
                </c:pt>
                <c:pt idx="1192">
                  <c:v>44187</c:v>
                </c:pt>
                <c:pt idx="1193">
                  <c:v>44186</c:v>
                </c:pt>
                <c:pt idx="1194">
                  <c:v>44183</c:v>
                </c:pt>
                <c:pt idx="1195">
                  <c:v>44182</c:v>
                </c:pt>
                <c:pt idx="1196">
                  <c:v>44181</c:v>
                </c:pt>
                <c:pt idx="1197">
                  <c:v>44180</c:v>
                </c:pt>
                <c:pt idx="1198">
                  <c:v>44179</c:v>
                </c:pt>
                <c:pt idx="1199">
                  <c:v>44176</c:v>
                </c:pt>
                <c:pt idx="1200">
                  <c:v>44175</c:v>
                </c:pt>
                <c:pt idx="1201">
                  <c:v>44174</c:v>
                </c:pt>
                <c:pt idx="1202">
                  <c:v>44173</c:v>
                </c:pt>
                <c:pt idx="1203">
                  <c:v>44172</c:v>
                </c:pt>
                <c:pt idx="1204">
                  <c:v>44169</c:v>
                </c:pt>
                <c:pt idx="1205">
                  <c:v>44168</c:v>
                </c:pt>
                <c:pt idx="1206">
                  <c:v>44167</c:v>
                </c:pt>
                <c:pt idx="1207">
                  <c:v>44166</c:v>
                </c:pt>
                <c:pt idx="1208">
                  <c:v>44162</c:v>
                </c:pt>
                <c:pt idx="1209">
                  <c:v>44161</c:v>
                </c:pt>
                <c:pt idx="1210">
                  <c:v>44160</c:v>
                </c:pt>
                <c:pt idx="1211">
                  <c:v>44159</c:v>
                </c:pt>
                <c:pt idx="1212">
                  <c:v>44158</c:v>
                </c:pt>
                <c:pt idx="1213">
                  <c:v>44155</c:v>
                </c:pt>
                <c:pt idx="1214">
                  <c:v>44154</c:v>
                </c:pt>
                <c:pt idx="1215">
                  <c:v>44153</c:v>
                </c:pt>
                <c:pt idx="1216">
                  <c:v>44152</c:v>
                </c:pt>
                <c:pt idx="1217">
                  <c:v>44149</c:v>
                </c:pt>
                <c:pt idx="1218">
                  <c:v>44148</c:v>
                </c:pt>
                <c:pt idx="1219">
                  <c:v>44147</c:v>
                </c:pt>
                <c:pt idx="1220">
                  <c:v>44146</c:v>
                </c:pt>
                <c:pt idx="1221">
                  <c:v>44145</c:v>
                </c:pt>
                <c:pt idx="1222">
                  <c:v>44144</c:v>
                </c:pt>
                <c:pt idx="1223">
                  <c:v>44141</c:v>
                </c:pt>
                <c:pt idx="1224">
                  <c:v>44140</c:v>
                </c:pt>
                <c:pt idx="1225">
                  <c:v>44139</c:v>
                </c:pt>
                <c:pt idx="1226">
                  <c:v>44138</c:v>
                </c:pt>
                <c:pt idx="1227">
                  <c:v>44137</c:v>
                </c:pt>
                <c:pt idx="1228">
                  <c:v>44134</c:v>
                </c:pt>
                <c:pt idx="1229">
                  <c:v>44133</c:v>
                </c:pt>
                <c:pt idx="1230">
                  <c:v>44132</c:v>
                </c:pt>
                <c:pt idx="1231">
                  <c:v>44131</c:v>
                </c:pt>
                <c:pt idx="1232">
                  <c:v>44130</c:v>
                </c:pt>
                <c:pt idx="1233">
                  <c:v>44127</c:v>
                </c:pt>
                <c:pt idx="1234">
                  <c:v>44126</c:v>
                </c:pt>
                <c:pt idx="1235">
                  <c:v>44125</c:v>
                </c:pt>
                <c:pt idx="1236">
                  <c:v>44124</c:v>
                </c:pt>
                <c:pt idx="1237">
                  <c:v>44123</c:v>
                </c:pt>
                <c:pt idx="1238">
                  <c:v>44120</c:v>
                </c:pt>
                <c:pt idx="1239">
                  <c:v>44119</c:v>
                </c:pt>
                <c:pt idx="1240">
                  <c:v>44118</c:v>
                </c:pt>
                <c:pt idx="1241">
                  <c:v>44117</c:v>
                </c:pt>
              </c:numCache>
            </c:numRef>
          </c:cat>
          <c:val>
            <c:numRef>
              <c:f>'InPru vs KSB'!$N$3:$N$1244</c:f>
              <c:numCache>
                <c:formatCode>0%</c:formatCode>
                <c:ptCount val="1242"/>
                <c:pt idx="0">
                  <c:v>0.65643150453550203</c:v>
                </c:pt>
                <c:pt idx="1">
                  <c:v>0.64850174216027878</c:v>
                </c:pt>
                <c:pt idx="2">
                  <c:v>0.64905553484904965</c:v>
                </c:pt>
                <c:pt idx="3">
                  <c:v>0.65123470715835141</c:v>
                </c:pt>
                <c:pt idx="4">
                  <c:v>0.63842078960519744</c:v>
                </c:pt>
                <c:pt idx="5">
                  <c:v>0.63654518222666001</c:v>
                </c:pt>
                <c:pt idx="6">
                  <c:v>0.64411778146305509</c:v>
                </c:pt>
                <c:pt idx="7">
                  <c:v>0.63631044114932633</c:v>
                </c:pt>
                <c:pt idx="8">
                  <c:v>0.64061832126118445</c:v>
                </c:pt>
                <c:pt idx="9">
                  <c:v>0.64018287408871866</c:v>
                </c:pt>
                <c:pt idx="10">
                  <c:v>0.65124178667317545</c:v>
                </c:pt>
                <c:pt idx="11">
                  <c:v>0.65067961486207104</c:v>
                </c:pt>
                <c:pt idx="12">
                  <c:v>0.65104671217690646</c:v>
                </c:pt>
                <c:pt idx="13">
                  <c:v>0.6473258539493294</c:v>
                </c:pt>
                <c:pt idx="14">
                  <c:v>0.64915345779030176</c:v>
                </c:pt>
                <c:pt idx="15">
                  <c:v>0.65299813780260707</c:v>
                </c:pt>
                <c:pt idx="16">
                  <c:v>0.66166122258516102</c:v>
                </c:pt>
                <c:pt idx="17">
                  <c:v>0.66142980387645944</c:v>
                </c:pt>
                <c:pt idx="18">
                  <c:v>0.65629144494474012</c:v>
                </c:pt>
                <c:pt idx="19">
                  <c:v>0.65200473372781065</c:v>
                </c:pt>
                <c:pt idx="20">
                  <c:v>0.64519727727245346</c:v>
                </c:pt>
                <c:pt idx="21">
                  <c:v>0.64002373421601078</c:v>
                </c:pt>
                <c:pt idx="22">
                  <c:v>0.63812321461411137</c:v>
                </c:pt>
                <c:pt idx="23">
                  <c:v>0.63788532296872114</c:v>
                </c:pt>
                <c:pt idx="24">
                  <c:v>0.64073179369698474</c:v>
                </c:pt>
                <c:pt idx="25">
                  <c:v>0.65014203763473599</c:v>
                </c:pt>
                <c:pt idx="26">
                  <c:v>0.65492738197424893</c:v>
                </c:pt>
                <c:pt idx="27">
                  <c:v>0.65976942070275402</c:v>
                </c:pt>
                <c:pt idx="28">
                  <c:v>0.65918892700246734</c:v>
                </c:pt>
                <c:pt idx="29">
                  <c:v>0.63416702439024397</c:v>
                </c:pt>
                <c:pt idx="30">
                  <c:v>0.62105354979403926</c:v>
                </c:pt>
                <c:pt idx="31">
                  <c:v>0.61294493678654716</c:v>
                </c:pt>
                <c:pt idx="32">
                  <c:v>0.6250014867677669</c:v>
                </c:pt>
                <c:pt idx="33">
                  <c:v>0.61726179265792913</c:v>
                </c:pt>
                <c:pt idx="34">
                  <c:v>0.61304597074138356</c:v>
                </c:pt>
                <c:pt idx="35">
                  <c:v>0.60972572647963341</c:v>
                </c:pt>
                <c:pt idx="36">
                  <c:v>0.61067865617584616</c:v>
                </c:pt>
                <c:pt idx="37">
                  <c:v>0.60793007356122897</c:v>
                </c:pt>
                <c:pt idx="38">
                  <c:v>0.60637963280293761</c:v>
                </c:pt>
                <c:pt idx="39">
                  <c:v>0.61734684302470677</c:v>
                </c:pt>
                <c:pt idx="40">
                  <c:v>0.61464839217166944</c:v>
                </c:pt>
                <c:pt idx="41">
                  <c:v>0.6124610289470358</c:v>
                </c:pt>
                <c:pt idx="42">
                  <c:v>0.61356661018012937</c:v>
                </c:pt>
                <c:pt idx="43">
                  <c:v>0.6187861273095574</c:v>
                </c:pt>
                <c:pt idx="44">
                  <c:v>0.62083193075258469</c:v>
                </c:pt>
                <c:pt idx="45">
                  <c:v>0.6229313105773282</c:v>
                </c:pt>
                <c:pt idx="46">
                  <c:v>0.62142452964991657</c:v>
                </c:pt>
                <c:pt idx="47">
                  <c:v>0.6263377783141254</c:v>
                </c:pt>
                <c:pt idx="48">
                  <c:v>0.63814033503623624</c:v>
                </c:pt>
                <c:pt idx="49">
                  <c:v>0.64251978100452267</c:v>
                </c:pt>
                <c:pt idx="50">
                  <c:v>0.65199376793767938</c:v>
                </c:pt>
                <c:pt idx="51">
                  <c:v>0.64764810481984092</c:v>
                </c:pt>
                <c:pt idx="52">
                  <c:v>0.65030626272024183</c:v>
                </c:pt>
                <c:pt idx="53">
                  <c:v>0.65160602473187601</c:v>
                </c:pt>
                <c:pt idx="54">
                  <c:v>0.66326689054584786</c:v>
                </c:pt>
                <c:pt idx="55">
                  <c:v>0.6649321723397037</c:v>
                </c:pt>
                <c:pt idx="56">
                  <c:v>0.65536474251773247</c:v>
                </c:pt>
                <c:pt idx="57">
                  <c:v>0.66128383233532939</c:v>
                </c:pt>
                <c:pt idx="58">
                  <c:v>0.65716649431230612</c:v>
                </c:pt>
                <c:pt idx="59">
                  <c:v>0.65944158663408536</c:v>
                </c:pt>
                <c:pt idx="60">
                  <c:v>0.65631885562669434</c:v>
                </c:pt>
                <c:pt idx="61">
                  <c:v>0.65819183111519042</c:v>
                </c:pt>
                <c:pt idx="62">
                  <c:v>0.65758783550282218</c:v>
                </c:pt>
                <c:pt idx="63">
                  <c:v>0.65901078781691336</c:v>
                </c:pt>
                <c:pt idx="64">
                  <c:v>0.64462627103526193</c:v>
                </c:pt>
                <c:pt idx="65">
                  <c:v>0.63310228028790905</c:v>
                </c:pt>
                <c:pt idx="66">
                  <c:v>0.6347495145631068</c:v>
                </c:pt>
                <c:pt idx="67">
                  <c:v>0.63336925143485168</c:v>
                </c:pt>
                <c:pt idx="68">
                  <c:v>0.6371866722901729</c:v>
                </c:pt>
                <c:pt idx="69">
                  <c:v>0.62897228820269202</c:v>
                </c:pt>
                <c:pt idx="70">
                  <c:v>0.63456850021226274</c:v>
                </c:pt>
                <c:pt idx="71">
                  <c:v>0.63719811938344351</c:v>
                </c:pt>
                <c:pt idx="72">
                  <c:v>0.62353813424624038</c:v>
                </c:pt>
                <c:pt idx="73">
                  <c:v>0.62742871111654341</c:v>
                </c:pt>
                <c:pt idx="74">
                  <c:v>0.62165174129353229</c:v>
                </c:pt>
                <c:pt idx="75">
                  <c:v>0.6233549509255808</c:v>
                </c:pt>
                <c:pt idx="76">
                  <c:v>0.62180879066302452</c:v>
                </c:pt>
                <c:pt idx="77">
                  <c:v>0.62933419131295631</c:v>
                </c:pt>
                <c:pt idx="78">
                  <c:v>0.6372082678593014</c:v>
                </c:pt>
                <c:pt idx="79">
                  <c:v>0.64494360451163901</c:v>
                </c:pt>
                <c:pt idx="80">
                  <c:v>0.6465505095128703</c:v>
                </c:pt>
                <c:pt idx="81">
                  <c:v>0.63984260218066646</c:v>
                </c:pt>
                <c:pt idx="82">
                  <c:v>0.63639388379204886</c:v>
                </c:pt>
                <c:pt idx="83">
                  <c:v>0.63911396965483891</c:v>
                </c:pt>
                <c:pt idx="84">
                  <c:v>0.64136496959580303</c:v>
                </c:pt>
                <c:pt idx="85">
                  <c:v>0.64772060798868858</c:v>
                </c:pt>
                <c:pt idx="86">
                  <c:v>0.65545182511497935</c:v>
                </c:pt>
                <c:pt idx="87">
                  <c:v>0.66442108651911469</c:v>
                </c:pt>
                <c:pt idx="88">
                  <c:v>0.66743628262253341</c:v>
                </c:pt>
                <c:pt idx="89">
                  <c:v>0.67059576901086337</c:v>
                </c:pt>
                <c:pt idx="90">
                  <c:v>0.670644012757321</c:v>
                </c:pt>
                <c:pt idx="91">
                  <c:v>0.66603053435114501</c:v>
                </c:pt>
                <c:pt idx="92">
                  <c:v>0.65959218749999993</c:v>
                </c:pt>
                <c:pt idx="93">
                  <c:v>0.67349241800869875</c:v>
                </c:pt>
                <c:pt idx="94">
                  <c:v>0.67178880191216006</c:v>
                </c:pt>
                <c:pt idx="95">
                  <c:v>0.67098897370653088</c:v>
                </c:pt>
                <c:pt idx="96">
                  <c:v>0.66818811344613716</c:v>
                </c:pt>
                <c:pt idx="97">
                  <c:v>0.66089846153846155</c:v>
                </c:pt>
                <c:pt idx="98">
                  <c:v>0.65607289976282612</c:v>
                </c:pt>
                <c:pt idx="99">
                  <c:v>0.65679507475813548</c:v>
                </c:pt>
                <c:pt idx="100">
                  <c:v>0.6645020786376159</c:v>
                </c:pt>
                <c:pt idx="101">
                  <c:v>0.66996515679442514</c:v>
                </c:pt>
                <c:pt idx="102">
                  <c:v>0.67065032987747408</c:v>
                </c:pt>
                <c:pt idx="103">
                  <c:v>0.66537025112685133</c:v>
                </c:pt>
                <c:pt idx="104">
                  <c:v>0.66844455786653056</c:v>
                </c:pt>
                <c:pt idx="105">
                  <c:v>0.67710209651408015</c:v>
                </c:pt>
                <c:pt idx="106">
                  <c:v>0.67566555985519905</c:v>
                </c:pt>
                <c:pt idx="107">
                  <c:v>0.6761668032786885</c:v>
                </c:pt>
                <c:pt idx="108">
                  <c:v>0.67163226402640264</c:v>
                </c:pt>
                <c:pt idx="109">
                  <c:v>0.6582657952069717</c:v>
                </c:pt>
                <c:pt idx="110">
                  <c:v>0.65371241115363588</c:v>
                </c:pt>
                <c:pt idx="111">
                  <c:v>0.64822113103448276</c:v>
                </c:pt>
                <c:pt idx="112">
                  <c:v>0.65386313465783663</c:v>
                </c:pt>
                <c:pt idx="113">
                  <c:v>0.65457071408724643</c:v>
                </c:pt>
                <c:pt idx="114">
                  <c:v>0.66018433808971122</c:v>
                </c:pt>
                <c:pt idx="115">
                  <c:v>0.66736442095403758</c:v>
                </c:pt>
                <c:pt idx="116">
                  <c:v>0.66599559559559562</c:v>
                </c:pt>
                <c:pt idx="117">
                  <c:v>0.66655722759080305</c:v>
                </c:pt>
                <c:pt idx="118">
                  <c:v>0.6645808849084347</c:v>
                </c:pt>
                <c:pt idx="119">
                  <c:v>0.67532349698083483</c:v>
                </c:pt>
                <c:pt idx="120">
                  <c:v>0.67037786056412985</c:v>
                </c:pt>
                <c:pt idx="121">
                  <c:v>0.66277146141881382</c:v>
                </c:pt>
                <c:pt idx="122">
                  <c:v>0.66402003164339274</c:v>
                </c:pt>
                <c:pt idx="123">
                  <c:v>0.67517489642056638</c:v>
                </c:pt>
                <c:pt idx="124">
                  <c:v>0.6775431861804222</c:v>
                </c:pt>
                <c:pt idx="125">
                  <c:v>0.67386973180076626</c:v>
                </c:pt>
                <c:pt idx="126">
                  <c:v>0.67844545454545457</c:v>
                </c:pt>
                <c:pt idx="127">
                  <c:v>0.64324956165984803</c:v>
                </c:pt>
                <c:pt idx="128">
                  <c:v>0.62504566551879026</c:v>
                </c:pt>
                <c:pt idx="129">
                  <c:v>0.64815800174266625</c:v>
                </c:pt>
                <c:pt idx="130">
                  <c:v>0.63757303370786511</c:v>
                </c:pt>
                <c:pt idx="131">
                  <c:v>0.65822779729051684</c:v>
                </c:pt>
                <c:pt idx="132">
                  <c:v>0.64625675753228118</c:v>
                </c:pt>
                <c:pt idx="133">
                  <c:v>0.64485612459660446</c:v>
                </c:pt>
                <c:pt idx="134">
                  <c:v>0.65275115941025819</c:v>
                </c:pt>
                <c:pt idx="135">
                  <c:v>0.64570952050034747</c:v>
                </c:pt>
                <c:pt idx="136">
                  <c:v>0.65836759038605575</c:v>
                </c:pt>
                <c:pt idx="137">
                  <c:v>0.65884389061959148</c:v>
                </c:pt>
                <c:pt idx="138">
                  <c:v>0.65837088388214904</c:v>
                </c:pt>
                <c:pt idx="139">
                  <c:v>0.65028824098383309</c:v>
                </c:pt>
                <c:pt idx="140">
                  <c:v>0.6700026346807183</c:v>
                </c:pt>
                <c:pt idx="141">
                  <c:v>0.66985769842917442</c:v>
                </c:pt>
                <c:pt idx="142">
                  <c:v>0.65905151152138686</c:v>
                </c:pt>
                <c:pt idx="143">
                  <c:v>0.65995089643535121</c:v>
                </c:pt>
                <c:pt idx="144">
                  <c:v>0.66329787983376765</c:v>
                </c:pt>
                <c:pt idx="145">
                  <c:v>0.65322718390388657</c:v>
                </c:pt>
                <c:pt idx="146">
                  <c:v>0.63641767140814332</c:v>
                </c:pt>
                <c:pt idx="147">
                  <c:v>0.65681632653061217</c:v>
                </c:pt>
                <c:pt idx="148">
                  <c:v>0.63289439143588555</c:v>
                </c:pt>
                <c:pt idx="149">
                  <c:v>0.63096854562441607</c:v>
                </c:pt>
                <c:pt idx="150">
                  <c:v>0.60015467802719979</c:v>
                </c:pt>
                <c:pt idx="151">
                  <c:v>0.61038745225518087</c:v>
                </c:pt>
                <c:pt idx="152">
                  <c:v>0.62139209332469214</c:v>
                </c:pt>
                <c:pt idx="153">
                  <c:v>0.59630365203118596</c:v>
                </c:pt>
                <c:pt idx="154">
                  <c:v>0.62186113452188008</c:v>
                </c:pt>
                <c:pt idx="155">
                  <c:v>0.62623188963747189</c:v>
                </c:pt>
                <c:pt idx="156">
                  <c:v>0.6509283912163214</c:v>
                </c:pt>
                <c:pt idx="157">
                  <c:v>0.64659061913696059</c:v>
                </c:pt>
                <c:pt idx="158">
                  <c:v>0.62037624734173069</c:v>
                </c:pt>
                <c:pt idx="159">
                  <c:v>0.60301449275362318</c:v>
                </c:pt>
                <c:pt idx="160">
                  <c:v>0.6036454078722191</c:v>
                </c:pt>
                <c:pt idx="161">
                  <c:v>0.61174206263048014</c:v>
                </c:pt>
                <c:pt idx="162">
                  <c:v>0.60400839344262303</c:v>
                </c:pt>
                <c:pt idx="163">
                  <c:v>0.60274640088593578</c:v>
                </c:pt>
                <c:pt idx="164">
                  <c:v>0.61298520182846516</c:v>
                </c:pt>
                <c:pt idx="165">
                  <c:v>0.62229663653874656</c:v>
                </c:pt>
                <c:pt idx="166">
                  <c:v>0.63866830265848673</c:v>
                </c:pt>
                <c:pt idx="167">
                  <c:v>0.65772799999999998</c:v>
                </c:pt>
                <c:pt idx="168">
                  <c:v>0.64778843719229151</c:v>
                </c:pt>
                <c:pt idx="169">
                  <c:v>0.64098154992330736</c:v>
                </c:pt>
                <c:pt idx="170">
                  <c:v>0.65487111807881426</c:v>
                </c:pt>
                <c:pt idx="171">
                  <c:v>0.66873582801477993</c:v>
                </c:pt>
                <c:pt idx="172">
                  <c:v>0.6692331982078088</c:v>
                </c:pt>
                <c:pt idx="173">
                  <c:v>0.6258811579481971</c:v>
                </c:pt>
                <c:pt idx="174">
                  <c:v>0.62421590080233402</c:v>
                </c:pt>
                <c:pt idx="175">
                  <c:v>0.60519138461538469</c:v>
                </c:pt>
                <c:pt idx="176">
                  <c:v>0.62359350291143123</c:v>
                </c:pt>
                <c:pt idx="177">
                  <c:v>0.62392326988342917</c:v>
                </c:pt>
                <c:pt idx="178">
                  <c:v>0.63368568102444711</c:v>
                </c:pt>
                <c:pt idx="179">
                  <c:v>0.63478068804324006</c:v>
                </c:pt>
                <c:pt idx="180">
                  <c:v>0.62526680126910872</c:v>
                </c:pt>
                <c:pt idx="181">
                  <c:v>0.63430843542177107</c:v>
                </c:pt>
                <c:pt idx="182">
                  <c:v>0.66496340667139808</c:v>
                </c:pt>
                <c:pt idx="183">
                  <c:v>0.62396799775422829</c:v>
                </c:pt>
                <c:pt idx="184">
                  <c:v>0.62908784008883956</c:v>
                </c:pt>
                <c:pt idx="185">
                  <c:v>0.61196341327384274</c:v>
                </c:pt>
                <c:pt idx="186">
                  <c:v>0.61418909811694755</c:v>
                </c:pt>
                <c:pt idx="187">
                  <c:v>0.62452040051767588</c:v>
                </c:pt>
                <c:pt idx="188">
                  <c:v>0.61980854974031163</c:v>
                </c:pt>
                <c:pt idx="189">
                  <c:v>0.62236159743982933</c:v>
                </c:pt>
                <c:pt idx="190">
                  <c:v>0.62527465151615247</c:v>
                </c:pt>
                <c:pt idx="191">
                  <c:v>0.64377594986290632</c:v>
                </c:pt>
                <c:pt idx="192">
                  <c:v>0.65004556698346572</c:v>
                </c:pt>
                <c:pt idx="193">
                  <c:v>0.64056379377180517</c:v>
                </c:pt>
                <c:pt idx="194">
                  <c:v>0.64374776556300006</c:v>
                </c:pt>
                <c:pt idx="195">
                  <c:v>0.64982559291112851</c:v>
                </c:pt>
                <c:pt idx="196">
                  <c:v>0.58575342465753422</c:v>
                </c:pt>
                <c:pt idx="197">
                  <c:v>0.60477703147635986</c:v>
                </c:pt>
                <c:pt idx="198">
                  <c:v>0.59680296080893536</c:v>
                </c:pt>
                <c:pt idx="199">
                  <c:v>0.60054121372031655</c:v>
                </c:pt>
                <c:pt idx="200">
                  <c:v>0.59532202484306129</c:v>
                </c:pt>
                <c:pt idx="201">
                  <c:v>0.60438716702313822</c:v>
                </c:pt>
                <c:pt idx="202">
                  <c:v>0.60003542739443871</c:v>
                </c:pt>
                <c:pt idx="203">
                  <c:v>0.5831565576373452</c:v>
                </c:pt>
                <c:pt idx="204">
                  <c:v>0.59462994282842252</c:v>
                </c:pt>
                <c:pt idx="205">
                  <c:v>0.59783810647946822</c:v>
                </c:pt>
                <c:pt idx="206">
                  <c:v>0.58263218566692165</c:v>
                </c:pt>
                <c:pt idx="207">
                  <c:v>0.59751399913851455</c:v>
                </c:pt>
                <c:pt idx="208">
                  <c:v>0.59771831365110439</c:v>
                </c:pt>
                <c:pt idx="209">
                  <c:v>0.60735656991448872</c:v>
                </c:pt>
                <c:pt idx="210">
                  <c:v>0.6069577666428061</c:v>
                </c:pt>
                <c:pt idx="211">
                  <c:v>0.61337937971500422</c:v>
                </c:pt>
                <c:pt idx="212">
                  <c:v>0.61681871483565298</c:v>
                </c:pt>
                <c:pt idx="213">
                  <c:v>0.61183814133591485</c:v>
                </c:pt>
                <c:pt idx="214">
                  <c:v>0.60796312922727003</c:v>
                </c:pt>
                <c:pt idx="215">
                  <c:v>0.60418586542530683</c:v>
                </c:pt>
                <c:pt idx="216">
                  <c:v>0.59674620880110463</c:v>
                </c:pt>
                <c:pt idx="217">
                  <c:v>0.60473737675530326</c:v>
                </c:pt>
                <c:pt idx="218">
                  <c:v>0.61618833621254543</c:v>
                </c:pt>
                <c:pt idx="219">
                  <c:v>0.60016684645810858</c:v>
                </c:pt>
                <c:pt idx="220">
                  <c:v>0.61307503148803455</c:v>
                </c:pt>
                <c:pt idx="221">
                  <c:v>0.59146633247697222</c:v>
                </c:pt>
                <c:pt idx="222">
                  <c:v>0.59308443998997751</c:v>
                </c:pt>
                <c:pt idx="223">
                  <c:v>0.56979915008930226</c:v>
                </c:pt>
                <c:pt idx="224">
                  <c:v>0.59523162055335965</c:v>
                </c:pt>
                <c:pt idx="225">
                  <c:v>0.59080127232689006</c:v>
                </c:pt>
                <c:pt idx="226">
                  <c:v>0.59562555214915847</c:v>
                </c:pt>
                <c:pt idx="227">
                  <c:v>0.59452032993692383</c:v>
                </c:pt>
                <c:pt idx="228">
                  <c:v>0.5999118239372927</c:v>
                </c:pt>
                <c:pt idx="229">
                  <c:v>0.58456615384615385</c:v>
                </c:pt>
                <c:pt idx="230">
                  <c:v>0.57831383702238159</c:v>
                </c:pt>
                <c:pt idx="231">
                  <c:v>0.58403471688913267</c:v>
                </c:pt>
                <c:pt idx="232">
                  <c:v>0.58447478938765252</c:v>
                </c:pt>
                <c:pt idx="233">
                  <c:v>0.61839495586380833</c:v>
                </c:pt>
                <c:pt idx="234">
                  <c:v>0.6032311163747428</c:v>
                </c:pt>
                <c:pt idx="235">
                  <c:v>0.60125088727818043</c:v>
                </c:pt>
                <c:pt idx="236">
                  <c:v>0.58118132701997205</c:v>
                </c:pt>
                <c:pt idx="237">
                  <c:v>0.55593871028863773</c:v>
                </c:pt>
                <c:pt idx="238">
                  <c:v>0.59213097728092312</c:v>
                </c:pt>
                <c:pt idx="239">
                  <c:v>0.56762828282828282</c:v>
                </c:pt>
                <c:pt idx="240">
                  <c:v>0.59015580887130115</c:v>
                </c:pt>
                <c:pt idx="241">
                  <c:v>0.61019571023876973</c:v>
                </c:pt>
                <c:pt idx="242">
                  <c:v>0.61901076949600597</c:v>
                </c:pt>
                <c:pt idx="243">
                  <c:v>0.61108641415286913</c:v>
                </c:pt>
                <c:pt idx="244">
                  <c:v>0.63338346136466339</c:v>
                </c:pt>
                <c:pt idx="245">
                  <c:v>0.63814415832677385</c:v>
                </c:pt>
                <c:pt idx="246">
                  <c:v>0.66786857624262841</c:v>
                </c:pt>
                <c:pt idx="247">
                  <c:v>0.67219227658042002</c:v>
                </c:pt>
                <c:pt idx="248">
                  <c:v>0.67746347854569278</c:v>
                </c:pt>
                <c:pt idx="249">
                  <c:v>0.68764925455549419</c:v>
                </c:pt>
                <c:pt idx="250">
                  <c:v>0.67638458526763245</c:v>
                </c:pt>
                <c:pt idx="251">
                  <c:v>0.67069051636854538</c:v>
                </c:pt>
                <c:pt idx="252">
                  <c:v>0.66728090342154056</c:v>
                </c:pt>
                <c:pt idx="253">
                  <c:v>0.66184752946641123</c:v>
                </c:pt>
                <c:pt idx="254">
                  <c:v>0.66362481229063186</c:v>
                </c:pt>
                <c:pt idx="255">
                  <c:v>0.67378913738019164</c:v>
                </c:pt>
                <c:pt idx="256">
                  <c:v>0.67772449148338021</c:v>
                </c:pt>
                <c:pt idx="257">
                  <c:v>0.67490221381688731</c:v>
                </c:pt>
                <c:pt idx="258">
                  <c:v>0.67172331367593374</c:v>
                </c:pt>
                <c:pt idx="259">
                  <c:v>0.67962828193344782</c:v>
                </c:pt>
                <c:pt idx="260">
                  <c:v>0.68062015366756956</c:v>
                </c:pt>
                <c:pt idx="261">
                  <c:v>0.67352686319973509</c:v>
                </c:pt>
                <c:pt idx="262">
                  <c:v>0.67819802045894395</c:v>
                </c:pt>
                <c:pt idx="263">
                  <c:v>0.67279647812761212</c:v>
                </c:pt>
                <c:pt idx="264">
                  <c:v>0.66475465715418158</c:v>
                </c:pt>
                <c:pt idx="265">
                  <c:v>0.66699810725552044</c:v>
                </c:pt>
                <c:pt idx="266">
                  <c:v>0.66962833472338057</c:v>
                </c:pt>
                <c:pt idx="267">
                  <c:v>0.66433170293919674</c:v>
                </c:pt>
                <c:pt idx="268">
                  <c:v>0.66786606009547878</c:v>
                </c:pt>
                <c:pt idx="269">
                  <c:v>0.67596221177524063</c:v>
                </c:pt>
                <c:pt idx="270">
                  <c:v>0.66804810211622434</c:v>
                </c:pt>
                <c:pt idx="271">
                  <c:v>0.66488516026909372</c:v>
                </c:pt>
                <c:pt idx="272">
                  <c:v>0.66088705977289752</c:v>
                </c:pt>
                <c:pt idx="273">
                  <c:v>0.66802397455215135</c:v>
                </c:pt>
                <c:pt idx="274">
                  <c:v>0.66297753073943066</c:v>
                </c:pt>
                <c:pt idx="275">
                  <c:v>0.65609441670449387</c:v>
                </c:pt>
                <c:pt idx="276">
                  <c:v>0.67355751066011771</c:v>
                </c:pt>
                <c:pt idx="277">
                  <c:v>0.66952011325274963</c:v>
                </c:pt>
                <c:pt idx="278">
                  <c:v>0.67656496587585313</c:v>
                </c:pt>
                <c:pt idx="279">
                  <c:v>0.67739823416506717</c:v>
                </c:pt>
                <c:pt idx="280">
                  <c:v>0.68657400873927821</c:v>
                </c:pt>
                <c:pt idx="281">
                  <c:v>0.68051377846391348</c:v>
                </c:pt>
                <c:pt idx="282">
                  <c:v>0.68567283856159145</c:v>
                </c:pt>
                <c:pt idx="283">
                  <c:v>0.69202314552969324</c:v>
                </c:pt>
                <c:pt idx="284">
                  <c:v>0.69642296072507559</c:v>
                </c:pt>
                <c:pt idx="285">
                  <c:v>0.70042537764350454</c:v>
                </c:pt>
                <c:pt idx="286">
                  <c:v>0.69990640099896839</c:v>
                </c:pt>
                <c:pt idx="287">
                  <c:v>0.69634244320052685</c:v>
                </c:pt>
                <c:pt idx="288">
                  <c:v>0.6965240174672489</c:v>
                </c:pt>
                <c:pt idx="289">
                  <c:v>0.69952145160408818</c:v>
                </c:pt>
                <c:pt idx="290">
                  <c:v>0.69607672188317349</c:v>
                </c:pt>
                <c:pt idx="291">
                  <c:v>0.70260995003258742</c:v>
                </c:pt>
                <c:pt idx="292">
                  <c:v>0.71010183272963179</c:v>
                </c:pt>
                <c:pt idx="293">
                  <c:v>0.69287272727272731</c:v>
                </c:pt>
                <c:pt idx="294">
                  <c:v>0.69007399718888529</c:v>
                </c:pt>
                <c:pt idx="295">
                  <c:v>0.69286432504677897</c:v>
                </c:pt>
                <c:pt idx="296">
                  <c:v>0.69496989567809242</c:v>
                </c:pt>
                <c:pt idx="297">
                  <c:v>0.69806772609682699</c:v>
                </c:pt>
                <c:pt idx="298">
                  <c:v>0.70347040049418308</c:v>
                </c:pt>
                <c:pt idx="299">
                  <c:v>0.69939595225739493</c:v>
                </c:pt>
                <c:pt idx="300">
                  <c:v>0.70109111260817736</c:v>
                </c:pt>
                <c:pt idx="301">
                  <c:v>0.70604575163398686</c:v>
                </c:pt>
                <c:pt idx="302">
                  <c:v>0.71304654088050312</c:v>
                </c:pt>
                <c:pt idx="303">
                  <c:v>0.71625992272567607</c:v>
                </c:pt>
                <c:pt idx="304">
                  <c:v>0.71204944861979347</c:v>
                </c:pt>
                <c:pt idx="305">
                  <c:v>0.69727769363346737</c:v>
                </c:pt>
                <c:pt idx="306">
                  <c:v>0.69705568522840955</c:v>
                </c:pt>
                <c:pt idx="307">
                  <c:v>0.70312672013507815</c:v>
                </c:pt>
                <c:pt idx="308">
                  <c:v>0.70760354184518715</c:v>
                </c:pt>
                <c:pt idx="309">
                  <c:v>0.71119885273384642</c:v>
                </c:pt>
                <c:pt idx="310">
                  <c:v>0.70826287149434908</c:v>
                </c:pt>
                <c:pt idx="311">
                  <c:v>0.69397467281301328</c:v>
                </c:pt>
                <c:pt idx="312">
                  <c:v>0.6981377626609353</c:v>
                </c:pt>
                <c:pt idx="313">
                  <c:v>0.69754181098466106</c:v>
                </c:pt>
                <c:pt idx="314">
                  <c:v>0.70475574083233239</c:v>
                </c:pt>
                <c:pt idx="315">
                  <c:v>0.70808000246540725</c:v>
                </c:pt>
                <c:pt idx="316">
                  <c:v>0.70092405140386138</c:v>
                </c:pt>
                <c:pt idx="317">
                  <c:v>0.70716534651499807</c:v>
                </c:pt>
                <c:pt idx="318">
                  <c:v>0.74170956105864705</c:v>
                </c:pt>
                <c:pt idx="319">
                  <c:v>0.74218846385143056</c:v>
                </c:pt>
                <c:pt idx="320">
                  <c:v>0.74192000493669719</c:v>
                </c:pt>
                <c:pt idx="321">
                  <c:v>0.71880392303661</c:v>
                </c:pt>
                <c:pt idx="322">
                  <c:v>0.74777128964149375</c:v>
                </c:pt>
                <c:pt idx="323">
                  <c:v>0.75402459197757854</c:v>
                </c:pt>
                <c:pt idx="324">
                  <c:v>0.7539640399371168</c:v>
                </c:pt>
                <c:pt idx="325">
                  <c:v>0.75010793664087771</c:v>
                </c:pt>
                <c:pt idx="326">
                  <c:v>0.75144200069090417</c:v>
                </c:pt>
                <c:pt idx="327">
                  <c:v>0.74812943268142873</c:v>
                </c:pt>
                <c:pt idx="328">
                  <c:v>0.74272123438329596</c:v>
                </c:pt>
                <c:pt idx="329">
                  <c:v>0.74743857633681166</c:v>
                </c:pt>
                <c:pt idx="330">
                  <c:v>0.75539662731871837</c:v>
                </c:pt>
                <c:pt idx="331">
                  <c:v>0.7547510352683181</c:v>
                </c:pt>
                <c:pt idx="332">
                  <c:v>0.76146161885464436</c:v>
                </c:pt>
                <c:pt idx="333">
                  <c:v>0.76771434066286304</c:v>
                </c:pt>
                <c:pt idx="334">
                  <c:v>0.76657777585591824</c:v>
                </c:pt>
                <c:pt idx="335">
                  <c:v>0.74114209711532175</c:v>
                </c:pt>
                <c:pt idx="336">
                  <c:v>0.73511708653643493</c:v>
                </c:pt>
                <c:pt idx="337">
                  <c:v>0.72918415654094992</c:v>
                </c:pt>
                <c:pt idx="338">
                  <c:v>0.73287341714700682</c:v>
                </c:pt>
                <c:pt idx="339">
                  <c:v>0.75576689704132127</c:v>
                </c:pt>
                <c:pt idx="340">
                  <c:v>0.75062555663938246</c:v>
                </c:pt>
                <c:pt idx="341">
                  <c:v>0.73562376526908424</c:v>
                </c:pt>
                <c:pt idx="342">
                  <c:v>0.73698166255070463</c:v>
                </c:pt>
                <c:pt idx="343">
                  <c:v>0.73585778992494966</c:v>
                </c:pt>
                <c:pt idx="344">
                  <c:v>0.72770217425308936</c:v>
                </c:pt>
                <c:pt idx="345">
                  <c:v>0.73744057139101282</c:v>
                </c:pt>
                <c:pt idx="346">
                  <c:v>0.7369853393029584</c:v>
                </c:pt>
                <c:pt idx="347">
                  <c:v>0.7426870308050737</c:v>
                </c:pt>
                <c:pt idx="348">
                  <c:v>0.74397260273972599</c:v>
                </c:pt>
                <c:pt idx="349">
                  <c:v>0.75906780804150453</c:v>
                </c:pt>
                <c:pt idx="350">
                  <c:v>0.75317037268049281</c:v>
                </c:pt>
                <c:pt idx="351">
                  <c:v>0.75691470416909379</c:v>
                </c:pt>
                <c:pt idx="352">
                  <c:v>0.75247053946209252</c:v>
                </c:pt>
                <c:pt idx="353">
                  <c:v>0.74778911006897753</c:v>
                </c:pt>
                <c:pt idx="354">
                  <c:v>0.74026814268142682</c:v>
                </c:pt>
                <c:pt idx="355">
                  <c:v>0.72809404450476678</c:v>
                </c:pt>
                <c:pt idx="356">
                  <c:v>0.71725096456408377</c:v>
                </c:pt>
                <c:pt idx="357">
                  <c:v>0.73319737484406355</c:v>
                </c:pt>
                <c:pt idx="358">
                  <c:v>0.72370311781477059</c:v>
                </c:pt>
                <c:pt idx="359">
                  <c:v>0.73899293992862591</c:v>
                </c:pt>
                <c:pt idx="360">
                  <c:v>0.73532911202215123</c:v>
                </c:pt>
                <c:pt idx="361">
                  <c:v>0.73960488953002801</c:v>
                </c:pt>
                <c:pt idx="362">
                  <c:v>0.73166485599627518</c:v>
                </c:pt>
                <c:pt idx="363">
                  <c:v>0.72275421796625627</c:v>
                </c:pt>
                <c:pt idx="364">
                  <c:v>0.73793845857871165</c:v>
                </c:pt>
                <c:pt idx="365">
                  <c:v>0.75012169398020445</c:v>
                </c:pt>
                <c:pt idx="366">
                  <c:v>0.74574488202451494</c:v>
                </c:pt>
                <c:pt idx="367">
                  <c:v>0.7446563398412358</c:v>
                </c:pt>
                <c:pt idx="368">
                  <c:v>0.73859699012891744</c:v>
                </c:pt>
                <c:pt idx="369">
                  <c:v>0.7369668933851139</c:v>
                </c:pt>
                <c:pt idx="370">
                  <c:v>0.73001807914648564</c:v>
                </c:pt>
                <c:pt idx="371">
                  <c:v>0.72591542410168663</c:v>
                </c:pt>
                <c:pt idx="372">
                  <c:v>0.72408172823605177</c:v>
                </c:pt>
                <c:pt idx="373">
                  <c:v>0.72938551084730952</c:v>
                </c:pt>
                <c:pt idx="374">
                  <c:v>0.74370167330677295</c:v>
                </c:pt>
                <c:pt idx="375">
                  <c:v>0.72982862673926197</c:v>
                </c:pt>
                <c:pt idx="376">
                  <c:v>0.72087403081260693</c:v>
                </c:pt>
                <c:pt idx="377">
                  <c:v>0.72213680348719778</c:v>
                </c:pt>
                <c:pt idx="378">
                  <c:v>0.72137889018632273</c:v>
                </c:pt>
                <c:pt idx="379">
                  <c:v>0.71891606457943091</c:v>
                </c:pt>
                <c:pt idx="380">
                  <c:v>0.71896044040455775</c:v>
                </c:pt>
                <c:pt idx="381">
                  <c:v>0.7195294601331037</c:v>
                </c:pt>
                <c:pt idx="382">
                  <c:v>0.71894235458932187</c:v>
                </c:pt>
                <c:pt idx="383">
                  <c:v>0.71239365656673703</c:v>
                </c:pt>
                <c:pt idx="384">
                  <c:v>0.70358117558117561</c:v>
                </c:pt>
                <c:pt idx="385">
                  <c:v>0.70379345067869659</c:v>
                </c:pt>
                <c:pt idx="386">
                  <c:v>0.70002649431977848</c:v>
                </c:pt>
                <c:pt idx="387">
                  <c:v>0.70713082537900052</c:v>
                </c:pt>
                <c:pt idx="388">
                  <c:v>0.70422615570619318</c:v>
                </c:pt>
                <c:pt idx="389">
                  <c:v>0.7014660151043981</c:v>
                </c:pt>
                <c:pt idx="390">
                  <c:v>0.67801102468811736</c:v>
                </c:pt>
                <c:pt idx="391">
                  <c:v>0.65898945247859553</c:v>
                </c:pt>
                <c:pt idx="392">
                  <c:v>0.66214889019838929</c:v>
                </c:pt>
                <c:pt idx="393">
                  <c:v>0.66726304106548273</c:v>
                </c:pt>
                <c:pt idx="394">
                  <c:v>0.66662627101058303</c:v>
                </c:pt>
                <c:pt idx="395">
                  <c:v>0.68545518970065222</c:v>
                </c:pt>
                <c:pt idx="396">
                  <c:v>0.67895291922442469</c:v>
                </c:pt>
                <c:pt idx="397">
                  <c:v>0.67244590163934426</c:v>
                </c:pt>
                <c:pt idx="398">
                  <c:v>0.66760196971104713</c:v>
                </c:pt>
                <c:pt idx="399">
                  <c:v>0.67273249064036844</c:v>
                </c:pt>
                <c:pt idx="400">
                  <c:v>0.66838053249204687</c:v>
                </c:pt>
                <c:pt idx="401">
                  <c:v>0.66326685343354974</c:v>
                </c:pt>
                <c:pt idx="402">
                  <c:v>0.68061920765862105</c:v>
                </c:pt>
                <c:pt idx="403">
                  <c:v>0.68822179588458787</c:v>
                </c:pt>
                <c:pt idx="404">
                  <c:v>0.68410184053716971</c:v>
                </c:pt>
                <c:pt idx="405">
                  <c:v>0.68865324940154271</c:v>
                </c:pt>
                <c:pt idx="406">
                  <c:v>0.69658690883118202</c:v>
                </c:pt>
                <c:pt idx="407">
                  <c:v>0.70127737838181126</c:v>
                </c:pt>
                <c:pt idx="408">
                  <c:v>0.71792930377169939</c:v>
                </c:pt>
                <c:pt idx="409">
                  <c:v>0.72788223335333679</c:v>
                </c:pt>
                <c:pt idx="410">
                  <c:v>0.71403963619893995</c:v>
                </c:pt>
                <c:pt idx="411">
                  <c:v>0.69346522474501571</c:v>
                </c:pt>
                <c:pt idx="412">
                  <c:v>0.68746343610054095</c:v>
                </c:pt>
                <c:pt idx="413">
                  <c:v>0.67188431023960515</c:v>
                </c:pt>
                <c:pt idx="414">
                  <c:v>0.68659517426273453</c:v>
                </c:pt>
                <c:pt idx="415">
                  <c:v>0.7289651161339441</c:v>
                </c:pt>
                <c:pt idx="416">
                  <c:v>0.72687749287749281</c:v>
                </c:pt>
                <c:pt idx="417">
                  <c:v>0.73535789739701796</c:v>
                </c:pt>
                <c:pt idx="418">
                  <c:v>0.7294912886496423</c:v>
                </c:pt>
                <c:pt idx="419">
                  <c:v>0.73026268770195779</c:v>
                </c:pt>
                <c:pt idx="420">
                  <c:v>0.73157126731092204</c:v>
                </c:pt>
                <c:pt idx="421">
                  <c:v>0.72834825843162165</c:v>
                </c:pt>
                <c:pt idx="422">
                  <c:v>0.73762510630126465</c:v>
                </c:pt>
                <c:pt idx="423">
                  <c:v>0.72492654862313577</c:v>
                </c:pt>
                <c:pt idx="424">
                  <c:v>0.72247039022389425</c:v>
                </c:pt>
                <c:pt idx="425">
                  <c:v>0.71402949236591406</c:v>
                </c:pt>
                <c:pt idx="426">
                  <c:v>0.70295585295508989</c:v>
                </c:pt>
                <c:pt idx="427">
                  <c:v>0.70057288351368552</c:v>
                </c:pt>
                <c:pt idx="428">
                  <c:v>0.69968015455618759</c:v>
                </c:pt>
                <c:pt idx="429">
                  <c:v>0.69997417320925159</c:v>
                </c:pt>
                <c:pt idx="430">
                  <c:v>0.69399566173868898</c:v>
                </c:pt>
                <c:pt idx="431">
                  <c:v>0.70504825291181361</c:v>
                </c:pt>
                <c:pt idx="432">
                  <c:v>0.70584345974087448</c:v>
                </c:pt>
                <c:pt idx="433">
                  <c:v>0.71140883534136545</c:v>
                </c:pt>
                <c:pt idx="434">
                  <c:v>0.71792735300020072</c:v>
                </c:pt>
                <c:pt idx="435">
                  <c:v>0.71308801306922609</c:v>
                </c:pt>
                <c:pt idx="436">
                  <c:v>0.71051252612676263</c:v>
                </c:pt>
                <c:pt idx="437">
                  <c:v>0.71876994985726328</c:v>
                </c:pt>
                <c:pt idx="438">
                  <c:v>0.71801049656842952</c:v>
                </c:pt>
                <c:pt idx="439">
                  <c:v>0.72504595879556266</c:v>
                </c:pt>
                <c:pt idx="440">
                  <c:v>0.72219392359370294</c:v>
                </c:pt>
                <c:pt idx="441">
                  <c:v>0.72335501595432627</c:v>
                </c:pt>
                <c:pt idx="442">
                  <c:v>0.72589360215590371</c:v>
                </c:pt>
                <c:pt idx="443">
                  <c:v>0.72276366575730022</c:v>
                </c:pt>
                <c:pt idx="444">
                  <c:v>0.72434450009381812</c:v>
                </c:pt>
                <c:pt idx="445">
                  <c:v>0.73014678899082575</c:v>
                </c:pt>
                <c:pt idx="446">
                  <c:v>0.71393176100166256</c:v>
                </c:pt>
                <c:pt idx="447">
                  <c:v>0.71528290925990468</c:v>
                </c:pt>
                <c:pt idx="448">
                  <c:v>0.7199611919611919</c:v>
                </c:pt>
                <c:pt idx="449">
                  <c:v>0.72298288352375839</c:v>
                </c:pt>
                <c:pt idx="450">
                  <c:v>0.71771535502651007</c:v>
                </c:pt>
                <c:pt idx="451">
                  <c:v>0.71854007080785331</c:v>
                </c:pt>
                <c:pt idx="452">
                  <c:v>0.71399766404120868</c:v>
                </c:pt>
                <c:pt idx="453">
                  <c:v>0.71289011105235323</c:v>
                </c:pt>
                <c:pt idx="454">
                  <c:v>0.71039487203079232</c:v>
                </c:pt>
                <c:pt idx="455">
                  <c:v>0.72068079194164647</c:v>
                </c:pt>
                <c:pt idx="456">
                  <c:v>0.71803315538072487</c:v>
                </c:pt>
                <c:pt idx="457">
                  <c:v>0.72066956875036281</c:v>
                </c:pt>
                <c:pt idx="458">
                  <c:v>0.735990080956896</c:v>
                </c:pt>
                <c:pt idx="459">
                  <c:v>0.73335923115832058</c:v>
                </c:pt>
                <c:pt idx="460">
                  <c:v>0.73698835811266528</c:v>
                </c:pt>
                <c:pt idx="461">
                  <c:v>0.73189214592022556</c:v>
                </c:pt>
                <c:pt idx="462">
                  <c:v>0.73463313336409786</c:v>
                </c:pt>
                <c:pt idx="463">
                  <c:v>0.73698476950406244</c:v>
                </c:pt>
                <c:pt idx="464">
                  <c:v>0.73767876316484293</c:v>
                </c:pt>
                <c:pt idx="465">
                  <c:v>0.72400310601562146</c:v>
                </c:pt>
                <c:pt idx="466">
                  <c:v>0.72401619481946389</c:v>
                </c:pt>
                <c:pt idx="467">
                  <c:v>0.74111567521549437</c:v>
                </c:pt>
                <c:pt idx="468">
                  <c:v>0.74116821877981187</c:v>
                </c:pt>
                <c:pt idx="469">
                  <c:v>0.74936969461890768</c:v>
                </c:pt>
                <c:pt idx="470">
                  <c:v>0.74364080879526406</c:v>
                </c:pt>
                <c:pt idx="471">
                  <c:v>0.75150917850826371</c:v>
                </c:pt>
                <c:pt idx="472">
                  <c:v>0.74782833584348807</c:v>
                </c:pt>
                <c:pt idx="473">
                  <c:v>0.74118497791331961</c:v>
                </c:pt>
                <c:pt idx="474">
                  <c:v>0.73750204752794601</c:v>
                </c:pt>
                <c:pt idx="475">
                  <c:v>0.73568519577255431</c:v>
                </c:pt>
                <c:pt idx="476">
                  <c:v>0.73485281392349266</c:v>
                </c:pt>
                <c:pt idx="477">
                  <c:v>0.73307912297426125</c:v>
                </c:pt>
                <c:pt idx="478">
                  <c:v>0.73815258652772608</c:v>
                </c:pt>
                <c:pt idx="479">
                  <c:v>0.73506523943661972</c:v>
                </c:pt>
                <c:pt idx="480">
                  <c:v>0.73639934481497382</c:v>
                </c:pt>
                <c:pt idx="481">
                  <c:v>0.73849254586217616</c:v>
                </c:pt>
                <c:pt idx="482">
                  <c:v>0.73552972434407171</c:v>
                </c:pt>
                <c:pt idx="483">
                  <c:v>0.74384389731123624</c:v>
                </c:pt>
                <c:pt idx="484">
                  <c:v>0.73682264478828996</c:v>
                </c:pt>
                <c:pt idx="485">
                  <c:v>0.72136782004089972</c:v>
                </c:pt>
                <c:pt idx="486">
                  <c:v>0.70424347767954143</c:v>
                </c:pt>
                <c:pt idx="487">
                  <c:v>0.7116141088051926</c:v>
                </c:pt>
                <c:pt idx="488">
                  <c:v>0.70326219406050905</c:v>
                </c:pt>
                <c:pt idx="489">
                  <c:v>0.70805929749904073</c:v>
                </c:pt>
                <c:pt idx="490">
                  <c:v>0.71906173584905653</c:v>
                </c:pt>
                <c:pt idx="491">
                  <c:v>0.72853280614477156</c:v>
                </c:pt>
                <c:pt idx="492">
                  <c:v>0.74760563380281697</c:v>
                </c:pt>
                <c:pt idx="493">
                  <c:v>0.73076923076923084</c:v>
                </c:pt>
                <c:pt idx="494">
                  <c:v>0.7453795371190084</c:v>
                </c:pt>
                <c:pt idx="495">
                  <c:v>0.73291787224571558</c:v>
                </c:pt>
                <c:pt idx="496">
                  <c:v>0.74269642941893022</c:v>
                </c:pt>
                <c:pt idx="497">
                  <c:v>0.74371434408838732</c:v>
                </c:pt>
                <c:pt idx="498">
                  <c:v>0.73404753743168516</c:v>
                </c:pt>
                <c:pt idx="499">
                  <c:v>0.72379434548128785</c:v>
                </c:pt>
                <c:pt idx="500">
                  <c:v>0.71451704960968732</c:v>
                </c:pt>
                <c:pt idx="501">
                  <c:v>0.73271180515091483</c:v>
                </c:pt>
                <c:pt idx="502">
                  <c:v>0.7335360010573968</c:v>
                </c:pt>
                <c:pt idx="503">
                  <c:v>0.73143689514117527</c:v>
                </c:pt>
                <c:pt idx="504">
                  <c:v>0.72869940466401339</c:v>
                </c:pt>
                <c:pt idx="505">
                  <c:v>0.72201508778957213</c:v>
                </c:pt>
                <c:pt idx="506">
                  <c:v>0.73536174033851209</c:v>
                </c:pt>
                <c:pt idx="507">
                  <c:v>0.73600764087870107</c:v>
                </c:pt>
                <c:pt idx="508">
                  <c:v>0.72639275663770952</c:v>
                </c:pt>
                <c:pt idx="509">
                  <c:v>0.73850759646234021</c:v>
                </c:pt>
                <c:pt idx="510">
                  <c:v>0.751224264467104</c:v>
                </c:pt>
                <c:pt idx="511">
                  <c:v>0.75366719857024322</c:v>
                </c:pt>
                <c:pt idx="512">
                  <c:v>0.71800578655263392</c:v>
                </c:pt>
                <c:pt idx="513">
                  <c:v>0.71568077184100953</c:v>
                </c:pt>
                <c:pt idx="514">
                  <c:v>0.71384978372001573</c:v>
                </c:pt>
                <c:pt idx="515">
                  <c:v>0.7275600724343102</c:v>
                </c:pt>
                <c:pt idx="516">
                  <c:v>0.72970843346766734</c:v>
                </c:pt>
                <c:pt idx="517">
                  <c:v>0.74557953964194379</c:v>
                </c:pt>
                <c:pt idx="518">
                  <c:v>0.7651731714368315</c:v>
                </c:pt>
                <c:pt idx="519">
                  <c:v>0.76913726959655981</c:v>
                </c:pt>
                <c:pt idx="520">
                  <c:v>0.77106656768126702</c:v>
                </c:pt>
                <c:pt idx="521">
                  <c:v>0.77348376841287225</c:v>
                </c:pt>
                <c:pt idx="522">
                  <c:v>0.77786248282842885</c:v>
                </c:pt>
                <c:pt idx="523">
                  <c:v>0.78177581184593814</c:v>
                </c:pt>
                <c:pt idx="524">
                  <c:v>0.77845641821001732</c:v>
                </c:pt>
                <c:pt idx="525">
                  <c:v>0.77767418241636421</c:v>
                </c:pt>
                <c:pt idx="526">
                  <c:v>0.7796888450855658</c:v>
                </c:pt>
                <c:pt idx="527">
                  <c:v>0.7653043703129041</c:v>
                </c:pt>
                <c:pt idx="528">
                  <c:v>0.7627213181523651</c:v>
                </c:pt>
                <c:pt idx="529">
                  <c:v>0.76011022156023089</c:v>
                </c:pt>
                <c:pt idx="530">
                  <c:v>0.75284242562580839</c:v>
                </c:pt>
                <c:pt idx="531">
                  <c:v>0.75506789486520454</c:v>
                </c:pt>
                <c:pt idx="532">
                  <c:v>0.75260892468024632</c:v>
                </c:pt>
                <c:pt idx="533">
                  <c:v>0.75122034997996301</c:v>
                </c:pt>
                <c:pt idx="534">
                  <c:v>0.76405844466526807</c:v>
                </c:pt>
                <c:pt idx="535">
                  <c:v>0.76527789143857705</c:v>
                </c:pt>
                <c:pt idx="536">
                  <c:v>0.76359631093544134</c:v>
                </c:pt>
                <c:pt idx="537">
                  <c:v>0.76522907345175228</c:v>
                </c:pt>
                <c:pt idx="538">
                  <c:v>0.76412391799544421</c:v>
                </c:pt>
                <c:pt idx="539">
                  <c:v>0.78922496416534305</c:v>
                </c:pt>
                <c:pt idx="540">
                  <c:v>0.78633605826972996</c:v>
                </c:pt>
                <c:pt idx="541">
                  <c:v>0.79074201174407077</c:v>
                </c:pt>
                <c:pt idx="542">
                  <c:v>0.79124797406807135</c:v>
                </c:pt>
                <c:pt idx="543">
                  <c:v>0.79315376458112408</c:v>
                </c:pt>
                <c:pt idx="544">
                  <c:v>0.79741248900615658</c:v>
                </c:pt>
                <c:pt idx="545">
                  <c:v>0.76255104700669041</c:v>
                </c:pt>
                <c:pt idx="546">
                  <c:v>0.7666367789590538</c:v>
                </c:pt>
                <c:pt idx="547">
                  <c:v>0.76004459585010842</c:v>
                </c:pt>
                <c:pt idx="548">
                  <c:v>0.75189790599442796</c:v>
                </c:pt>
                <c:pt idx="549">
                  <c:v>0.75832975962081028</c:v>
                </c:pt>
                <c:pt idx="550">
                  <c:v>0.76603505936749494</c:v>
                </c:pt>
                <c:pt idx="551">
                  <c:v>0.75921447028423772</c:v>
                </c:pt>
                <c:pt idx="552">
                  <c:v>0.75333792154163803</c:v>
                </c:pt>
                <c:pt idx="553">
                  <c:v>0.75520804755372661</c:v>
                </c:pt>
                <c:pt idx="554">
                  <c:v>0.7547980188121961</c:v>
                </c:pt>
                <c:pt idx="555">
                  <c:v>0.75426677393403052</c:v>
                </c:pt>
                <c:pt idx="556">
                  <c:v>0.75543473410189665</c:v>
                </c:pt>
                <c:pt idx="557">
                  <c:v>0.75071036687180959</c:v>
                </c:pt>
                <c:pt idx="558">
                  <c:v>0.75409905000723343</c:v>
                </c:pt>
                <c:pt idx="559">
                  <c:v>0.75069400630914829</c:v>
                </c:pt>
                <c:pt idx="560">
                  <c:v>0.75495739323865163</c:v>
                </c:pt>
                <c:pt idx="561">
                  <c:v>0.75705617923275637</c:v>
                </c:pt>
                <c:pt idx="562">
                  <c:v>0.76621836381318342</c:v>
                </c:pt>
                <c:pt idx="563">
                  <c:v>0.76906173598467831</c:v>
                </c:pt>
                <c:pt idx="564">
                  <c:v>0.76939308890711022</c:v>
                </c:pt>
                <c:pt idx="565">
                  <c:v>0.76837614763980344</c:v>
                </c:pt>
                <c:pt idx="566">
                  <c:v>0.76832281292373872</c:v>
                </c:pt>
                <c:pt idx="567">
                  <c:v>0.76906669169756414</c:v>
                </c:pt>
                <c:pt idx="568">
                  <c:v>0.77037363452930396</c:v>
                </c:pt>
                <c:pt idx="569">
                  <c:v>0.77485096353805627</c:v>
                </c:pt>
                <c:pt idx="570">
                  <c:v>0.77110519097101149</c:v>
                </c:pt>
                <c:pt idx="571">
                  <c:v>0.77502041567887314</c:v>
                </c:pt>
                <c:pt idx="572">
                  <c:v>0.77631292080795133</c:v>
                </c:pt>
                <c:pt idx="573">
                  <c:v>0.77308410872255573</c:v>
                </c:pt>
                <c:pt idx="574">
                  <c:v>0.77496255674093872</c:v>
                </c:pt>
                <c:pt idx="575">
                  <c:v>0.77388474325821943</c:v>
                </c:pt>
                <c:pt idx="576">
                  <c:v>0.7784461217279588</c:v>
                </c:pt>
                <c:pt idx="577">
                  <c:v>0.77509660574412542</c:v>
                </c:pt>
                <c:pt idx="578">
                  <c:v>0.77171641791044776</c:v>
                </c:pt>
                <c:pt idx="579">
                  <c:v>0.77401677539608571</c:v>
                </c:pt>
                <c:pt idx="580">
                  <c:v>0.77790313014827017</c:v>
                </c:pt>
                <c:pt idx="581">
                  <c:v>0.77427675942634633</c:v>
                </c:pt>
                <c:pt idx="582">
                  <c:v>0.77490680920288169</c:v>
                </c:pt>
                <c:pt idx="583">
                  <c:v>0.77358384613584774</c:v>
                </c:pt>
                <c:pt idx="584">
                  <c:v>0.77162587779670111</c:v>
                </c:pt>
                <c:pt idx="585">
                  <c:v>0.7710554174315124</c:v>
                </c:pt>
                <c:pt idx="586">
                  <c:v>0.7724694728858551</c:v>
                </c:pt>
                <c:pt idx="587">
                  <c:v>0.7679615301801479</c:v>
                </c:pt>
                <c:pt idx="588">
                  <c:v>0.76903811856466842</c:v>
                </c:pt>
                <c:pt idx="589">
                  <c:v>0.77434641221011646</c:v>
                </c:pt>
                <c:pt idx="590">
                  <c:v>0.77808143878256864</c:v>
                </c:pt>
                <c:pt idx="591">
                  <c:v>0.78543168651065187</c:v>
                </c:pt>
                <c:pt idx="592">
                  <c:v>0.79090549480528338</c:v>
                </c:pt>
                <c:pt idx="593">
                  <c:v>0.78899637522221966</c:v>
                </c:pt>
                <c:pt idx="594">
                  <c:v>0.78458772814821609</c:v>
                </c:pt>
                <c:pt idx="595">
                  <c:v>0.7859144474343509</c:v>
                </c:pt>
                <c:pt idx="596">
                  <c:v>0.79289462126990728</c:v>
                </c:pt>
                <c:pt idx="597">
                  <c:v>0.79091312160175486</c:v>
                </c:pt>
                <c:pt idx="598">
                  <c:v>0.79352881324576818</c:v>
                </c:pt>
                <c:pt idx="599">
                  <c:v>0.7889089081772499</c:v>
                </c:pt>
                <c:pt idx="600">
                  <c:v>0.80256483455371219</c:v>
                </c:pt>
                <c:pt idx="601">
                  <c:v>0.79684789704373782</c:v>
                </c:pt>
                <c:pt idx="602">
                  <c:v>0.79298079931730903</c:v>
                </c:pt>
                <c:pt idx="603">
                  <c:v>0.79681256602213757</c:v>
                </c:pt>
                <c:pt idx="604">
                  <c:v>0.80172339069470999</c:v>
                </c:pt>
                <c:pt idx="605">
                  <c:v>0.81066543722145379</c:v>
                </c:pt>
                <c:pt idx="606">
                  <c:v>0.80696544035674467</c:v>
                </c:pt>
                <c:pt idx="607">
                  <c:v>0.80533858232086697</c:v>
                </c:pt>
                <c:pt idx="608">
                  <c:v>0.803928740343686</c:v>
                </c:pt>
                <c:pt idx="609">
                  <c:v>0.80620736390332048</c:v>
                </c:pt>
                <c:pt idx="610">
                  <c:v>0.80628339203467891</c:v>
                </c:pt>
                <c:pt idx="611">
                  <c:v>0.80720956005073774</c:v>
                </c:pt>
                <c:pt idx="612">
                  <c:v>0.80820485730274205</c:v>
                </c:pt>
                <c:pt idx="613">
                  <c:v>0.80185698886094148</c:v>
                </c:pt>
                <c:pt idx="614">
                  <c:v>0.80446900964144485</c:v>
                </c:pt>
                <c:pt idx="615">
                  <c:v>0.80421726844583985</c:v>
                </c:pt>
                <c:pt idx="616">
                  <c:v>0.80178557970681497</c:v>
                </c:pt>
                <c:pt idx="617">
                  <c:v>0.80578739621614259</c:v>
                </c:pt>
                <c:pt idx="618">
                  <c:v>0.80343004513217275</c:v>
                </c:pt>
                <c:pt idx="619">
                  <c:v>0.80407595751528804</c:v>
                </c:pt>
                <c:pt idx="620">
                  <c:v>0.81249900429260524</c:v>
                </c:pt>
                <c:pt idx="621">
                  <c:v>0.8211275832088637</c:v>
                </c:pt>
                <c:pt idx="622">
                  <c:v>0.81863858322644523</c:v>
                </c:pt>
                <c:pt idx="623">
                  <c:v>0.82008393606572016</c:v>
                </c:pt>
                <c:pt idx="624">
                  <c:v>0.81771358272201211</c:v>
                </c:pt>
                <c:pt idx="625">
                  <c:v>0.82077197059415008</c:v>
                </c:pt>
                <c:pt idx="626">
                  <c:v>0.82139516544570645</c:v>
                </c:pt>
                <c:pt idx="627">
                  <c:v>0.81979893986474139</c:v>
                </c:pt>
                <c:pt idx="628">
                  <c:v>0.80937617135207496</c:v>
                </c:pt>
                <c:pt idx="629">
                  <c:v>0.80051907955038837</c:v>
                </c:pt>
                <c:pt idx="630">
                  <c:v>0.79097359663824718</c:v>
                </c:pt>
                <c:pt idx="631">
                  <c:v>0.79226510721247567</c:v>
                </c:pt>
                <c:pt idx="632">
                  <c:v>0.79350210361822338</c:v>
                </c:pt>
                <c:pt idx="633">
                  <c:v>0.79780340027934304</c:v>
                </c:pt>
                <c:pt idx="634">
                  <c:v>0.79830186317461849</c:v>
                </c:pt>
                <c:pt idx="635">
                  <c:v>0.79423230665250555</c:v>
                </c:pt>
                <c:pt idx="636">
                  <c:v>0.79701448358121763</c:v>
                </c:pt>
                <c:pt idx="637">
                  <c:v>0.79419644283121593</c:v>
                </c:pt>
                <c:pt idx="638">
                  <c:v>0.78940460013085711</c:v>
                </c:pt>
                <c:pt idx="639">
                  <c:v>0.79118229631834869</c:v>
                </c:pt>
                <c:pt idx="640">
                  <c:v>0.79770165196869958</c:v>
                </c:pt>
                <c:pt idx="641">
                  <c:v>0.79423281574522797</c:v>
                </c:pt>
                <c:pt idx="642">
                  <c:v>0.80091271056661562</c:v>
                </c:pt>
                <c:pt idx="643">
                  <c:v>0.78148024542397243</c:v>
                </c:pt>
                <c:pt idx="644">
                  <c:v>0.78199794026776526</c:v>
                </c:pt>
                <c:pt idx="645">
                  <c:v>0.77936118189071624</c:v>
                </c:pt>
                <c:pt idx="646">
                  <c:v>0.78881924272537329</c:v>
                </c:pt>
                <c:pt idx="647">
                  <c:v>0.78712435890925714</c:v>
                </c:pt>
                <c:pt idx="648">
                  <c:v>0.77975614194722476</c:v>
                </c:pt>
                <c:pt idx="649">
                  <c:v>0.7826717437796672</c:v>
                </c:pt>
                <c:pt idx="650">
                  <c:v>0.78367249476002232</c:v>
                </c:pt>
                <c:pt idx="651">
                  <c:v>0.78752237697307337</c:v>
                </c:pt>
                <c:pt idx="652">
                  <c:v>0.78576543676732757</c:v>
                </c:pt>
                <c:pt idx="653">
                  <c:v>0.78227766078081973</c:v>
                </c:pt>
                <c:pt idx="654">
                  <c:v>0.78272152070604206</c:v>
                </c:pt>
                <c:pt idx="655">
                  <c:v>0.78750894300325924</c:v>
                </c:pt>
                <c:pt idx="656">
                  <c:v>0.79426366291197326</c:v>
                </c:pt>
                <c:pt idx="657">
                  <c:v>0.78830954169797152</c:v>
                </c:pt>
                <c:pt idx="658">
                  <c:v>0.78067726928486425</c:v>
                </c:pt>
                <c:pt idx="659">
                  <c:v>0.7777580878934558</c:v>
                </c:pt>
                <c:pt idx="660">
                  <c:v>0.77654354273389048</c:v>
                </c:pt>
                <c:pt idx="661">
                  <c:v>0.78184179201385129</c:v>
                </c:pt>
                <c:pt idx="662">
                  <c:v>0.77689617547491818</c:v>
                </c:pt>
                <c:pt idx="663">
                  <c:v>0.77769228624794406</c:v>
                </c:pt>
                <c:pt idx="664">
                  <c:v>0.77268232246438018</c:v>
                </c:pt>
                <c:pt idx="665">
                  <c:v>0.77327401122058781</c:v>
                </c:pt>
                <c:pt idx="666">
                  <c:v>0.76715567105373461</c:v>
                </c:pt>
                <c:pt idx="667">
                  <c:v>0.76752594576498157</c:v>
                </c:pt>
                <c:pt idx="668">
                  <c:v>0.77665615418309242</c:v>
                </c:pt>
                <c:pt idx="669">
                  <c:v>0.76896166399291921</c:v>
                </c:pt>
                <c:pt idx="670">
                  <c:v>0.76649796656122904</c:v>
                </c:pt>
                <c:pt idx="671">
                  <c:v>0.76790668563300146</c:v>
                </c:pt>
                <c:pt idx="672">
                  <c:v>0.76937167104014292</c:v>
                </c:pt>
                <c:pt idx="673">
                  <c:v>0.76822929796678907</c:v>
                </c:pt>
                <c:pt idx="674">
                  <c:v>0.77007505885611405</c:v>
                </c:pt>
                <c:pt idx="675">
                  <c:v>0.7705474171164225</c:v>
                </c:pt>
                <c:pt idx="676">
                  <c:v>0.77103395357759452</c:v>
                </c:pt>
                <c:pt idx="677">
                  <c:v>0.77486331641839912</c:v>
                </c:pt>
                <c:pt idx="678">
                  <c:v>0.77531043125289456</c:v>
                </c:pt>
                <c:pt idx="679">
                  <c:v>0.76782111169462952</c:v>
                </c:pt>
                <c:pt idx="680">
                  <c:v>0.77222192092846687</c:v>
                </c:pt>
                <c:pt idx="681">
                  <c:v>0.77517361111111116</c:v>
                </c:pt>
                <c:pt idx="682">
                  <c:v>0.77850232508418404</c:v>
                </c:pt>
                <c:pt idx="683">
                  <c:v>0.78171225803034716</c:v>
                </c:pt>
                <c:pt idx="684">
                  <c:v>0.78059944289693595</c:v>
                </c:pt>
                <c:pt idx="685">
                  <c:v>0.78759161667151201</c:v>
                </c:pt>
                <c:pt idx="686">
                  <c:v>0.78691333368371263</c:v>
                </c:pt>
                <c:pt idx="687">
                  <c:v>0.78964392852484677</c:v>
                </c:pt>
                <c:pt idx="688">
                  <c:v>0.78428039591483101</c:v>
                </c:pt>
                <c:pt idx="689">
                  <c:v>0.78391014992425423</c:v>
                </c:pt>
                <c:pt idx="690">
                  <c:v>0.786119262739429</c:v>
                </c:pt>
                <c:pt idx="691">
                  <c:v>0.78335298879690807</c:v>
                </c:pt>
                <c:pt idx="692">
                  <c:v>0.78530186232297561</c:v>
                </c:pt>
                <c:pt idx="693">
                  <c:v>0.78211009987743496</c:v>
                </c:pt>
                <c:pt idx="694">
                  <c:v>0.78028736546312494</c:v>
                </c:pt>
                <c:pt idx="695">
                  <c:v>0.76970370370370367</c:v>
                </c:pt>
                <c:pt idx="696">
                  <c:v>0.76547733847637422</c:v>
                </c:pt>
                <c:pt idx="697">
                  <c:v>0.77736549165120594</c:v>
                </c:pt>
                <c:pt idx="698">
                  <c:v>0.77095068352792084</c:v>
                </c:pt>
                <c:pt idx="699">
                  <c:v>0.77595279241306636</c:v>
                </c:pt>
                <c:pt idx="700">
                  <c:v>0.77158889388846252</c:v>
                </c:pt>
                <c:pt idx="701">
                  <c:v>0.77775407039851141</c:v>
                </c:pt>
                <c:pt idx="702">
                  <c:v>0.78066943234816666</c:v>
                </c:pt>
                <c:pt idx="703">
                  <c:v>0.78621651677044091</c:v>
                </c:pt>
                <c:pt idx="704">
                  <c:v>0.77982951094355424</c:v>
                </c:pt>
                <c:pt idx="705">
                  <c:v>0.78077928106126537</c:v>
                </c:pt>
                <c:pt idx="706">
                  <c:v>0.78357765248590461</c:v>
                </c:pt>
                <c:pt idx="707">
                  <c:v>0.78296024056130975</c:v>
                </c:pt>
                <c:pt idx="708">
                  <c:v>0.78623749097286699</c:v>
                </c:pt>
                <c:pt idx="709">
                  <c:v>0.780403487952118</c:v>
                </c:pt>
                <c:pt idx="710">
                  <c:v>0.7855168335321886</c:v>
                </c:pt>
                <c:pt idx="711">
                  <c:v>0.78246313475938556</c:v>
                </c:pt>
                <c:pt idx="712">
                  <c:v>0.78260391056480305</c:v>
                </c:pt>
                <c:pt idx="713">
                  <c:v>0.77745546341301386</c:v>
                </c:pt>
                <c:pt idx="714">
                  <c:v>0.77363303638914882</c:v>
                </c:pt>
                <c:pt idx="715">
                  <c:v>0.774669579265855</c:v>
                </c:pt>
                <c:pt idx="716">
                  <c:v>0.77673506910279499</c:v>
                </c:pt>
                <c:pt idx="717">
                  <c:v>0.77675561727593334</c:v>
                </c:pt>
                <c:pt idx="718">
                  <c:v>0.76696563105402882</c:v>
                </c:pt>
                <c:pt idx="719">
                  <c:v>0.75956343784585689</c:v>
                </c:pt>
                <c:pt idx="720">
                  <c:v>0.76175413390352986</c:v>
                </c:pt>
                <c:pt idx="721">
                  <c:v>0.76585679000527218</c:v>
                </c:pt>
                <c:pt idx="722">
                  <c:v>0.77317167126825703</c:v>
                </c:pt>
                <c:pt idx="723">
                  <c:v>0.77031686287192846</c:v>
                </c:pt>
                <c:pt idx="724">
                  <c:v>0.75413787056007875</c:v>
                </c:pt>
                <c:pt idx="725">
                  <c:v>0.7489764854718387</c:v>
                </c:pt>
                <c:pt idx="726">
                  <c:v>0.75758192787032252</c:v>
                </c:pt>
                <c:pt idx="727">
                  <c:v>0.75806758923953166</c:v>
                </c:pt>
                <c:pt idx="728">
                  <c:v>0.76125880449253214</c:v>
                </c:pt>
                <c:pt idx="729">
                  <c:v>0.75306899063805144</c:v>
                </c:pt>
                <c:pt idx="730">
                  <c:v>0.76439203397636635</c:v>
                </c:pt>
                <c:pt idx="731">
                  <c:v>0.77183278079187057</c:v>
                </c:pt>
                <c:pt idx="732">
                  <c:v>0.77749342317060077</c:v>
                </c:pt>
                <c:pt idx="733">
                  <c:v>0.78349850438362134</c:v>
                </c:pt>
                <c:pt idx="734">
                  <c:v>0.7772093071212165</c:v>
                </c:pt>
                <c:pt idx="735">
                  <c:v>0.77686960363987068</c:v>
                </c:pt>
                <c:pt idx="736">
                  <c:v>0.77119341429273025</c:v>
                </c:pt>
                <c:pt idx="737">
                  <c:v>0.77198854108723547</c:v>
                </c:pt>
                <c:pt idx="738">
                  <c:v>0.77601679038563265</c:v>
                </c:pt>
                <c:pt idx="739">
                  <c:v>0.78003177388376455</c:v>
                </c:pt>
                <c:pt idx="740">
                  <c:v>0.77801761929577151</c:v>
                </c:pt>
                <c:pt idx="741">
                  <c:v>0.77496053421696254</c:v>
                </c:pt>
                <c:pt idx="742">
                  <c:v>0.77345024624881398</c:v>
                </c:pt>
                <c:pt idx="743">
                  <c:v>0.78281828846607959</c:v>
                </c:pt>
                <c:pt idx="744">
                  <c:v>0.7840629417495959</c:v>
                </c:pt>
                <c:pt idx="745">
                  <c:v>0.77664113116084299</c:v>
                </c:pt>
                <c:pt idx="746">
                  <c:v>0.76231067974901134</c:v>
                </c:pt>
                <c:pt idx="747">
                  <c:v>0.7678815834992242</c:v>
                </c:pt>
                <c:pt idx="748">
                  <c:v>0.77125365209354646</c:v>
                </c:pt>
                <c:pt idx="749">
                  <c:v>0.78255791696810628</c:v>
                </c:pt>
                <c:pt idx="750">
                  <c:v>0.77492578222930486</c:v>
                </c:pt>
                <c:pt idx="751">
                  <c:v>0.77034987647589837</c:v>
                </c:pt>
                <c:pt idx="752">
                  <c:v>0.77097454432798063</c:v>
                </c:pt>
                <c:pt idx="753">
                  <c:v>0.7672716589988835</c:v>
                </c:pt>
                <c:pt idx="754">
                  <c:v>0.77195263130370217</c:v>
                </c:pt>
                <c:pt idx="755">
                  <c:v>0.76895732399677696</c:v>
                </c:pt>
                <c:pt idx="756">
                  <c:v>0.76992513838948407</c:v>
                </c:pt>
                <c:pt idx="757">
                  <c:v>0.77699799072144171</c:v>
                </c:pt>
                <c:pt idx="758">
                  <c:v>0.78784731209668069</c:v>
                </c:pt>
                <c:pt idx="759">
                  <c:v>0.78001386467239464</c:v>
                </c:pt>
                <c:pt idx="760">
                  <c:v>0.78206834807807846</c:v>
                </c:pt>
                <c:pt idx="761">
                  <c:v>0.77826455428304153</c:v>
                </c:pt>
                <c:pt idx="762">
                  <c:v>0.77568362352528264</c:v>
                </c:pt>
                <c:pt idx="763">
                  <c:v>0.78054753217616346</c:v>
                </c:pt>
                <c:pt idx="764">
                  <c:v>0.79290771647109448</c:v>
                </c:pt>
                <c:pt idx="765">
                  <c:v>0.78503544308793438</c:v>
                </c:pt>
                <c:pt idx="766">
                  <c:v>0.78702612648455827</c:v>
                </c:pt>
                <c:pt idx="767">
                  <c:v>0.79065583917229487</c:v>
                </c:pt>
                <c:pt idx="768">
                  <c:v>0.80431097587579325</c:v>
                </c:pt>
                <c:pt idx="769">
                  <c:v>0.79706135016602453</c:v>
                </c:pt>
                <c:pt idx="770">
                  <c:v>0.79093923798854715</c:v>
                </c:pt>
                <c:pt idx="771">
                  <c:v>0.79581735356214489</c:v>
                </c:pt>
                <c:pt idx="772">
                  <c:v>0.79865892630493474</c:v>
                </c:pt>
                <c:pt idx="773">
                  <c:v>0.80635421854292311</c:v>
                </c:pt>
                <c:pt idx="774">
                  <c:v>0.81676444998022968</c:v>
                </c:pt>
                <c:pt idx="775">
                  <c:v>0.81122339823053402</c:v>
                </c:pt>
                <c:pt idx="776">
                  <c:v>0.81882187049370003</c:v>
                </c:pt>
                <c:pt idx="777">
                  <c:v>0.82050443942676199</c:v>
                </c:pt>
                <c:pt idx="778">
                  <c:v>0.81522530197739895</c:v>
                </c:pt>
                <c:pt idx="779">
                  <c:v>0.81091333052174486</c:v>
                </c:pt>
                <c:pt idx="780">
                  <c:v>0.80355534739962309</c:v>
                </c:pt>
                <c:pt idx="781">
                  <c:v>0.80546938443857807</c:v>
                </c:pt>
                <c:pt idx="782">
                  <c:v>0.80162416615568077</c:v>
                </c:pt>
                <c:pt idx="783">
                  <c:v>0.80478882991532674</c:v>
                </c:pt>
                <c:pt idx="784">
                  <c:v>0.80153401416262993</c:v>
                </c:pt>
                <c:pt idx="785">
                  <c:v>0.79241037740108333</c:v>
                </c:pt>
                <c:pt idx="786">
                  <c:v>0.7697446477300518</c:v>
                </c:pt>
                <c:pt idx="787">
                  <c:v>0.76054653051689736</c:v>
                </c:pt>
                <c:pt idx="788">
                  <c:v>0.75931016961363884</c:v>
                </c:pt>
                <c:pt idx="789">
                  <c:v>0.76338767164304311</c:v>
                </c:pt>
                <c:pt idx="790">
                  <c:v>0.76127718315149173</c:v>
                </c:pt>
                <c:pt idx="791">
                  <c:v>0.76349601160961078</c:v>
                </c:pt>
                <c:pt idx="792">
                  <c:v>0.76916211521257116</c:v>
                </c:pt>
                <c:pt idx="793">
                  <c:v>0.76010904536297419</c:v>
                </c:pt>
                <c:pt idx="794">
                  <c:v>0.75663102080918576</c:v>
                </c:pt>
                <c:pt idx="795">
                  <c:v>0.75514947426557311</c:v>
                </c:pt>
                <c:pt idx="796">
                  <c:v>0.74565642547193156</c:v>
                </c:pt>
                <c:pt idx="797">
                  <c:v>0.76780977972404274</c:v>
                </c:pt>
                <c:pt idx="798">
                  <c:v>0.76616502954773069</c:v>
                </c:pt>
                <c:pt idx="799">
                  <c:v>0.77292898021708445</c:v>
                </c:pt>
                <c:pt idx="800">
                  <c:v>0.76689038603081772</c:v>
                </c:pt>
                <c:pt idx="801">
                  <c:v>0.76461250069105891</c:v>
                </c:pt>
                <c:pt idx="802">
                  <c:v>0.76489213686528257</c:v>
                </c:pt>
                <c:pt idx="803">
                  <c:v>0.76582518495490193</c:v>
                </c:pt>
                <c:pt idx="804">
                  <c:v>0.76162253116483547</c:v>
                </c:pt>
                <c:pt idx="805">
                  <c:v>0.76867371027996556</c:v>
                </c:pt>
                <c:pt idx="806">
                  <c:v>0.76777963393071291</c:v>
                </c:pt>
                <c:pt idx="807">
                  <c:v>0.77304961028190156</c:v>
                </c:pt>
                <c:pt idx="808">
                  <c:v>0.78022333495390872</c:v>
                </c:pt>
                <c:pt idx="809">
                  <c:v>0.78588950834403914</c:v>
                </c:pt>
                <c:pt idx="810">
                  <c:v>0.79105574886890961</c:v>
                </c:pt>
                <c:pt idx="811">
                  <c:v>0.79135835893736073</c:v>
                </c:pt>
                <c:pt idx="812">
                  <c:v>0.77746977451345511</c:v>
                </c:pt>
                <c:pt idx="813">
                  <c:v>0.77976970297485226</c:v>
                </c:pt>
                <c:pt idx="814">
                  <c:v>0.77483282803207165</c:v>
                </c:pt>
                <c:pt idx="815">
                  <c:v>0.77330507251625602</c:v>
                </c:pt>
                <c:pt idx="816">
                  <c:v>0.76895861232284657</c:v>
                </c:pt>
                <c:pt idx="817">
                  <c:v>0.77055949323810258</c:v>
                </c:pt>
                <c:pt idx="818">
                  <c:v>0.75761314628551613</c:v>
                </c:pt>
                <c:pt idx="819">
                  <c:v>0.75413627992633514</c:v>
                </c:pt>
                <c:pt idx="820">
                  <c:v>0.75392802454502195</c:v>
                </c:pt>
                <c:pt idx="821">
                  <c:v>0.74444093698455815</c:v>
                </c:pt>
                <c:pt idx="822">
                  <c:v>0.73831201285982528</c:v>
                </c:pt>
                <c:pt idx="823">
                  <c:v>0.73898787968415636</c:v>
                </c:pt>
                <c:pt idx="824">
                  <c:v>0.74952122150831602</c:v>
                </c:pt>
                <c:pt idx="825">
                  <c:v>0.74531137643963929</c:v>
                </c:pt>
                <c:pt idx="826">
                  <c:v>0.75148545047912552</c:v>
                </c:pt>
                <c:pt idx="827">
                  <c:v>0.74485940445148813</c:v>
                </c:pt>
                <c:pt idx="828">
                  <c:v>0.75960570967788255</c:v>
                </c:pt>
                <c:pt idx="829">
                  <c:v>0.74827268767119803</c:v>
                </c:pt>
                <c:pt idx="830">
                  <c:v>0.75237764105782234</c:v>
                </c:pt>
                <c:pt idx="831">
                  <c:v>0.74839717103443837</c:v>
                </c:pt>
                <c:pt idx="832">
                  <c:v>0.7532534139476702</c:v>
                </c:pt>
                <c:pt idx="833">
                  <c:v>0.76237279515019674</c:v>
                </c:pt>
                <c:pt idx="834">
                  <c:v>0.76645312626163786</c:v>
                </c:pt>
                <c:pt idx="835">
                  <c:v>0.77568843259233478</c:v>
                </c:pt>
                <c:pt idx="836">
                  <c:v>0.77644592462916617</c:v>
                </c:pt>
                <c:pt idx="837">
                  <c:v>0.76244733347541682</c:v>
                </c:pt>
                <c:pt idx="838">
                  <c:v>0.77480182560653377</c:v>
                </c:pt>
                <c:pt idx="839">
                  <c:v>0.77007146299064866</c:v>
                </c:pt>
                <c:pt idx="840">
                  <c:v>0.77742764594713309</c:v>
                </c:pt>
                <c:pt idx="841">
                  <c:v>0.7704162037005915</c:v>
                </c:pt>
                <c:pt idx="842">
                  <c:v>0.77905764089466356</c:v>
                </c:pt>
                <c:pt idx="843">
                  <c:v>0.77835055912053908</c:v>
                </c:pt>
                <c:pt idx="844">
                  <c:v>0.77432419134424268</c:v>
                </c:pt>
                <c:pt idx="845">
                  <c:v>0.75366121229744376</c:v>
                </c:pt>
                <c:pt idx="846">
                  <c:v>0.75216307023008344</c:v>
                </c:pt>
                <c:pt idx="847">
                  <c:v>0.74785520188974419</c:v>
                </c:pt>
                <c:pt idx="848">
                  <c:v>0.75131570825269156</c:v>
                </c:pt>
                <c:pt idx="849">
                  <c:v>0.73757506867026024</c:v>
                </c:pt>
                <c:pt idx="850">
                  <c:v>0.72690536552245266</c:v>
                </c:pt>
                <c:pt idx="851">
                  <c:v>0.72942591789299294</c:v>
                </c:pt>
                <c:pt idx="852">
                  <c:v>0.73296500920810315</c:v>
                </c:pt>
                <c:pt idx="853">
                  <c:v>0.73531998786453889</c:v>
                </c:pt>
                <c:pt idx="854">
                  <c:v>0.74384719767115381</c:v>
                </c:pt>
                <c:pt idx="855">
                  <c:v>0.74265558388727881</c:v>
                </c:pt>
                <c:pt idx="856">
                  <c:v>0.74207451697072768</c:v>
                </c:pt>
                <c:pt idx="857">
                  <c:v>0.74403626094257314</c:v>
                </c:pt>
                <c:pt idx="858">
                  <c:v>0.73885278420363976</c:v>
                </c:pt>
                <c:pt idx="859">
                  <c:v>0.73734507418355677</c:v>
                </c:pt>
                <c:pt idx="860">
                  <c:v>0.74126014136620144</c:v>
                </c:pt>
                <c:pt idx="861">
                  <c:v>0.74886802720015044</c:v>
                </c:pt>
                <c:pt idx="862">
                  <c:v>0.74427692507232945</c:v>
                </c:pt>
                <c:pt idx="863">
                  <c:v>0.75467326522722522</c:v>
                </c:pt>
                <c:pt idx="864">
                  <c:v>0.74930110195771849</c:v>
                </c:pt>
                <c:pt idx="865">
                  <c:v>0.75053799235277652</c:v>
                </c:pt>
                <c:pt idx="866">
                  <c:v>0.7536108680112501</c:v>
                </c:pt>
                <c:pt idx="867">
                  <c:v>0.76066210992946526</c:v>
                </c:pt>
                <c:pt idx="868">
                  <c:v>0.75433554859593999</c:v>
                </c:pt>
                <c:pt idx="869">
                  <c:v>0.7494871402764145</c:v>
                </c:pt>
                <c:pt idx="870">
                  <c:v>0.74983656953958233</c:v>
                </c:pt>
                <c:pt idx="871">
                  <c:v>0.74756257629185807</c:v>
                </c:pt>
                <c:pt idx="872">
                  <c:v>0.75194037318878348</c:v>
                </c:pt>
                <c:pt idx="873">
                  <c:v>0.75344151417215821</c:v>
                </c:pt>
                <c:pt idx="874">
                  <c:v>0.75072605633699796</c:v>
                </c:pt>
                <c:pt idx="875">
                  <c:v>0.75131827081810421</c:v>
                </c:pt>
                <c:pt idx="876">
                  <c:v>0.75349100546113845</c:v>
                </c:pt>
                <c:pt idx="877">
                  <c:v>0.74988085361763712</c:v>
                </c:pt>
                <c:pt idx="878">
                  <c:v>0.74721036788084672</c:v>
                </c:pt>
                <c:pt idx="879">
                  <c:v>0.74253218536707732</c:v>
                </c:pt>
                <c:pt idx="880">
                  <c:v>0.7419531235268606</c:v>
                </c:pt>
                <c:pt idx="881">
                  <c:v>0.73530794312109404</c:v>
                </c:pt>
                <c:pt idx="882">
                  <c:v>0.73779265872576616</c:v>
                </c:pt>
                <c:pt idx="883">
                  <c:v>0.73986678370423919</c:v>
                </c:pt>
                <c:pt idx="884">
                  <c:v>0.73763051256594359</c:v>
                </c:pt>
                <c:pt idx="885">
                  <c:v>0.70932086931845462</c:v>
                </c:pt>
                <c:pt idx="886">
                  <c:v>0.71334649393733884</c:v>
                </c:pt>
                <c:pt idx="887">
                  <c:v>0.71789182056634826</c:v>
                </c:pt>
                <c:pt idx="888">
                  <c:v>0.7267925444721024</c:v>
                </c:pt>
                <c:pt idx="889">
                  <c:v>0.71396866885343857</c:v>
                </c:pt>
                <c:pt idx="890">
                  <c:v>0.71791111218471881</c:v>
                </c:pt>
                <c:pt idx="891">
                  <c:v>0.69807331420039909</c:v>
                </c:pt>
                <c:pt idx="892">
                  <c:v>0.69944911514887054</c:v>
                </c:pt>
                <c:pt idx="893">
                  <c:v>0.69609376154875524</c:v>
                </c:pt>
                <c:pt idx="894">
                  <c:v>0.70320682357728115</c:v>
                </c:pt>
                <c:pt idx="895">
                  <c:v>0.67157968635165322</c:v>
                </c:pt>
                <c:pt idx="896">
                  <c:v>0.68137870416875934</c:v>
                </c:pt>
                <c:pt idx="897">
                  <c:v>0.69697474814446791</c:v>
                </c:pt>
                <c:pt idx="898">
                  <c:v>0.68621187412431728</c:v>
                </c:pt>
                <c:pt idx="899">
                  <c:v>0.65136932957750227</c:v>
                </c:pt>
                <c:pt idx="900">
                  <c:v>0.63479948376076323</c:v>
                </c:pt>
                <c:pt idx="901">
                  <c:v>0.66197310057051428</c:v>
                </c:pt>
                <c:pt idx="902">
                  <c:v>0.6682078941730849</c:v>
                </c:pt>
                <c:pt idx="903">
                  <c:v>0.67244740556316529</c:v>
                </c:pt>
                <c:pt idx="904">
                  <c:v>0.67656764490569943</c:v>
                </c:pt>
                <c:pt idx="905">
                  <c:v>0.66710034703120158</c:v>
                </c:pt>
                <c:pt idx="906">
                  <c:v>0.67729151924866182</c:v>
                </c:pt>
                <c:pt idx="907">
                  <c:v>0.69349346513250754</c:v>
                </c:pt>
                <c:pt idx="908">
                  <c:v>0.68041625678631323</c:v>
                </c:pt>
                <c:pt idx="909">
                  <c:v>0.68914795121126471</c:v>
                </c:pt>
                <c:pt idx="910">
                  <c:v>0.6943590890339395</c:v>
                </c:pt>
                <c:pt idx="911">
                  <c:v>0.69556689312432263</c:v>
                </c:pt>
                <c:pt idx="912">
                  <c:v>0.68829491232033124</c:v>
                </c:pt>
                <c:pt idx="913">
                  <c:v>0.70063120723082484</c:v>
                </c:pt>
                <c:pt idx="914">
                  <c:v>0.69906950181832661</c:v>
                </c:pt>
                <c:pt idx="915">
                  <c:v>0.69034823196310424</c:v>
                </c:pt>
                <c:pt idx="916">
                  <c:v>0.69471906874312928</c:v>
                </c:pt>
                <c:pt idx="917">
                  <c:v>0.69863162833843417</c:v>
                </c:pt>
                <c:pt idx="918">
                  <c:v>0.71843055431876146</c:v>
                </c:pt>
                <c:pt idx="919">
                  <c:v>0.71855536637192163</c:v>
                </c:pt>
                <c:pt idx="920">
                  <c:v>0.71485167874284894</c:v>
                </c:pt>
                <c:pt idx="921">
                  <c:v>0.71797397066223667</c:v>
                </c:pt>
                <c:pt idx="922">
                  <c:v>0.72274781298817969</c:v>
                </c:pt>
                <c:pt idx="923">
                  <c:v>0.72001535264075867</c:v>
                </c:pt>
                <c:pt idx="924">
                  <c:v>0.72048424797172073</c:v>
                </c:pt>
                <c:pt idx="925">
                  <c:v>0.7164928466772682</c:v>
                </c:pt>
                <c:pt idx="926">
                  <c:v>0.72194236059493799</c:v>
                </c:pt>
                <c:pt idx="927">
                  <c:v>0.73082654627805455</c:v>
                </c:pt>
                <c:pt idx="928">
                  <c:v>0.73085026126086716</c:v>
                </c:pt>
                <c:pt idx="929">
                  <c:v>0.73315103149357297</c:v>
                </c:pt>
                <c:pt idx="930">
                  <c:v>0.72987049528024184</c:v>
                </c:pt>
                <c:pt idx="931">
                  <c:v>0.72888561908871607</c:v>
                </c:pt>
                <c:pt idx="932">
                  <c:v>0.73108233358107144</c:v>
                </c:pt>
                <c:pt idx="933">
                  <c:v>0.72927558703313067</c:v>
                </c:pt>
                <c:pt idx="934">
                  <c:v>0.7266446193460796</c:v>
                </c:pt>
                <c:pt idx="935">
                  <c:v>0.71411875170319172</c:v>
                </c:pt>
                <c:pt idx="936">
                  <c:v>0.71749747569224609</c:v>
                </c:pt>
                <c:pt idx="937">
                  <c:v>0.71227606502373486</c:v>
                </c:pt>
                <c:pt idx="938">
                  <c:v>0.70980156136215067</c:v>
                </c:pt>
                <c:pt idx="939">
                  <c:v>0.70926288767967427</c:v>
                </c:pt>
                <c:pt idx="940">
                  <c:v>0.71690419004266659</c:v>
                </c:pt>
                <c:pt idx="941">
                  <c:v>0.69915732368481764</c:v>
                </c:pt>
                <c:pt idx="942">
                  <c:v>0.69715873106664916</c:v>
                </c:pt>
                <c:pt idx="943">
                  <c:v>0.70519610213887651</c:v>
                </c:pt>
                <c:pt idx="944">
                  <c:v>0.70079984336802859</c:v>
                </c:pt>
                <c:pt idx="945">
                  <c:v>0.69424854873365882</c:v>
                </c:pt>
                <c:pt idx="946">
                  <c:v>0.69264025745897573</c:v>
                </c:pt>
                <c:pt idx="947">
                  <c:v>0.70346721136722912</c:v>
                </c:pt>
                <c:pt idx="948">
                  <c:v>0.72332584615405016</c:v>
                </c:pt>
                <c:pt idx="949">
                  <c:v>0.72294304055020731</c:v>
                </c:pt>
                <c:pt idx="950">
                  <c:v>0.72246320563748989</c:v>
                </c:pt>
                <c:pt idx="951">
                  <c:v>0.71575354113380862</c:v>
                </c:pt>
                <c:pt idx="952">
                  <c:v>0.71523011121509117</c:v>
                </c:pt>
                <c:pt idx="953">
                  <c:v>0.71136009619090723</c:v>
                </c:pt>
                <c:pt idx="954">
                  <c:v>0.71009935051043693</c:v>
                </c:pt>
                <c:pt idx="955">
                  <c:v>0.70797628499578025</c:v>
                </c:pt>
                <c:pt idx="956">
                  <c:v>0.69915830720584182</c:v>
                </c:pt>
                <c:pt idx="957">
                  <c:v>0.69821087726223285</c:v>
                </c:pt>
                <c:pt idx="958">
                  <c:v>0.6968593266573212</c:v>
                </c:pt>
                <c:pt idx="959">
                  <c:v>0.70195438678895128</c:v>
                </c:pt>
                <c:pt idx="960">
                  <c:v>0.68806383735992138</c:v>
                </c:pt>
                <c:pt idx="961">
                  <c:v>0.68917131532753262</c:v>
                </c:pt>
                <c:pt idx="962">
                  <c:v>0.68298320036907434</c:v>
                </c:pt>
                <c:pt idx="963">
                  <c:v>0.68861219294144815</c:v>
                </c:pt>
                <c:pt idx="964">
                  <c:v>0.70243071903509535</c:v>
                </c:pt>
                <c:pt idx="965">
                  <c:v>0.69939124065490943</c:v>
                </c:pt>
                <c:pt idx="966">
                  <c:v>0.69119674208926218</c:v>
                </c:pt>
                <c:pt idx="967">
                  <c:v>0.67980867502441122</c:v>
                </c:pt>
                <c:pt idx="968">
                  <c:v>0.68158600494678878</c:v>
                </c:pt>
                <c:pt idx="969">
                  <c:v>0.68336019734063225</c:v>
                </c:pt>
                <c:pt idx="970">
                  <c:v>0.67654065529095719</c:v>
                </c:pt>
                <c:pt idx="971">
                  <c:v>0.69539176596690422</c:v>
                </c:pt>
                <c:pt idx="972">
                  <c:v>0.69835169144430698</c:v>
                </c:pt>
                <c:pt idx="973">
                  <c:v>0.70871779826015602</c:v>
                </c:pt>
                <c:pt idx="974">
                  <c:v>0.71846543756991399</c:v>
                </c:pt>
                <c:pt idx="975">
                  <c:v>0.7078785198234111</c:v>
                </c:pt>
                <c:pt idx="976">
                  <c:v>0.71164767123596473</c:v>
                </c:pt>
                <c:pt idx="977">
                  <c:v>0.70419269833349152</c:v>
                </c:pt>
                <c:pt idx="978">
                  <c:v>0.70245545669690324</c:v>
                </c:pt>
                <c:pt idx="979">
                  <c:v>0.71193068378843161</c:v>
                </c:pt>
                <c:pt idx="980">
                  <c:v>0.70058611688961869</c:v>
                </c:pt>
                <c:pt idx="981">
                  <c:v>0.71419159804023769</c:v>
                </c:pt>
                <c:pt idx="982">
                  <c:v>0.70312245099828741</c:v>
                </c:pt>
                <c:pt idx="983">
                  <c:v>0.69908473792128634</c:v>
                </c:pt>
                <c:pt idx="984">
                  <c:v>0.70842585643028688</c:v>
                </c:pt>
                <c:pt idx="985">
                  <c:v>0.69159290361794445</c:v>
                </c:pt>
                <c:pt idx="986">
                  <c:v>0.70106818153473927</c:v>
                </c:pt>
                <c:pt idx="987">
                  <c:v>0.70996741017729537</c:v>
                </c:pt>
                <c:pt idx="988">
                  <c:v>0.70545758172785067</c:v>
                </c:pt>
                <c:pt idx="989">
                  <c:v>0.71140118947779496</c:v>
                </c:pt>
                <c:pt idx="990">
                  <c:v>0.71576629842718775</c:v>
                </c:pt>
                <c:pt idx="991">
                  <c:v>0.71952289977797279</c:v>
                </c:pt>
                <c:pt idx="992">
                  <c:v>0.71536151348250387</c:v>
                </c:pt>
                <c:pt idx="993">
                  <c:v>0.71250204121834071</c:v>
                </c:pt>
                <c:pt idx="994">
                  <c:v>0.71221555055263608</c:v>
                </c:pt>
                <c:pt idx="995">
                  <c:v>0.71925106048539078</c:v>
                </c:pt>
                <c:pt idx="996">
                  <c:v>0.71182464529666301</c:v>
                </c:pt>
                <c:pt idx="997">
                  <c:v>0.70735385139158558</c:v>
                </c:pt>
                <c:pt idx="998">
                  <c:v>0.71697612575694147</c:v>
                </c:pt>
                <c:pt idx="999">
                  <c:v>0.72094256878225149</c:v>
                </c:pt>
                <c:pt idx="1000">
                  <c:v>0.6966973185125227</c:v>
                </c:pt>
                <c:pt idx="1001">
                  <c:v>0.69625290886352476</c:v>
                </c:pt>
                <c:pt idx="1002">
                  <c:v>0.69792919317111157</c:v>
                </c:pt>
                <c:pt idx="1003">
                  <c:v>0.70120936795389432</c:v>
                </c:pt>
                <c:pt idx="1004">
                  <c:v>0.70075654963464618</c:v>
                </c:pt>
                <c:pt idx="1005">
                  <c:v>0.70423120585197285</c:v>
                </c:pt>
                <c:pt idx="1006">
                  <c:v>0.70822110912405623</c:v>
                </c:pt>
                <c:pt idx="1007">
                  <c:v>0.71913261811185947</c:v>
                </c:pt>
                <c:pt idx="1008">
                  <c:v>0.71370869451561769</c:v>
                </c:pt>
                <c:pt idx="1009">
                  <c:v>0.70502057406326202</c:v>
                </c:pt>
                <c:pt idx="1010">
                  <c:v>0.70266964699928303</c:v>
                </c:pt>
                <c:pt idx="1011">
                  <c:v>0.69891633823369836</c:v>
                </c:pt>
                <c:pt idx="1012">
                  <c:v>0.70291753478378149</c:v>
                </c:pt>
                <c:pt idx="1013">
                  <c:v>0.70118437049030624</c:v>
                </c:pt>
                <c:pt idx="1014">
                  <c:v>0.7117181180251908</c:v>
                </c:pt>
                <c:pt idx="1015">
                  <c:v>0.69496131486903656</c:v>
                </c:pt>
                <c:pt idx="1016">
                  <c:v>0.68953269156088737</c:v>
                </c:pt>
                <c:pt idx="1017">
                  <c:v>0.69602801424260496</c:v>
                </c:pt>
                <c:pt idx="1018">
                  <c:v>0.69414271579053977</c:v>
                </c:pt>
                <c:pt idx="1019">
                  <c:v>0.68784268717486174</c:v>
                </c:pt>
                <c:pt idx="1020">
                  <c:v>0.70377653504373927</c:v>
                </c:pt>
                <c:pt idx="1021">
                  <c:v>0.69761050707487393</c:v>
                </c:pt>
                <c:pt idx="1022">
                  <c:v>0.68825815017962633</c:v>
                </c:pt>
                <c:pt idx="1023">
                  <c:v>0.68238627220550729</c:v>
                </c:pt>
                <c:pt idx="1024">
                  <c:v>0.67804592879582182</c:v>
                </c:pt>
                <c:pt idx="1025">
                  <c:v>0.6775981918205467</c:v>
                </c:pt>
                <c:pt idx="1026">
                  <c:v>0.66573014662960273</c:v>
                </c:pt>
                <c:pt idx="1027">
                  <c:v>0.66488368580812518</c:v>
                </c:pt>
                <c:pt idx="1028">
                  <c:v>0.65668765257612738</c:v>
                </c:pt>
                <c:pt idx="1029">
                  <c:v>0.67784345515732847</c:v>
                </c:pt>
                <c:pt idx="1030">
                  <c:v>0.68299047639947497</c:v>
                </c:pt>
                <c:pt idx="1031">
                  <c:v>0.69250511933828718</c:v>
                </c:pt>
                <c:pt idx="1032">
                  <c:v>0.69679058121340243</c:v>
                </c:pt>
                <c:pt idx="1033">
                  <c:v>0.7049749835919541</c:v>
                </c:pt>
                <c:pt idx="1034">
                  <c:v>0.70135231974849166</c:v>
                </c:pt>
                <c:pt idx="1035">
                  <c:v>0.69425548844037521</c:v>
                </c:pt>
                <c:pt idx="1036">
                  <c:v>0.69653774219846842</c:v>
                </c:pt>
                <c:pt idx="1037">
                  <c:v>0.70918026099850895</c:v>
                </c:pt>
                <c:pt idx="1038">
                  <c:v>0.69842631190537929</c:v>
                </c:pt>
                <c:pt idx="1039">
                  <c:v>0.68907884515280249</c:v>
                </c:pt>
                <c:pt idx="1040">
                  <c:v>0.69249679765031635</c:v>
                </c:pt>
                <c:pt idx="1041">
                  <c:v>0.68621138540560778</c:v>
                </c:pt>
                <c:pt idx="1042">
                  <c:v>0.68629936912050171</c:v>
                </c:pt>
                <c:pt idx="1043">
                  <c:v>0.69026091240018728</c:v>
                </c:pt>
                <c:pt idx="1044">
                  <c:v>0.66642567334254144</c:v>
                </c:pt>
                <c:pt idx="1045">
                  <c:v>0.6610924741079296</c:v>
                </c:pt>
                <c:pt idx="1046">
                  <c:v>0.66602913278553599</c:v>
                </c:pt>
                <c:pt idx="1047">
                  <c:v>0.64784033892101212</c:v>
                </c:pt>
                <c:pt idx="1048">
                  <c:v>0.63696617429872915</c:v>
                </c:pt>
                <c:pt idx="1049">
                  <c:v>0.66430480626527899</c:v>
                </c:pt>
                <c:pt idx="1050">
                  <c:v>0.65887223437672926</c:v>
                </c:pt>
                <c:pt idx="1051">
                  <c:v>0.66860111611183393</c:v>
                </c:pt>
                <c:pt idx="1052">
                  <c:v>0.67517258142428016</c:v>
                </c:pt>
                <c:pt idx="1053">
                  <c:v>0.67311997011975255</c:v>
                </c:pt>
                <c:pt idx="1054">
                  <c:v>0.67473927725086891</c:v>
                </c:pt>
                <c:pt idx="1055">
                  <c:v>0.6697440410527824</c:v>
                </c:pt>
                <c:pt idx="1056">
                  <c:v>0.65383588301858719</c:v>
                </c:pt>
                <c:pt idx="1057">
                  <c:v>0.66875430099593758</c:v>
                </c:pt>
                <c:pt idx="1058">
                  <c:v>0.6627256764714009</c:v>
                </c:pt>
                <c:pt idx="1059">
                  <c:v>0.65144787970761331</c:v>
                </c:pt>
                <c:pt idx="1060">
                  <c:v>0.60672237229630388</c:v>
                </c:pt>
                <c:pt idx="1061">
                  <c:v>0.62774619899760253</c:v>
                </c:pt>
                <c:pt idx="1062">
                  <c:v>0.6773146087069295</c:v>
                </c:pt>
                <c:pt idx="1063">
                  <c:v>0.68580280761119772</c:v>
                </c:pt>
                <c:pt idx="1064">
                  <c:v>0.67499812850836372</c:v>
                </c:pt>
                <c:pt idx="1065">
                  <c:v>0.67967509128945114</c:v>
                </c:pt>
                <c:pt idx="1066">
                  <c:v>0.65796188718171456</c:v>
                </c:pt>
                <c:pt idx="1067">
                  <c:v>0.64742057391114594</c:v>
                </c:pt>
                <c:pt idx="1068">
                  <c:v>0.65921542338010586</c:v>
                </c:pt>
                <c:pt idx="1069">
                  <c:v>0.67173589870136496</c:v>
                </c:pt>
                <c:pt idx="1070">
                  <c:v>0.67841503870911923</c:v>
                </c:pt>
                <c:pt idx="1071">
                  <c:v>0.67137923591625293</c:v>
                </c:pt>
                <c:pt idx="1072">
                  <c:v>0.67627721420978726</c:v>
                </c:pt>
                <c:pt idx="1073">
                  <c:v>0.68888261734049694</c:v>
                </c:pt>
                <c:pt idx="1074">
                  <c:v>0.68712617812003707</c:v>
                </c:pt>
                <c:pt idx="1075">
                  <c:v>0.69214237252666311</c:v>
                </c:pt>
                <c:pt idx="1076">
                  <c:v>0.69693780262878513</c:v>
                </c:pt>
                <c:pt idx="1077">
                  <c:v>0.70356735488384059</c:v>
                </c:pt>
                <c:pt idx="1078">
                  <c:v>0.69434637136594712</c:v>
                </c:pt>
                <c:pt idx="1079">
                  <c:v>0.73096324765793896</c:v>
                </c:pt>
                <c:pt idx="1080">
                  <c:v>0.73748894617119731</c:v>
                </c:pt>
                <c:pt idx="1081">
                  <c:v>0.74670000969274009</c:v>
                </c:pt>
                <c:pt idx="1082">
                  <c:v>0.73220848234380254</c:v>
                </c:pt>
                <c:pt idx="1083">
                  <c:v>0.73313771795389227</c:v>
                </c:pt>
                <c:pt idx="1084">
                  <c:v>0.72884828612154806</c:v>
                </c:pt>
                <c:pt idx="1085">
                  <c:v>0.72301322324208117</c:v>
                </c:pt>
                <c:pt idx="1086">
                  <c:v>0.71913821448750381</c:v>
                </c:pt>
                <c:pt idx="1087">
                  <c:v>0.73269248238898665</c:v>
                </c:pt>
                <c:pt idx="1088">
                  <c:v>0.73234620990041943</c:v>
                </c:pt>
                <c:pt idx="1089">
                  <c:v>0.73428035001374892</c:v>
                </c:pt>
                <c:pt idx="1090">
                  <c:v>0.73712523873497093</c:v>
                </c:pt>
                <c:pt idx="1091">
                  <c:v>0.73083719204254216</c:v>
                </c:pt>
                <c:pt idx="1092">
                  <c:v>0.72590832583505571</c:v>
                </c:pt>
                <c:pt idx="1093">
                  <c:v>0.71687071074704933</c:v>
                </c:pt>
                <c:pt idx="1094">
                  <c:v>0.71823566073514544</c:v>
                </c:pt>
                <c:pt idx="1095">
                  <c:v>0.70970685818151713</c:v>
                </c:pt>
                <c:pt idx="1096">
                  <c:v>0.71888642210661879</c:v>
                </c:pt>
                <c:pt idx="1097">
                  <c:v>0.70696966170198894</c:v>
                </c:pt>
                <c:pt idx="1098">
                  <c:v>0.71639734733040183</c:v>
                </c:pt>
                <c:pt idx="1099">
                  <c:v>0.70729024187518563</c:v>
                </c:pt>
                <c:pt idx="1100">
                  <c:v>0.72303063860988925</c:v>
                </c:pt>
                <c:pt idx="1101">
                  <c:v>0.71924627147986375</c:v>
                </c:pt>
                <c:pt idx="1102">
                  <c:v>0.71381131641645013</c:v>
                </c:pt>
                <c:pt idx="1103">
                  <c:v>0.69695960303695115</c:v>
                </c:pt>
                <c:pt idx="1104">
                  <c:v>0.70380733600531475</c:v>
                </c:pt>
                <c:pt idx="1105">
                  <c:v>0.70713189386466135</c:v>
                </c:pt>
                <c:pt idx="1106">
                  <c:v>0.70806921842697534</c:v>
                </c:pt>
                <c:pt idx="1107">
                  <c:v>0.70508005924134509</c:v>
                </c:pt>
                <c:pt idx="1108">
                  <c:v>0.69787906044965387</c:v>
                </c:pt>
                <c:pt idx="1109">
                  <c:v>0.70514447181894591</c:v>
                </c:pt>
                <c:pt idx="1110">
                  <c:v>0.69175635740494612</c:v>
                </c:pt>
                <c:pt idx="1111">
                  <c:v>0.69750392508592096</c:v>
                </c:pt>
                <c:pt idx="1112">
                  <c:v>0.70233553591415609</c:v>
                </c:pt>
                <c:pt idx="1113">
                  <c:v>0.71407687394227537</c:v>
                </c:pt>
                <c:pt idx="1114">
                  <c:v>0.70322910339108891</c:v>
                </c:pt>
                <c:pt idx="1115">
                  <c:v>0.6934088914132287</c:v>
                </c:pt>
                <c:pt idx="1116">
                  <c:v>0.68991271157395073</c:v>
                </c:pt>
                <c:pt idx="1117">
                  <c:v>0.70525862201634371</c:v>
                </c:pt>
                <c:pt idx="1118">
                  <c:v>0.70237695221987528</c:v>
                </c:pt>
                <c:pt idx="1119">
                  <c:v>0.71624928504142082</c:v>
                </c:pt>
                <c:pt idx="1120">
                  <c:v>0.70770251348799418</c:v>
                </c:pt>
                <c:pt idx="1121">
                  <c:v>0.70380653147426775</c:v>
                </c:pt>
                <c:pt idx="1122">
                  <c:v>0.70265126746105566</c:v>
                </c:pt>
                <c:pt idx="1123">
                  <c:v>0.69144378740628198</c:v>
                </c:pt>
                <c:pt idx="1124">
                  <c:v>0.69929589829869188</c:v>
                </c:pt>
                <c:pt idx="1125">
                  <c:v>0.69794213010313877</c:v>
                </c:pt>
                <c:pt idx="1126">
                  <c:v>0.69789151718928211</c:v>
                </c:pt>
                <c:pt idx="1127">
                  <c:v>0.6947745457642569</c:v>
                </c:pt>
                <c:pt idx="1128">
                  <c:v>0.68438602620757971</c:v>
                </c:pt>
                <c:pt idx="1129">
                  <c:v>0.68239874127043731</c:v>
                </c:pt>
                <c:pt idx="1130">
                  <c:v>0.67992952962204223</c:v>
                </c:pt>
                <c:pt idx="1131">
                  <c:v>0.65593648238264235</c:v>
                </c:pt>
                <c:pt idx="1132">
                  <c:v>0.66166219638968138</c:v>
                </c:pt>
                <c:pt idx="1133">
                  <c:v>0.66058916423149772</c:v>
                </c:pt>
                <c:pt idx="1134">
                  <c:v>0.68391817231596241</c:v>
                </c:pt>
                <c:pt idx="1135">
                  <c:v>0.67935710698141638</c:v>
                </c:pt>
                <c:pt idx="1136">
                  <c:v>0.67924963703965091</c:v>
                </c:pt>
                <c:pt idx="1137">
                  <c:v>0.67128791542630439</c:v>
                </c:pt>
                <c:pt idx="1138">
                  <c:v>0.67507227716259788</c:v>
                </c:pt>
                <c:pt idx="1139">
                  <c:v>0.67597880977138913</c:v>
                </c:pt>
                <c:pt idx="1140">
                  <c:v>0.67363158419953284</c:v>
                </c:pt>
                <c:pt idx="1141">
                  <c:v>0.68214823585515116</c:v>
                </c:pt>
                <c:pt idx="1142">
                  <c:v>0.67513520952840211</c:v>
                </c:pt>
                <c:pt idx="1143">
                  <c:v>0.66048253617259334</c:v>
                </c:pt>
                <c:pt idx="1144">
                  <c:v>0.66484863958536999</c:v>
                </c:pt>
                <c:pt idx="1145">
                  <c:v>0.65295595770750503</c:v>
                </c:pt>
                <c:pt idx="1146">
                  <c:v>0.65540780067499838</c:v>
                </c:pt>
                <c:pt idx="1147">
                  <c:v>0.64552074861411035</c:v>
                </c:pt>
                <c:pt idx="1148">
                  <c:v>0.63512191264985818</c:v>
                </c:pt>
                <c:pt idx="1149">
                  <c:v>0.62606867766262053</c:v>
                </c:pt>
                <c:pt idx="1150">
                  <c:v>0.62309674992671193</c:v>
                </c:pt>
                <c:pt idx="1151">
                  <c:v>0.63642757655059201</c:v>
                </c:pt>
                <c:pt idx="1152">
                  <c:v>0.63873736000097425</c:v>
                </c:pt>
                <c:pt idx="1153">
                  <c:v>0.62681533805724166</c:v>
                </c:pt>
                <c:pt idx="1154">
                  <c:v>0.63031120591010792</c:v>
                </c:pt>
                <c:pt idx="1155">
                  <c:v>0.61437549031062733</c:v>
                </c:pt>
                <c:pt idx="1156">
                  <c:v>0.6137321566960825</c:v>
                </c:pt>
                <c:pt idx="1157">
                  <c:v>0.60634734131646706</c:v>
                </c:pt>
                <c:pt idx="1158">
                  <c:v>0.61237467919137267</c:v>
                </c:pt>
                <c:pt idx="1159">
                  <c:v>0.61024911502960921</c:v>
                </c:pt>
                <c:pt idx="1160">
                  <c:v>0.61979102335130443</c:v>
                </c:pt>
                <c:pt idx="1161">
                  <c:v>0.61012838191121777</c:v>
                </c:pt>
                <c:pt idx="1162">
                  <c:v>0.60023349595663122</c:v>
                </c:pt>
                <c:pt idx="1163">
                  <c:v>0.60523393653101909</c:v>
                </c:pt>
                <c:pt idx="1164">
                  <c:v>0.60477357561227452</c:v>
                </c:pt>
                <c:pt idx="1165">
                  <c:v>0.59707616617367121</c:v>
                </c:pt>
                <c:pt idx="1166">
                  <c:v>0.58770668789123093</c:v>
                </c:pt>
                <c:pt idx="1167">
                  <c:v>0.5963568428834809</c:v>
                </c:pt>
                <c:pt idx="1168">
                  <c:v>0.60956165793572614</c:v>
                </c:pt>
                <c:pt idx="1169">
                  <c:v>0.60603224459374894</c:v>
                </c:pt>
                <c:pt idx="1170">
                  <c:v>0.63745639755729333</c:v>
                </c:pt>
                <c:pt idx="1171">
                  <c:v>0.64425227303326471</c:v>
                </c:pt>
                <c:pt idx="1172">
                  <c:v>0.63154131215777309</c:v>
                </c:pt>
                <c:pt idx="1173">
                  <c:v>0.61026428137143462</c:v>
                </c:pt>
                <c:pt idx="1174">
                  <c:v>0.61594189045529613</c:v>
                </c:pt>
                <c:pt idx="1175">
                  <c:v>0.62591808279437566</c:v>
                </c:pt>
                <c:pt idx="1176">
                  <c:v>0.62544212022669554</c:v>
                </c:pt>
                <c:pt idx="1177">
                  <c:v>0.61833546839201459</c:v>
                </c:pt>
                <c:pt idx="1178">
                  <c:v>0.6451242193197475</c:v>
                </c:pt>
                <c:pt idx="1179">
                  <c:v>0.62968910685002577</c:v>
                </c:pt>
                <c:pt idx="1180">
                  <c:v>0.62629476747767965</c:v>
                </c:pt>
                <c:pt idx="1181">
                  <c:v>0.6286347775516139</c:v>
                </c:pt>
                <c:pt idx="1182">
                  <c:v>0.62515243699592782</c:v>
                </c:pt>
                <c:pt idx="1183">
                  <c:v>0.62835052160345217</c:v>
                </c:pt>
                <c:pt idx="1184">
                  <c:v>0.63720972564459533</c:v>
                </c:pt>
                <c:pt idx="1185">
                  <c:v>0.62213686896773956</c:v>
                </c:pt>
                <c:pt idx="1186">
                  <c:v>0.62725120183683725</c:v>
                </c:pt>
                <c:pt idx="1187">
                  <c:v>0.63110318181131764</c:v>
                </c:pt>
                <c:pt idx="1188">
                  <c:v>0.63752935402401489</c:v>
                </c:pt>
                <c:pt idx="1189">
                  <c:v>0.63388381698224538</c:v>
                </c:pt>
                <c:pt idx="1190">
                  <c:v>0.62477484871559241</c:v>
                </c:pt>
                <c:pt idx="1191">
                  <c:v>0.61991122212116689</c:v>
                </c:pt>
                <c:pt idx="1192">
                  <c:v>0.6080426435086923</c:v>
                </c:pt>
                <c:pt idx="1193">
                  <c:v>0.60752799361834131</c:v>
                </c:pt>
                <c:pt idx="1194">
                  <c:v>0.63650372280306711</c:v>
                </c:pt>
                <c:pt idx="1195">
                  <c:v>0.63758506604130138</c:v>
                </c:pt>
                <c:pt idx="1196">
                  <c:v>0.6355418567678035</c:v>
                </c:pt>
                <c:pt idx="1197">
                  <c:v>0.63474862443723024</c:v>
                </c:pt>
                <c:pt idx="1198">
                  <c:v>0.63294927060785744</c:v>
                </c:pt>
                <c:pt idx="1199">
                  <c:v>0.62311063128576594</c:v>
                </c:pt>
                <c:pt idx="1200">
                  <c:v>0.61063045593987408</c:v>
                </c:pt>
                <c:pt idx="1201">
                  <c:v>0.60585887977694708</c:v>
                </c:pt>
                <c:pt idx="1202">
                  <c:v>0.60469323494185367</c:v>
                </c:pt>
                <c:pt idx="1203">
                  <c:v>0.59580629065968738</c:v>
                </c:pt>
                <c:pt idx="1204">
                  <c:v>0.59776868837947572</c:v>
                </c:pt>
                <c:pt idx="1205">
                  <c:v>0.60320994621337165</c:v>
                </c:pt>
                <c:pt idx="1206">
                  <c:v>0.60974292508998373</c:v>
                </c:pt>
                <c:pt idx="1207">
                  <c:v>0.60523227462475404</c:v>
                </c:pt>
                <c:pt idx="1208">
                  <c:v>0.61602258553425304</c:v>
                </c:pt>
                <c:pt idx="1209">
                  <c:v>0.65489866542550401</c:v>
                </c:pt>
                <c:pt idx="1210">
                  <c:v>0.65179966741833861</c:v>
                </c:pt>
                <c:pt idx="1211">
                  <c:v>0.65139660922399556</c:v>
                </c:pt>
                <c:pt idx="1212">
                  <c:v>0.64409091462647305</c:v>
                </c:pt>
                <c:pt idx="1213">
                  <c:v>0.62526284177305902</c:v>
                </c:pt>
                <c:pt idx="1214">
                  <c:v>0.61704994412176739</c:v>
                </c:pt>
                <c:pt idx="1215">
                  <c:v>0.63688407789805257</c:v>
                </c:pt>
                <c:pt idx="1216">
                  <c:v>0.62892751601475738</c:v>
                </c:pt>
                <c:pt idx="1217">
                  <c:v>0.62228511381731222</c:v>
                </c:pt>
                <c:pt idx="1218">
                  <c:v>0.62018805623838846</c:v>
                </c:pt>
                <c:pt idx="1219">
                  <c:v>0.6068139963167587</c:v>
                </c:pt>
                <c:pt idx="1220">
                  <c:v>0.60838674796929815</c:v>
                </c:pt>
                <c:pt idx="1221">
                  <c:v>0.6150697100032656</c:v>
                </c:pt>
                <c:pt idx="1222">
                  <c:v>0.61502280579754587</c:v>
                </c:pt>
                <c:pt idx="1223">
                  <c:v>0.62081410448883578</c:v>
                </c:pt>
                <c:pt idx="1224">
                  <c:v>0.57103616994177142</c:v>
                </c:pt>
                <c:pt idx="1225">
                  <c:v>0.81621672044538107</c:v>
                </c:pt>
                <c:pt idx="1226">
                  <c:v>0.81366387161846843</c:v>
                </c:pt>
                <c:pt idx="1227">
                  <c:v>0.81157748110121608</c:v>
                </c:pt>
                <c:pt idx="1228">
                  <c:v>0.81284287215002726</c:v>
                </c:pt>
                <c:pt idx="1229">
                  <c:v>0.80444190796283688</c:v>
                </c:pt>
                <c:pt idx="1230">
                  <c:v>0.79975554387016357</c:v>
                </c:pt>
                <c:pt idx="1231">
                  <c:v>0.804016373074674</c:v>
                </c:pt>
                <c:pt idx="1232">
                  <c:v>0.80320401050263401</c:v>
                </c:pt>
                <c:pt idx="1233">
                  <c:v>0.80471806051375194</c:v>
                </c:pt>
                <c:pt idx="1234">
                  <c:v>0.8027074926034018</c:v>
                </c:pt>
                <c:pt idx="1235">
                  <c:v>0.80651737341461449</c:v>
                </c:pt>
                <c:pt idx="1236">
                  <c:v>0.81330237851805809</c:v>
                </c:pt>
                <c:pt idx="1237">
                  <c:v>0.81370052463767428</c:v>
                </c:pt>
                <c:pt idx="1238">
                  <c:v>0.81065636750678238</c:v>
                </c:pt>
                <c:pt idx="1239">
                  <c:v>0.80387167291451411</c:v>
                </c:pt>
                <c:pt idx="1240">
                  <c:v>0.81180569522164514</c:v>
                </c:pt>
                <c:pt idx="1241">
                  <c:v>0.8067046872215291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B-495E-B280-B396BE8C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56912"/>
        <c:axId val="655958832"/>
      </c:lineChart>
      <c:dateAx>
        <c:axId val="655956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8832"/>
        <c:crosses val="autoZero"/>
        <c:auto val="1"/>
        <c:lblOffset val="100"/>
        <c:baseTimeUnit val="days"/>
        <c:majorUnit val="6"/>
        <c:majorTimeUnit val="months"/>
      </c:dateAx>
      <c:valAx>
        <c:axId val="6559588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6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583405</xdr:colOff>
      <xdr:row>9</xdr:row>
      <xdr:rowOff>57150</xdr:rowOff>
    </xdr:from>
    <xdr:to>
      <xdr:col>21</xdr:col>
      <xdr:colOff>621505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98EB-6CA0-1F20-75F0-C4601D081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8E29-FC4F-4FEF-9EEB-DC071E098347}">
  <dimension ref="A1:U1244"/>
  <sheetViews>
    <sheetView showGridLines="0" zoomScale="85" zoomScaleNormal="85" workbookViewId="0">
      <selection activeCell="N6" sqref="N6"/>
    </sheetView>
  </sheetViews>
  <sheetFormatPr defaultRowHeight="14.25" x14ac:dyDescent="0.45"/>
  <cols>
    <col min="1" max="1" width="9.33203125" style="1" bestFit="1" customWidth="1"/>
    <col min="2" max="3" width="9.06640625" style="1"/>
    <col min="4" max="4" width="9.33203125" style="1" bestFit="1" customWidth="1"/>
    <col min="5" max="5" width="9.46484375" style="1" bestFit="1" customWidth="1"/>
    <col min="6" max="6" width="9.06640625" style="1"/>
    <col min="7" max="8" width="16.3984375" style="1" bestFit="1" customWidth="1"/>
    <col min="9" max="9" width="9.06640625" style="1"/>
    <col min="10" max="10" width="23.53125" style="1" bestFit="1" customWidth="1"/>
    <col min="11" max="11" width="12.59765625" style="1" customWidth="1"/>
    <col min="12" max="12" width="21" style="1" bestFit="1" customWidth="1"/>
    <col min="13" max="16384" width="9.06640625" style="1"/>
  </cols>
  <sheetData>
    <row r="1" spans="1:19" x14ac:dyDescent="0.45">
      <c r="A1" s="51" t="s">
        <v>14</v>
      </c>
      <c r="B1" s="51"/>
      <c r="D1" s="51" t="s">
        <v>13</v>
      </c>
      <c r="E1" s="51"/>
    </row>
    <row r="2" spans="1:19" ht="14.65" thickBot="1" x14ac:dyDescent="0.5">
      <c r="A2" s="5" t="s">
        <v>0</v>
      </c>
      <c r="B2" s="5" t="s">
        <v>1</v>
      </c>
      <c r="D2" s="5" t="s">
        <v>0</v>
      </c>
      <c r="E2" s="5" t="s">
        <v>1</v>
      </c>
      <c r="G2" s="1" t="s">
        <v>2</v>
      </c>
      <c r="H2" s="1" t="s">
        <v>3</v>
      </c>
      <c r="J2" s="1" t="s">
        <v>15</v>
      </c>
      <c r="L2" s="1" t="s">
        <v>4</v>
      </c>
      <c r="N2" s="1" t="s">
        <v>5</v>
      </c>
    </row>
    <row r="3" spans="1:19" x14ac:dyDescent="0.45">
      <c r="A3" s="2">
        <v>45943</v>
      </c>
      <c r="B3" s="3">
        <v>6129.4</v>
      </c>
      <c r="D3" s="2">
        <v>45943</v>
      </c>
      <c r="E3" s="3">
        <v>799.25</v>
      </c>
      <c r="G3" s="3">
        <v>1680000</v>
      </c>
      <c r="H3" s="3">
        <f t="shared" ref="H3:H66" si="0">+G3*B3</f>
        <v>10297392000</v>
      </c>
      <c r="J3" s="3">
        <v>37500000</v>
      </c>
      <c r="K3" s="3"/>
      <c r="L3" s="3">
        <f t="shared" ref="L3:L66" si="1">+(J3*E3)</f>
        <v>29971875000</v>
      </c>
      <c r="N3" s="4">
        <f t="shared" ref="N3:N66" si="2">1- (H3/L3)</f>
        <v>0.65643150453550203</v>
      </c>
    </row>
    <row r="4" spans="1:19" x14ac:dyDescent="0.45">
      <c r="A4" s="2">
        <v>45940</v>
      </c>
      <c r="B4" s="3">
        <v>6305</v>
      </c>
      <c r="D4" s="2">
        <v>45940</v>
      </c>
      <c r="E4" s="3">
        <v>803.6</v>
      </c>
      <c r="G4" s="3">
        <v>1680000</v>
      </c>
      <c r="H4" s="3">
        <f t="shared" si="0"/>
        <v>10592400000</v>
      </c>
      <c r="J4" s="3">
        <v>37500000</v>
      </c>
      <c r="K4" s="3"/>
      <c r="L4" s="3">
        <f t="shared" si="1"/>
        <v>30135000000</v>
      </c>
      <c r="N4" s="4">
        <f t="shared" si="2"/>
        <v>0.64850174216027878</v>
      </c>
    </row>
    <row r="5" spans="1:19" x14ac:dyDescent="0.45">
      <c r="A5" s="2">
        <v>45939</v>
      </c>
      <c r="B5" s="3">
        <v>6305.25</v>
      </c>
      <c r="D5" s="2">
        <v>45939</v>
      </c>
      <c r="E5" s="3">
        <v>804.9</v>
      </c>
      <c r="G5" s="3">
        <v>1680000</v>
      </c>
      <c r="H5" s="3">
        <f t="shared" si="0"/>
        <v>10592820000</v>
      </c>
      <c r="J5" s="3">
        <v>37500000</v>
      </c>
      <c r="K5" s="3"/>
      <c r="L5" s="3">
        <f t="shared" si="1"/>
        <v>30183750000</v>
      </c>
      <c r="N5" s="4">
        <f t="shared" si="2"/>
        <v>0.64905553484904965</v>
      </c>
    </row>
    <row r="6" spans="1:19" x14ac:dyDescent="0.45">
      <c r="A6" s="2">
        <v>45938</v>
      </c>
      <c r="B6" s="3">
        <v>6280.5</v>
      </c>
      <c r="D6" s="2">
        <v>45938</v>
      </c>
      <c r="E6" s="3">
        <v>806.75</v>
      </c>
      <c r="G6" s="3">
        <v>1680000</v>
      </c>
      <c r="H6" s="3">
        <f t="shared" si="0"/>
        <v>10551240000</v>
      </c>
      <c r="J6" s="3">
        <v>37500000</v>
      </c>
      <c r="K6" s="3"/>
      <c r="L6" s="3">
        <f t="shared" si="1"/>
        <v>30253125000</v>
      </c>
      <c r="N6" s="4">
        <f t="shared" si="2"/>
        <v>0.65123470715835141</v>
      </c>
    </row>
    <row r="7" spans="1:19" x14ac:dyDescent="0.45">
      <c r="A7" s="2">
        <v>45937</v>
      </c>
      <c r="B7" s="3">
        <v>6460</v>
      </c>
      <c r="D7" s="2">
        <v>45937</v>
      </c>
      <c r="E7" s="3">
        <v>800.4</v>
      </c>
      <c r="G7" s="3">
        <v>1680000</v>
      </c>
      <c r="H7" s="3">
        <f t="shared" si="0"/>
        <v>10852800000</v>
      </c>
      <c r="J7" s="3">
        <v>37500000</v>
      </c>
      <c r="K7" s="3"/>
      <c r="L7" s="3">
        <f t="shared" si="1"/>
        <v>30015000000</v>
      </c>
      <c r="N7" s="4">
        <f t="shared" si="2"/>
        <v>0.63842078960519744</v>
      </c>
      <c r="S7" s="16"/>
    </row>
    <row r="8" spans="1:19" x14ac:dyDescent="0.45">
      <c r="A8" s="2">
        <v>45936</v>
      </c>
      <c r="B8" s="3">
        <v>6500</v>
      </c>
      <c r="D8" s="2">
        <v>45936</v>
      </c>
      <c r="E8" s="3">
        <v>801.2</v>
      </c>
      <c r="G8" s="3">
        <v>1680000</v>
      </c>
      <c r="H8" s="3">
        <f t="shared" si="0"/>
        <v>10920000000</v>
      </c>
      <c r="J8" s="3">
        <v>37500000</v>
      </c>
      <c r="K8" s="3"/>
      <c r="L8" s="3">
        <f t="shared" si="1"/>
        <v>30045000000</v>
      </c>
      <c r="N8" s="4">
        <f t="shared" si="2"/>
        <v>0.63654518222666001</v>
      </c>
    </row>
    <row r="9" spans="1:19" x14ac:dyDescent="0.45">
      <c r="A9" s="2">
        <v>45933</v>
      </c>
      <c r="B9" s="3">
        <v>6466.65</v>
      </c>
      <c r="D9" s="2">
        <v>45933</v>
      </c>
      <c r="E9" s="3">
        <v>814.05</v>
      </c>
      <c r="G9" s="3">
        <v>1680000</v>
      </c>
      <c r="H9" s="3">
        <f t="shared" si="0"/>
        <v>10863972000</v>
      </c>
      <c r="J9" s="3">
        <v>37500000</v>
      </c>
      <c r="K9" s="3"/>
      <c r="L9" s="3">
        <f t="shared" si="1"/>
        <v>30526875000</v>
      </c>
      <c r="N9" s="4">
        <f t="shared" si="2"/>
        <v>0.64411778146305509</v>
      </c>
    </row>
    <row r="10" spans="1:19" x14ac:dyDescent="0.45">
      <c r="A10" s="2">
        <v>45931</v>
      </c>
      <c r="B10" s="3">
        <v>6597.15</v>
      </c>
      <c r="D10" s="2">
        <v>45931</v>
      </c>
      <c r="E10" s="3">
        <v>812.65</v>
      </c>
      <c r="G10" s="3">
        <v>1680000</v>
      </c>
      <c r="H10" s="3">
        <f t="shared" si="0"/>
        <v>11083212000</v>
      </c>
      <c r="J10" s="3">
        <v>37500000</v>
      </c>
      <c r="K10" s="3"/>
      <c r="L10" s="3">
        <f t="shared" si="1"/>
        <v>30474375000</v>
      </c>
      <c r="N10" s="4">
        <f t="shared" si="2"/>
        <v>0.63631044114932633</v>
      </c>
    </row>
    <row r="11" spans="1:19" x14ac:dyDescent="0.45">
      <c r="A11" s="2">
        <v>45930</v>
      </c>
      <c r="B11" s="3">
        <v>6589.6</v>
      </c>
      <c r="D11" s="2">
        <v>45930</v>
      </c>
      <c r="E11" s="3">
        <v>821.45</v>
      </c>
      <c r="G11" s="3">
        <v>1680000</v>
      </c>
      <c r="H11" s="3">
        <f t="shared" si="0"/>
        <v>11070528000</v>
      </c>
      <c r="J11" s="3">
        <v>37500000</v>
      </c>
      <c r="K11" s="3"/>
      <c r="L11" s="3">
        <f t="shared" si="1"/>
        <v>30804375000</v>
      </c>
      <c r="N11" s="4">
        <f t="shared" si="2"/>
        <v>0.64061832126118445</v>
      </c>
    </row>
    <row r="12" spans="1:19" x14ac:dyDescent="0.45">
      <c r="A12" s="2">
        <v>45929</v>
      </c>
      <c r="B12" s="3">
        <v>6500</v>
      </c>
      <c r="D12" s="2">
        <v>45929</v>
      </c>
      <c r="E12" s="3">
        <v>809.3</v>
      </c>
      <c r="G12" s="3">
        <v>1680000</v>
      </c>
      <c r="H12" s="3">
        <f t="shared" si="0"/>
        <v>10920000000</v>
      </c>
      <c r="J12" s="3">
        <v>37500000</v>
      </c>
      <c r="K12" s="3"/>
      <c r="L12" s="3">
        <f t="shared" si="1"/>
        <v>30348750000</v>
      </c>
      <c r="N12" s="4">
        <f t="shared" si="2"/>
        <v>0.64018287408871866</v>
      </c>
    </row>
    <row r="13" spans="1:19" x14ac:dyDescent="0.45">
      <c r="A13" s="2">
        <v>45926</v>
      </c>
      <c r="B13" s="3">
        <v>6378.85</v>
      </c>
      <c r="D13" s="2">
        <v>45926</v>
      </c>
      <c r="E13" s="3">
        <v>819.4</v>
      </c>
      <c r="G13" s="3">
        <v>1680000</v>
      </c>
      <c r="H13" s="3">
        <f t="shared" si="0"/>
        <v>10716468000</v>
      </c>
      <c r="J13" s="3">
        <v>37500000</v>
      </c>
      <c r="K13" s="3"/>
      <c r="L13" s="3">
        <f t="shared" si="1"/>
        <v>30727500000</v>
      </c>
      <c r="N13" s="4">
        <f t="shared" si="2"/>
        <v>0.65124178667317545</v>
      </c>
    </row>
    <row r="14" spans="1:19" x14ac:dyDescent="0.45">
      <c r="A14" s="2">
        <v>45925</v>
      </c>
      <c r="B14" s="3">
        <v>6600.05</v>
      </c>
      <c r="D14" s="2">
        <v>45925</v>
      </c>
      <c r="E14" s="3">
        <v>846.45</v>
      </c>
      <c r="G14" s="3">
        <v>1680000</v>
      </c>
      <c r="H14" s="3">
        <f t="shared" si="0"/>
        <v>11088084000</v>
      </c>
      <c r="J14" s="3">
        <v>37500000</v>
      </c>
      <c r="K14" s="3"/>
      <c r="L14" s="3">
        <f t="shared" si="1"/>
        <v>31741875000</v>
      </c>
      <c r="N14" s="4">
        <f t="shared" si="2"/>
        <v>0.65067961486207104</v>
      </c>
    </row>
    <row r="15" spans="1:19" x14ac:dyDescent="0.45">
      <c r="A15" s="2">
        <v>45924</v>
      </c>
      <c r="B15" s="3">
        <v>6674.9</v>
      </c>
      <c r="D15" s="2">
        <v>45924</v>
      </c>
      <c r="E15" s="3">
        <v>856.95</v>
      </c>
      <c r="G15" s="3">
        <v>1680000</v>
      </c>
      <c r="H15" s="3">
        <f t="shared" si="0"/>
        <v>11213832000</v>
      </c>
      <c r="J15" s="3">
        <v>37500000</v>
      </c>
      <c r="K15" s="3"/>
      <c r="L15" s="3">
        <f t="shared" si="1"/>
        <v>32135625000</v>
      </c>
      <c r="N15" s="4">
        <f t="shared" si="2"/>
        <v>0.65104671217690646</v>
      </c>
    </row>
    <row r="16" spans="1:19" x14ac:dyDescent="0.45">
      <c r="A16" s="2">
        <v>45923</v>
      </c>
      <c r="B16" s="3">
        <v>6602.8</v>
      </c>
      <c r="D16" s="2">
        <v>45923</v>
      </c>
      <c r="E16" s="3">
        <v>838.75</v>
      </c>
      <c r="G16" s="3">
        <v>1680000</v>
      </c>
      <c r="H16" s="3">
        <f t="shared" si="0"/>
        <v>11092704000</v>
      </c>
      <c r="J16" s="3">
        <v>37500000</v>
      </c>
      <c r="K16" s="3"/>
      <c r="L16" s="3">
        <f t="shared" si="1"/>
        <v>31453125000</v>
      </c>
      <c r="N16" s="4">
        <f t="shared" si="2"/>
        <v>0.6473258539493294</v>
      </c>
    </row>
    <row r="17" spans="1:21" x14ac:dyDescent="0.45">
      <c r="A17" s="2">
        <v>45922</v>
      </c>
      <c r="B17" s="3">
        <v>6670</v>
      </c>
      <c r="D17" s="2">
        <v>45922</v>
      </c>
      <c r="E17" s="3">
        <v>851.7</v>
      </c>
      <c r="G17" s="3">
        <v>1680000</v>
      </c>
      <c r="H17" s="3">
        <f t="shared" si="0"/>
        <v>11205600000</v>
      </c>
      <c r="J17" s="3">
        <v>37500000</v>
      </c>
      <c r="K17" s="3"/>
      <c r="L17" s="3">
        <f t="shared" si="1"/>
        <v>31938750000</v>
      </c>
      <c r="N17" s="4">
        <f t="shared" si="2"/>
        <v>0.64915345779030176</v>
      </c>
    </row>
    <row r="18" spans="1:21" x14ac:dyDescent="0.45">
      <c r="A18" s="2">
        <v>45919</v>
      </c>
      <c r="B18" s="3">
        <v>6655</v>
      </c>
      <c r="D18" s="2">
        <v>45919</v>
      </c>
      <c r="E18" s="3">
        <v>859.2</v>
      </c>
      <c r="G18" s="3">
        <v>1680000</v>
      </c>
      <c r="H18" s="3">
        <f t="shared" si="0"/>
        <v>11180400000</v>
      </c>
      <c r="J18" s="3">
        <v>37500000</v>
      </c>
      <c r="K18" s="3"/>
      <c r="L18" s="3">
        <f t="shared" si="1"/>
        <v>32220000000</v>
      </c>
      <c r="N18" s="4">
        <f t="shared" si="2"/>
        <v>0.65299813780260707</v>
      </c>
    </row>
    <row r="19" spans="1:21" x14ac:dyDescent="0.45">
      <c r="A19" s="2">
        <v>45918</v>
      </c>
      <c r="B19" s="3">
        <v>6473.75</v>
      </c>
      <c r="D19" s="2">
        <v>45918</v>
      </c>
      <c r="E19" s="3">
        <v>857.2</v>
      </c>
      <c r="G19" s="3">
        <v>1680000</v>
      </c>
      <c r="H19" s="3">
        <f t="shared" si="0"/>
        <v>10875900000</v>
      </c>
      <c r="J19" s="3">
        <v>37500000</v>
      </c>
      <c r="K19" s="3"/>
      <c r="L19" s="3">
        <f t="shared" si="1"/>
        <v>32145000000</v>
      </c>
      <c r="N19" s="4">
        <f t="shared" si="2"/>
        <v>0.66166122258516102</v>
      </c>
    </row>
    <row r="20" spans="1:21" x14ac:dyDescent="0.45">
      <c r="A20" s="2">
        <v>45917</v>
      </c>
      <c r="B20" s="3">
        <v>6570</v>
      </c>
      <c r="D20" s="2">
        <v>45917</v>
      </c>
      <c r="E20" s="3">
        <v>869.35</v>
      </c>
      <c r="G20" s="3">
        <v>1680000</v>
      </c>
      <c r="H20" s="3">
        <f t="shared" si="0"/>
        <v>11037600000</v>
      </c>
      <c r="J20" s="3">
        <v>37500000</v>
      </c>
      <c r="K20" s="3"/>
      <c r="L20" s="3">
        <f t="shared" si="1"/>
        <v>32600625000</v>
      </c>
      <c r="N20" s="4">
        <f t="shared" si="2"/>
        <v>0.66142980387645944</v>
      </c>
    </row>
    <row r="21" spans="1:21" x14ac:dyDescent="0.45">
      <c r="A21" s="2">
        <v>45916</v>
      </c>
      <c r="B21" s="3">
        <v>6560</v>
      </c>
      <c r="D21" s="2">
        <v>45916</v>
      </c>
      <c r="E21" s="3">
        <v>855.05</v>
      </c>
      <c r="G21" s="3">
        <v>1680000</v>
      </c>
      <c r="H21" s="3">
        <f t="shared" si="0"/>
        <v>11020800000</v>
      </c>
      <c r="J21" s="3">
        <v>37500000</v>
      </c>
      <c r="K21" s="3"/>
      <c r="L21" s="3">
        <f t="shared" si="1"/>
        <v>32064375000</v>
      </c>
      <c r="N21" s="4">
        <f t="shared" si="2"/>
        <v>0.65629144494474012</v>
      </c>
    </row>
    <row r="22" spans="1:21" x14ac:dyDescent="0.45">
      <c r="A22" s="2">
        <v>45915</v>
      </c>
      <c r="B22" s="3">
        <v>6563.75</v>
      </c>
      <c r="D22" s="2">
        <v>45915</v>
      </c>
      <c r="E22" s="3">
        <v>845</v>
      </c>
      <c r="G22" s="3">
        <v>1680000</v>
      </c>
      <c r="H22" s="3">
        <f t="shared" si="0"/>
        <v>11027100000</v>
      </c>
      <c r="J22" s="3">
        <v>37500000</v>
      </c>
      <c r="K22" s="3"/>
      <c r="L22" s="3">
        <f t="shared" si="1"/>
        <v>31687500000</v>
      </c>
      <c r="N22" s="4">
        <f t="shared" si="2"/>
        <v>0.65200473372781065</v>
      </c>
    </row>
    <row r="23" spans="1:21" x14ac:dyDescent="0.45">
      <c r="A23" s="2">
        <v>45912</v>
      </c>
      <c r="B23" s="3">
        <v>6573.75</v>
      </c>
      <c r="D23" s="2">
        <v>45912</v>
      </c>
      <c r="E23" s="3">
        <v>830.05</v>
      </c>
      <c r="G23" s="3">
        <v>1680000</v>
      </c>
      <c r="H23" s="3">
        <f t="shared" si="0"/>
        <v>11043900000</v>
      </c>
      <c r="J23" s="3">
        <v>37500000</v>
      </c>
      <c r="K23" s="3"/>
      <c r="L23" s="3">
        <f t="shared" si="1"/>
        <v>31126875000</v>
      </c>
      <c r="N23" s="4">
        <f t="shared" si="2"/>
        <v>0.64519727727245346</v>
      </c>
    </row>
    <row r="24" spans="1:21" x14ac:dyDescent="0.45">
      <c r="A24" s="2">
        <v>45911</v>
      </c>
      <c r="B24" s="3">
        <v>6554.3</v>
      </c>
      <c r="D24" s="2">
        <v>45911</v>
      </c>
      <c r="E24" s="3">
        <v>815.7</v>
      </c>
      <c r="G24" s="3">
        <v>1680000</v>
      </c>
      <c r="H24" s="3">
        <f t="shared" si="0"/>
        <v>11011224000</v>
      </c>
      <c r="J24" s="3">
        <v>37500000</v>
      </c>
      <c r="K24" s="3"/>
      <c r="L24" s="3">
        <f t="shared" si="1"/>
        <v>30588750000</v>
      </c>
      <c r="N24" s="4">
        <f t="shared" si="2"/>
        <v>0.64002373421601078</v>
      </c>
    </row>
    <row r="25" spans="1:21" x14ac:dyDescent="0.45">
      <c r="A25" s="2">
        <v>45910</v>
      </c>
      <c r="B25" s="3">
        <v>6588.5</v>
      </c>
      <c r="D25" s="2">
        <v>45910</v>
      </c>
      <c r="E25" s="3">
        <v>815.65</v>
      </c>
      <c r="G25" s="3">
        <v>1680000</v>
      </c>
      <c r="H25" s="3">
        <f t="shared" si="0"/>
        <v>11068680000</v>
      </c>
      <c r="J25" s="3">
        <v>37500000</v>
      </c>
      <c r="K25" s="3"/>
      <c r="L25" s="3">
        <f t="shared" si="1"/>
        <v>30586875000</v>
      </c>
      <c r="N25" s="4">
        <f t="shared" si="2"/>
        <v>0.63812321461411137</v>
      </c>
    </row>
    <row r="26" spans="1:21" x14ac:dyDescent="0.45">
      <c r="A26" s="2">
        <v>45909</v>
      </c>
      <c r="B26" s="3">
        <v>6550.8</v>
      </c>
      <c r="D26" s="2">
        <v>45909</v>
      </c>
      <c r="E26" s="3">
        <v>810.45</v>
      </c>
      <c r="G26" s="3">
        <v>1680000</v>
      </c>
      <c r="H26" s="3">
        <f t="shared" si="0"/>
        <v>11005344000</v>
      </c>
      <c r="J26" s="3">
        <v>37500000</v>
      </c>
      <c r="K26" s="3"/>
      <c r="L26" s="3">
        <f t="shared" si="1"/>
        <v>30391875000</v>
      </c>
      <c r="N26" s="4">
        <f t="shared" si="2"/>
        <v>0.63788532296872114</v>
      </c>
    </row>
    <row r="27" spans="1:21" ht="14.65" thickBot="1" x14ac:dyDescent="0.5">
      <c r="A27" s="2">
        <v>45908</v>
      </c>
      <c r="B27" s="3">
        <v>6476.05</v>
      </c>
      <c r="D27" s="2">
        <v>45908</v>
      </c>
      <c r="E27" s="3">
        <v>807.55</v>
      </c>
      <c r="G27" s="3">
        <v>1680000</v>
      </c>
      <c r="H27" s="3">
        <f t="shared" si="0"/>
        <v>10879764000</v>
      </c>
      <c r="J27" s="3">
        <v>37500000</v>
      </c>
      <c r="K27" s="3"/>
      <c r="L27" s="3">
        <f t="shared" si="1"/>
        <v>30283125000</v>
      </c>
      <c r="N27" s="4">
        <f t="shared" si="2"/>
        <v>0.64073179369698474</v>
      </c>
    </row>
    <row r="28" spans="1:21" x14ac:dyDescent="0.45">
      <c r="A28" s="2">
        <v>45905</v>
      </c>
      <c r="B28" s="3">
        <v>6411.85</v>
      </c>
      <c r="D28" s="2">
        <v>45905</v>
      </c>
      <c r="E28" s="3">
        <v>821.05</v>
      </c>
      <c r="G28" s="3">
        <v>1680000</v>
      </c>
      <c r="H28" s="3">
        <f t="shared" si="0"/>
        <v>10771908000</v>
      </c>
      <c r="J28" s="3">
        <v>37500000</v>
      </c>
      <c r="K28" s="3"/>
      <c r="L28" s="3">
        <f t="shared" si="1"/>
        <v>30789375000</v>
      </c>
      <c r="N28" s="4">
        <f t="shared" si="2"/>
        <v>0.65014203763473599</v>
      </c>
      <c r="Q28" s="52" t="s">
        <v>13</v>
      </c>
      <c r="R28" s="53"/>
      <c r="S28" s="53"/>
      <c r="T28" s="53"/>
      <c r="U28" s="54"/>
    </row>
    <row r="29" spans="1:21" x14ac:dyDescent="0.45">
      <c r="A29" s="2">
        <v>45904</v>
      </c>
      <c r="B29" s="3">
        <v>6281.4</v>
      </c>
      <c r="D29" s="2">
        <v>45904</v>
      </c>
      <c r="E29" s="3">
        <v>815.5</v>
      </c>
      <c r="G29" s="3">
        <v>1680000</v>
      </c>
      <c r="H29" s="3">
        <f t="shared" si="0"/>
        <v>10552752000</v>
      </c>
      <c r="J29" s="3">
        <v>37500000</v>
      </c>
      <c r="K29" s="3"/>
      <c r="L29" s="3">
        <f t="shared" si="1"/>
        <v>30581250000</v>
      </c>
      <c r="N29" s="4">
        <f t="shared" si="2"/>
        <v>0.65492738197424893</v>
      </c>
      <c r="Q29" s="55" t="s">
        <v>6</v>
      </c>
      <c r="R29" s="56"/>
      <c r="S29" s="56"/>
      <c r="T29" s="56"/>
      <c r="U29" s="57"/>
    </row>
    <row r="30" spans="1:21" x14ac:dyDescent="0.45">
      <c r="A30" s="2">
        <v>45903</v>
      </c>
      <c r="B30" s="3">
        <v>6397.55</v>
      </c>
      <c r="D30" s="2">
        <v>45903</v>
      </c>
      <c r="E30" s="3">
        <v>842.4</v>
      </c>
      <c r="G30" s="3">
        <v>1680000</v>
      </c>
      <c r="H30" s="3">
        <f t="shared" si="0"/>
        <v>10747884000</v>
      </c>
      <c r="J30" s="3">
        <v>37500000</v>
      </c>
      <c r="K30" s="3"/>
      <c r="L30" s="3">
        <f t="shared" si="1"/>
        <v>31590000000</v>
      </c>
      <c r="N30" s="4">
        <f t="shared" si="2"/>
        <v>0.65976942070275402</v>
      </c>
      <c r="Q30" s="6"/>
      <c r="U30" s="15" t="s">
        <v>7</v>
      </c>
    </row>
    <row r="31" spans="1:21" x14ac:dyDescent="0.45">
      <c r="A31" s="2">
        <v>45902</v>
      </c>
      <c r="B31" s="3">
        <v>6320.6</v>
      </c>
      <c r="D31" s="2">
        <v>45902</v>
      </c>
      <c r="E31" s="3">
        <v>830.85</v>
      </c>
      <c r="G31" s="3">
        <v>1680000</v>
      </c>
      <c r="H31" s="3">
        <f t="shared" si="0"/>
        <v>10618608000</v>
      </c>
      <c r="J31" s="3">
        <v>37500000</v>
      </c>
      <c r="K31" s="3"/>
      <c r="L31" s="3">
        <f t="shared" si="1"/>
        <v>31156875000</v>
      </c>
      <c r="N31" s="4">
        <f t="shared" si="2"/>
        <v>0.65918892700246734</v>
      </c>
      <c r="Q31" s="6"/>
      <c r="R31" s="12" t="s">
        <v>8</v>
      </c>
      <c r="S31" s="12"/>
      <c r="T31" s="13">
        <f>+INDEX(N3:N1243,1)</f>
        <v>0.65643150453550203</v>
      </c>
      <c r="U31" s="14">
        <f>+INDEX($D$3:$D$1244,MATCH(T31,$N$3:$N$1244,0))</f>
        <v>45943</v>
      </c>
    </row>
    <row r="32" spans="1:21" x14ac:dyDescent="0.45">
      <c r="A32" s="2">
        <v>45901</v>
      </c>
      <c r="B32" s="3">
        <v>6696.05</v>
      </c>
      <c r="D32" s="2">
        <v>45901</v>
      </c>
      <c r="E32" s="3">
        <v>820</v>
      </c>
      <c r="G32" s="3">
        <v>1680000</v>
      </c>
      <c r="H32" s="3">
        <f t="shared" si="0"/>
        <v>11249364000</v>
      </c>
      <c r="J32" s="3">
        <v>37500000</v>
      </c>
      <c r="K32" s="3"/>
      <c r="L32" s="3">
        <f t="shared" si="1"/>
        <v>30750000000</v>
      </c>
      <c r="N32" s="4">
        <f t="shared" si="2"/>
        <v>0.63416702439024397</v>
      </c>
      <c r="Q32" s="6"/>
      <c r="R32" s="1" t="s">
        <v>9</v>
      </c>
      <c r="T32" s="4">
        <f>+MAX(N3:N1243)</f>
        <v>0.82139516544570645</v>
      </c>
      <c r="U32" s="8">
        <f>+INDEX($D$3:$D$1244,MATCH(T32,$N$3:$N$1244,0))</f>
        <v>45021</v>
      </c>
    </row>
    <row r="33" spans="1:21" x14ac:dyDescent="0.45">
      <c r="A33" s="2">
        <v>45898</v>
      </c>
      <c r="B33" s="3">
        <v>6981.75</v>
      </c>
      <c r="D33" s="2">
        <v>45898</v>
      </c>
      <c r="E33" s="3">
        <v>825.4</v>
      </c>
      <c r="G33" s="3">
        <v>1680000</v>
      </c>
      <c r="H33" s="3">
        <f t="shared" si="0"/>
        <v>11729340000</v>
      </c>
      <c r="J33" s="3">
        <v>37500000</v>
      </c>
      <c r="K33" s="3"/>
      <c r="L33" s="3">
        <f t="shared" si="1"/>
        <v>30952500000</v>
      </c>
      <c r="N33" s="4">
        <f t="shared" si="2"/>
        <v>0.62105354979403926</v>
      </c>
      <c r="Q33" s="6"/>
      <c r="R33" s="1" t="s">
        <v>10</v>
      </c>
      <c r="T33" s="4">
        <f>+MIN(N3:N1243)</f>
        <v>0.55593871028863773</v>
      </c>
      <c r="U33" s="8">
        <f>+INDEX($D$3:$D$1244,MATCH(T33,$N$3:$N$1244,0))</f>
        <v>45594</v>
      </c>
    </row>
    <row r="34" spans="1:21" x14ac:dyDescent="0.45">
      <c r="A34" s="2">
        <v>45897</v>
      </c>
      <c r="B34" s="3">
        <v>7038.7</v>
      </c>
      <c r="D34" s="2">
        <v>45897</v>
      </c>
      <c r="E34" s="3">
        <v>814.7</v>
      </c>
      <c r="G34" s="3">
        <v>1680000</v>
      </c>
      <c r="H34" s="3">
        <f t="shared" si="0"/>
        <v>11825016000</v>
      </c>
      <c r="J34" s="3">
        <v>37500000</v>
      </c>
      <c r="K34" s="3"/>
      <c r="L34" s="3">
        <f t="shared" si="1"/>
        <v>30551250000</v>
      </c>
      <c r="N34" s="4">
        <f t="shared" si="2"/>
        <v>0.61294493678654716</v>
      </c>
      <c r="Q34" s="6"/>
      <c r="R34" s="1" t="s">
        <v>11</v>
      </c>
      <c r="T34" s="4">
        <f>+MEDIAN(N3:N1243)</f>
        <v>0.71039487203079232</v>
      </c>
      <c r="U34" s="7"/>
    </row>
    <row r="35" spans="1:21" ht="14.65" thickBot="1" x14ac:dyDescent="0.5">
      <c r="A35" s="2">
        <v>45895</v>
      </c>
      <c r="B35" s="3">
        <v>7037.5</v>
      </c>
      <c r="D35" s="2">
        <v>45895</v>
      </c>
      <c r="E35" s="3">
        <v>840.75</v>
      </c>
      <c r="G35" s="3">
        <v>1680000</v>
      </c>
      <c r="H35" s="3">
        <f t="shared" si="0"/>
        <v>11823000000</v>
      </c>
      <c r="J35" s="3">
        <v>37500000</v>
      </c>
      <c r="K35" s="3"/>
      <c r="L35" s="3">
        <f t="shared" si="1"/>
        <v>31528125000</v>
      </c>
      <c r="N35" s="4">
        <f t="shared" si="2"/>
        <v>0.6250014867677669</v>
      </c>
      <c r="Q35" s="9"/>
      <c r="R35" s="5" t="s">
        <v>12</v>
      </c>
      <c r="S35" s="5"/>
      <c r="T35" s="10">
        <f>+AVERAGE(N3:N1243)</f>
        <v>0.70793534418145287</v>
      </c>
      <c r="U35" s="11"/>
    </row>
    <row r="36" spans="1:21" x14ac:dyDescent="0.45">
      <c r="A36" s="2">
        <v>45894</v>
      </c>
      <c r="B36" s="3">
        <v>6876.9</v>
      </c>
      <c r="D36" s="2">
        <v>45894</v>
      </c>
      <c r="E36" s="3">
        <v>804.95</v>
      </c>
      <c r="G36" s="3">
        <v>1680000</v>
      </c>
      <c r="H36" s="3">
        <f t="shared" si="0"/>
        <v>11553192000</v>
      </c>
      <c r="J36" s="3">
        <v>37500000</v>
      </c>
      <c r="K36" s="3"/>
      <c r="L36" s="3">
        <f t="shared" si="1"/>
        <v>30185625000</v>
      </c>
      <c r="N36" s="4">
        <f t="shared" si="2"/>
        <v>0.61726179265792913</v>
      </c>
    </row>
    <row r="37" spans="1:21" x14ac:dyDescent="0.45">
      <c r="A37" s="2">
        <v>45891</v>
      </c>
      <c r="B37" s="3">
        <v>6966.9</v>
      </c>
      <c r="D37" s="2">
        <v>45891</v>
      </c>
      <c r="E37" s="3">
        <v>806.6</v>
      </c>
      <c r="G37" s="3">
        <v>1680000</v>
      </c>
      <c r="H37" s="3">
        <f t="shared" si="0"/>
        <v>11704392000</v>
      </c>
      <c r="J37" s="3">
        <v>37500000</v>
      </c>
      <c r="K37" s="3"/>
      <c r="L37" s="3">
        <f t="shared" si="1"/>
        <v>30247500000</v>
      </c>
      <c r="N37" s="4">
        <f t="shared" si="2"/>
        <v>0.61304597074138356</v>
      </c>
    </row>
    <row r="38" spans="1:21" x14ac:dyDescent="0.45">
      <c r="A38" s="2">
        <v>45890</v>
      </c>
      <c r="B38" s="3">
        <v>6940</v>
      </c>
      <c r="D38" s="2">
        <v>45890</v>
      </c>
      <c r="E38" s="3">
        <v>796.65</v>
      </c>
      <c r="G38" s="3">
        <v>1680000</v>
      </c>
      <c r="H38" s="3">
        <f t="shared" si="0"/>
        <v>11659200000</v>
      </c>
      <c r="J38" s="3">
        <v>37500000</v>
      </c>
      <c r="K38" s="3"/>
      <c r="L38" s="3">
        <f t="shared" si="1"/>
        <v>29874375000</v>
      </c>
      <c r="N38" s="4">
        <f t="shared" si="2"/>
        <v>0.60972572647963341</v>
      </c>
    </row>
    <row r="39" spans="1:21" x14ac:dyDescent="0.45">
      <c r="A39" s="2">
        <v>45889</v>
      </c>
      <c r="B39" s="3">
        <v>6958.25</v>
      </c>
      <c r="D39" s="2">
        <v>45889</v>
      </c>
      <c r="E39" s="3">
        <v>800.7</v>
      </c>
      <c r="G39" s="3">
        <v>1680000</v>
      </c>
      <c r="H39" s="3">
        <f t="shared" si="0"/>
        <v>11689860000</v>
      </c>
      <c r="J39" s="3">
        <v>37500000</v>
      </c>
      <c r="K39" s="3"/>
      <c r="L39" s="3">
        <f t="shared" si="1"/>
        <v>30026250000</v>
      </c>
      <c r="N39" s="4">
        <f t="shared" si="2"/>
        <v>0.61067865617584616</v>
      </c>
    </row>
    <row r="40" spans="1:21" x14ac:dyDescent="0.45">
      <c r="A40" s="2">
        <v>45888</v>
      </c>
      <c r="B40" s="3">
        <v>7078.7</v>
      </c>
      <c r="D40" s="2">
        <v>45888</v>
      </c>
      <c r="E40" s="3">
        <v>808.85</v>
      </c>
      <c r="G40" s="3">
        <v>1680000</v>
      </c>
      <c r="H40" s="3">
        <f t="shared" si="0"/>
        <v>11892216000</v>
      </c>
      <c r="J40" s="3">
        <v>37500000</v>
      </c>
      <c r="K40" s="3"/>
      <c r="L40" s="3">
        <f t="shared" si="1"/>
        <v>30331875000</v>
      </c>
      <c r="N40" s="4">
        <f t="shared" si="2"/>
        <v>0.60793007356122897</v>
      </c>
    </row>
    <row r="41" spans="1:21" x14ac:dyDescent="0.45">
      <c r="A41" s="2">
        <v>45887</v>
      </c>
      <c r="B41" s="3">
        <v>7178.3</v>
      </c>
      <c r="D41" s="2">
        <v>45887</v>
      </c>
      <c r="E41" s="3">
        <v>817</v>
      </c>
      <c r="G41" s="3">
        <v>1680000</v>
      </c>
      <c r="H41" s="3">
        <f t="shared" si="0"/>
        <v>12059544000</v>
      </c>
      <c r="J41" s="3">
        <v>37500000</v>
      </c>
      <c r="K41" s="3"/>
      <c r="L41" s="3">
        <f t="shared" si="1"/>
        <v>30637500000</v>
      </c>
      <c r="N41" s="4">
        <f t="shared" si="2"/>
        <v>0.60637963280293761</v>
      </c>
    </row>
    <row r="42" spans="1:21" x14ac:dyDescent="0.45">
      <c r="A42" s="2">
        <v>45883</v>
      </c>
      <c r="B42" s="3">
        <v>6845.05</v>
      </c>
      <c r="D42" s="2">
        <v>45883</v>
      </c>
      <c r="E42" s="3">
        <v>801.4</v>
      </c>
      <c r="G42" s="3">
        <v>1680000</v>
      </c>
      <c r="H42" s="3">
        <f t="shared" si="0"/>
        <v>11499684000</v>
      </c>
      <c r="J42" s="3">
        <v>37500000</v>
      </c>
      <c r="K42" s="3"/>
      <c r="L42" s="3">
        <f t="shared" si="1"/>
        <v>30052500000</v>
      </c>
      <c r="N42" s="4">
        <f t="shared" si="2"/>
        <v>0.61734684302470677</v>
      </c>
    </row>
    <row r="43" spans="1:21" x14ac:dyDescent="0.45">
      <c r="A43" s="2">
        <v>45882</v>
      </c>
      <c r="B43" s="3">
        <v>6834.4</v>
      </c>
      <c r="D43" s="2">
        <v>45882</v>
      </c>
      <c r="E43" s="3">
        <v>794.55</v>
      </c>
      <c r="G43" s="3">
        <v>1680000</v>
      </c>
      <c r="H43" s="3">
        <f t="shared" si="0"/>
        <v>11481792000</v>
      </c>
      <c r="J43" s="3">
        <v>37500000</v>
      </c>
      <c r="K43" s="3"/>
      <c r="L43" s="3">
        <f t="shared" si="1"/>
        <v>29795625000</v>
      </c>
      <c r="N43" s="4">
        <f t="shared" si="2"/>
        <v>0.61464839217166944</v>
      </c>
    </row>
    <row r="44" spans="1:21" x14ac:dyDescent="0.45">
      <c r="A44" s="2">
        <v>45881</v>
      </c>
      <c r="B44" s="3">
        <v>6843.35</v>
      </c>
      <c r="D44" s="2">
        <v>45881</v>
      </c>
      <c r="E44" s="3">
        <v>791.1</v>
      </c>
      <c r="G44" s="3">
        <v>1680000</v>
      </c>
      <c r="H44" s="3">
        <f t="shared" si="0"/>
        <v>11496828000</v>
      </c>
      <c r="J44" s="3">
        <v>37500000</v>
      </c>
      <c r="K44" s="3"/>
      <c r="L44" s="3">
        <f t="shared" si="1"/>
        <v>29666250000</v>
      </c>
      <c r="N44" s="4">
        <f t="shared" si="2"/>
        <v>0.6124610289470358</v>
      </c>
    </row>
    <row r="45" spans="1:21" x14ac:dyDescent="0.45">
      <c r="A45" s="2">
        <v>45880</v>
      </c>
      <c r="B45" s="3">
        <v>6871.7</v>
      </c>
      <c r="D45" s="2">
        <v>45880</v>
      </c>
      <c r="E45" s="3">
        <v>796.65</v>
      </c>
      <c r="G45" s="3">
        <v>1680000</v>
      </c>
      <c r="H45" s="3">
        <f t="shared" si="0"/>
        <v>11544456000</v>
      </c>
      <c r="J45" s="3">
        <v>37500000</v>
      </c>
      <c r="K45" s="3"/>
      <c r="L45" s="3">
        <f t="shared" si="1"/>
        <v>29874375000</v>
      </c>
      <c r="N45" s="4">
        <f t="shared" si="2"/>
        <v>0.61356661018012937</v>
      </c>
    </row>
    <row r="46" spans="1:21" x14ac:dyDescent="0.45">
      <c r="A46" s="2">
        <v>45877</v>
      </c>
      <c r="B46" s="3">
        <v>6931.2</v>
      </c>
      <c r="D46" s="2">
        <v>45877</v>
      </c>
      <c r="E46" s="3">
        <v>814.55</v>
      </c>
      <c r="G46" s="3">
        <v>1680000</v>
      </c>
      <c r="H46" s="3">
        <f t="shared" si="0"/>
        <v>11644416000</v>
      </c>
      <c r="J46" s="3">
        <v>37500000</v>
      </c>
      <c r="K46" s="3"/>
      <c r="L46" s="3">
        <f t="shared" si="1"/>
        <v>30545625000</v>
      </c>
      <c r="N46" s="4">
        <f t="shared" si="2"/>
        <v>0.6187861273095574</v>
      </c>
    </row>
    <row r="47" spans="1:21" x14ac:dyDescent="0.45">
      <c r="A47" s="2">
        <v>45876</v>
      </c>
      <c r="B47" s="3">
        <v>7040</v>
      </c>
      <c r="D47" s="2">
        <v>45876</v>
      </c>
      <c r="E47" s="3">
        <v>831.8</v>
      </c>
      <c r="G47" s="3">
        <v>1680000</v>
      </c>
      <c r="H47" s="3">
        <f t="shared" si="0"/>
        <v>11827200000</v>
      </c>
      <c r="J47" s="3">
        <v>37500000</v>
      </c>
      <c r="K47" s="3"/>
      <c r="L47" s="3">
        <f t="shared" si="1"/>
        <v>31192500000</v>
      </c>
      <c r="N47" s="4">
        <f t="shared" si="2"/>
        <v>0.62083193075258469</v>
      </c>
    </row>
    <row r="48" spans="1:21" x14ac:dyDescent="0.45">
      <c r="A48" s="2">
        <v>45875</v>
      </c>
      <c r="B48" s="3">
        <v>6990.5</v>
      </c>
      <c r="D48" s="2">
        <v>45875</v>
      </c>
      <c r="E48" s="3">
        <v>830.55</v>
      </c>
      <c r="G48" s="3">
        <v>1680000</v>
      </c>
      <c r="H48" s="3">
        <f t="shared" si="0"/>
        <v>11744040000</v>
      </c>
      <c r="J48" s="3">
        <v>37500000</v>
      </c>
      <c r="K48" s="3"/>
      <c r="L48" s="3">
        <f t="shared" si="1"/>
        <v>31145625000</v>
      </c>
      <c r="N48" s="4">
        <f t="shared" si="2"/>
        <v>0.6229313105773282</v>
      </c>
    </row>
    <row r="49" spans="1:14" x14ac:dyDescent="0.45">
      <c r="A49" s="2">
        <v>45874</v>
      </c>
      <c r="B49" s="3">
        <v>7096.6</v>
      </c>
      <c r="D49" s="2">
        <v>45874</v>
      </c>
      <c r="E49" s="3">
        <v>839.8</v>
      </c>
      <c r="G49" s="3">
        <v>1680000</v>
      </c>
      <c r="H49" s="3">
        <f t="shared" si="0"/>
        <v>11922288000</v>
      </c>
      <c r="J49" s="3">
        <v>37500000</v>
      </c>
      <c r="K49" s="3"/>
      <c r="L49" s="3">
        <f t="shared" si="1"/>
        <v>31492500000</v>
      </c>
      <c r="N49" s="4">
        <f t="shared" si="2"/>
        <v>0.62142452964991657</v>
      </c>
    </row>
    <row r="50" spans="1:14" x14ac:dyDescent="0.45">
      <c r="A50" s="2">
        <v>45873</v>
      </c>
      <c r="B50" s="3">
        <v>6911.5</v>
      </c>
      <c r="D50" s="2">
        <v>45873</v>
      </c>
      <c r="E50" s="3">
        <v>828.65</v>
      </c>
      <c r="G50" s="3">
        <v>1680000</v>
      </c>
      <c r="H50" s="3">
        <f t="shared" si="0"/>
        <v>11611320000</v>
      </c>
      <c r="J50" s="3">
        <v>37500000</v>
      </c>
      <c r="K50" s="3"/>
      <c r="L50" s="3">
        <f t="shared" si="1"/>
        <v>31074375000</v>
      </c>
      <c r="N50" s="4">
        <f t="shared" si="2"/>
        <v>0.6263377783141254</v>
      </c>
    </row>
    <row r="51" spans="1:14" x14ac:dyDescent="0.45">
      <c r="A51" s="2">
        <v>45870</v>
      </c>
      <c r="B51" s="3">
        <v>6798.6</v>
      </c>
      <c r="D51" s="2">
        <v>45870</v>
      </c>
      <c r="E51" s="3">
        <v>841.7</v>
      </c>
      <c r="G51" s="3">
        <v>1680000</v>
      </c>
      <c r="H51" s="3">
        <f t="shared" si="0"/>
        <v>11421648000</v>
      </c>
      <c r="J51" s="3">
        <v>37500000</v>
      </c>
      <c r="K51" s="3"/>
      <c r="L51" s="3">
        <f t="shared" si="1"/>
        <v>31563750000</v>
      </c>
      <c r="N51" s="4">
        <f t="shared" si="2"/>
        <v>0.63814033503623624</v>
      </c>
    </row>
    <row r="52" spans="1:14" x14ac:dyDescent="0.45">
      <c r="A52" s="2">
        <v>45869</v>
      </c>
      <c r="B52" s="3">
        <v>6704.35</v>
      </c>
      <c r="D52" s="2">
        <v>45869</v>
      </c>
      <c r="E52" s="3">
        <v>840.2</v>
      </c>
      <c r="G52" s="3">
        <v>1680000</v>
      </c>
      <c r="H52" s="3">
        <f t="shared" si="0"/>
        <v>11263308000</v>
      </c>
      <c r="J52" s="3">
        <v>37500000</v>
      </c>
      <c r="K52" s="3"/>
      <c r="L52" s="3">
        <f t="shared" si="1"/>
        <v>31507500000</v>
      </c>
      <c r="N52" s="4">
        <f t="shared" si="2"/>
        <v>0.64251978100452267</v>
      </c>
    </row>
    <row r="53" spans="1:14" x14ac:dyDescent="0.45">
      <c r="A53" s="2">
        <v>45868</v>
      </c>
      <c r="B53" s="3">
        <v>6631.15</v>
      </c>
      <c r="D53" s="2">
        <v>45868</v>
      </c>
      <c r="E53" s="3">
        <v>853.65</v>
      </c>
      <c r="G53" s="3">
        <v>1680000</v>
      </c>
      <c r="H53" s="3">
        <f t="shared" si="0"/>
        <v>11140332000</v>
      </c>
      <c r="J53" s="3">
        <v>37500000</v>
      </c>
      <c r="K53" s="3"/>
      <c r="L53" s="3">
        <f t="shared" si="1"/>
        <v>32011875000</v>
      </c>
      <c r="N53" s="4">
        <f t="shared" si="2"/>
        <v>0.65199376793767938</v>
      </c>
    </row>
    <row r="54" spans="1:14" x14ac:dyDescent="0.45">
      <c r="A54" s="2">
        <v>45867</v>
      </c>
      <c r="B54" s="3">
        <v>6723</v>
      </c>
      <c r="D54" s="2">
        <v>45867</v>
      </c>
      <c r="E54" s="3">
        <v>854.8</v>
      </c>
      <c r="G54" s="3">
        <v>1680000</v>
      </c>
      <c r="H54" s="3">
        <f t="shared" si="0"/>
        <v>11294640000</v>
      </c>
      <c r="J54" s="3">
        <v>37500000</v>
      </c>
      <c r="K54" s="3"/>
      <c r="L54" s="3">
        <f t="shared" si="1"/>
        <v>32055000000</v>
      </c>
      <c r="N54" s="4">
        <f t="shared" si="2"/>
        <v>0.64764810481984092</v>
      </c>
    </row>
    <row r="55" spans="1:14" x14ac:dyDescent="0.45">
      <c r="A55" s="2">
        <v>45866</v>
      </c>
      <c r="B55" s="3">
        <v>6711.7</v>
      </c>
      <c r="D55" s="2">
        <v>45866</v>
      </c>
      <c r="E55" s="3">
        <v>859.85</v>
      </c>
      <c r="G55" s="3">
        <v>1680000</v>
      </c>
      <c r="H55" s="3">
        <f t="shared" si="0"/>
        <v>11275656000</v>
      </c>
      <c r="J55" s="3">
        <v>37500000</v>
      </c>
      <c r="K55" s="3"/>
      <c r="L55" s="3">
        <f t="shared" si="1"/>
        <v>32244375000</v>
      </c>
      <c r="N55" s="4">
        <f t="shared" si="2"/>
        <v>0.65030626272024183</v>
      </c>
    </row>
    <row r="56" spans="1:14" x14ac:dyDescent="0.45">
      <c r="A56" s="2">
        <v>45863</v>
      </c>
      <c r="B56" s="3">
        <v>6634.65</v>
      </c>
      <c r="D56" s="2">
        <v>45863</v>
      </c>
      <c r="E56" s="3">
        <v>853.15</v>
      </c>
      <c r="G56" s="3">
        <v>1680000</v>
      </c>
      <c r="H56" s="3">
        <f t="shared" si="0"/>
        <v>11146212000</v>
      </c>
      <c r="J56" s="3">
        <v>37500000</v>
      </c>
      <c r="K56" s="3"/>
      <c r="L56" s="3">
        <f t="shared" si="1"/>
        <v>31993125000</v>
      </c>
      <c r="N56" s="4">
        <f t="shared" si="2"/>
        <v>0.65160602473187601</v>
      </c>
    </row>
    <row r="57" spans="1:14" x14ac:dyDescent="0.45">
      <c r="A57" s="2">
        <v>45862</v>
      </c>
      <c r="B57" s="3">
        <v>6602.75</v>
      </c>
      <c r="D57" s="2">
        <v>45862</v>
      </c>
      <c r="E57" s="3">
        <v>878.45</v>
      </c>
      <c r="G57" s="3">
        <v>1680000</v>
      </c>
      <c r="H57" s="3">
        <f t="shared" si="0"/>
        <v>11092620000</v>
      </c>
      <c r="J57" s="3">
        <v>37500000</v>
      </c>
      <c r="K57" s="3"/>
      <c r="L57" s="3">
        <f t="shared" si="1"/>
        <v>32941875000</v>
      </c>
      <c r="N57" s="4">
        <f t="shared" si="2"/>
        <v>0.66326689054584786</v>
      </c>
    </row>
    <row r="58" spans="1:14" x14ac:dyDescent="0.45">
      <c r="A58" s="2">
        <v>45861</v>
      </c>
      <c r="B58" s="3">
        <v>6613.85</v>
      </c>
      <c r="D58" s="2">
        <v>45861</v>
      </c>
      <c r="E58" s="3">
        <v>884.3</v>
      </c>
      <c r="G58" s="3">
        <v>1680000</v>
      </c>
      <c r="H58" s="3">
        <f t="shared" si="0"/>
        <v>11111268000</v>
      </c>
      <c r="J58" s="3">
        <v>37500000</v>
      </c>
      <c r="K58" s="3"/>
      <c r="L58" s="3">
        <f t="shared" si="1"/>
        <v>33161250000</v>
      </c>
      <c r="N58" s="4">
        <f t="shared" si="2"/>
        <v>0.6649321723397037</v>
      </c>
    </row>
    <row r="59" spans="1:14" x14ac:dyDescent="0.45">
      <c r="A59" s="2">
        <v>45860</v>
      </c>
      <c r="B59" s="3">
        <v>6670</v>
      </c>
      <c r="D59" s="2">
        <v>45860</v>
      </c>
      <c r="E59" s="3">
        <v>867.05</v>
      </c>
      <c r="G59" s="3">
        <v>1680000</v>
      </c>
      <c r="H59" s="3">
        <f t="shared" si="0"/>
        <v>11205600000</v>
      </c>
      <c r="J59" s="3">
        <v>37500000</v>
      </c>
      <c r="K59" s="3"/>
      <c r="L59" s="3">
        <f t="shared" si="1"/>
        <v>32514375000</v>
      </c>
      <c r="N59" s="4">
        <f t="shared" si="2"/>
        <v>0.65536474251773247</v>
      </c>
    </row>
    <row r="60" spans="1:14" x14ac:dyDescent="0.45">
      <c r="A60" s="2">
        <v>45859</v>
      </c>
      <c r="B60" s="3">
        <v>6565.65</v>
      </c>
      <c r="D60" s="2">
        <v>45859</v>
      </c>
      <c r="E60" s="3">
        <v>868.4</v>
      </c>
      <c r="G60" s="3">
        <v>1680000</v>
      </c>
      <c r="H60" s="3">
        <f t="shared" si="0"/>
        <v>11030292000</v>
      </c>
      <c r="J60" s="3">
        <v>37500000</v>
      </c>
      <c r="K60" s="3"/>
      <c r="L60" s="3">
        <f t="shared" si="1"/>
        <v>32565000000</v>
      </c>
      <c r="N60" s="4">
        <f t="shared" si="2"/>
        <v>0.66128383233532939</v>
      </c>
    </row>
    <row r="61" spans="1:14" x14ac:dyDescent="0.45">
      <c r="A61" s="2">
        <v>45856</v>
      </c>
      <c r="B61" s="3">
        <v>6660</v>
      </c>
      <c r="D61" s="2">
        <v>45856</v>
      </c>
      <c r="E61" s="3">
        <v>870.3</v>
      </c>
      <c r="G61" s="3">
        <v>1680000</v>
      </c>
      <c r="H61" s="3">
        <f t="shared" si="0"/>
        <v>11188800000</v>
      </c>
      <c r="J61" s="3">
        <v>37500000</v>
      </c>
      <c r="K61" s="3"/>
      <c r="L61" s="3">
        <f t="shared" si="1"/>
        <v>32636250000</v>
      </c>
      <c r="N61" s="4">
        <f t="shared" si="2"/>
        <v>0.65716649431230612</v>
      </c>
    </row>
    <row r="62" spans="1:14" x14ac:dyDescent="0.45">
      <c r="A62" s="2">
        <v>45855</v>
      </c>
      <c r="B62" s="3">
        <v>6688.4</v>
      </c>
      <c r="D62" s="2">
        <v>45855</v>
      </c>
      <c r="E62" s="3">
        <v>879.85</v>
      </c>
      <c r="G62" s="3">
        <v>1680000</v>
      </c>
      <c r="H62" s="3">
        <f t="shared" si="0"/>
        <v>11236512000</v>
      </c>
      <c r="J62" s="3">
        <v>37500000</v>
      </c>
      <c r="K62" s="3"/>
      <c r="L62" s="3">
        <f t="shared" si="1"/>
        <v>32994375000</v>
      </c>
      <c r="N62" s="4">
        <f t="shared" si="2"/>
        <v>0.65944158663408536</v>
      </c>
    </row>
    <row r="63" spans="1:14" x14ac:dyDescent="0.45">
      <c r="A63" s="2">
        <v>45854</v>
      </c>
      <c r="B63" s="3">
        <v>6650</v>
      </c>
      <c r="D63" s="2">
        <v>45854</v>
      </c>
      <c r="E63" s="3">
        <v>866.85</v>
      </c>
      <c r="G63" s="3">
        <v>1680000</v>
      </c>
      <c r="H63" s="3">
        <f t="shared" si="0"/>
        <v>11172000000</v>
      </c>
      <c r="J63" s="3">
        <v>37500000</v>
      </c>
      <c r="K63" s="3"/>
      <c r="L63" s="3">
        <f t="shared" si="1"/>
        <v>32506875000</v>
      </c>
      <c r="N63" s="4">
        <f t="shared" si="2"/>
        <v>0.65631885562669434</v>
      </c>
    </row>
    <row r="64" spans="1:14" x14ac:dyDescent="0.45">
      <c r="A64" s="2">
        <v>45853</v>
      </c>
      <c r="B64" s="3">
        <v>6650</v>
      </c>
      <c r="D64" s="2">
        <v>45853</v>
      </c>
      <c r="E64" s="3">
        <v>871.6</v>
      </c>
      <c r="G64" s="3">
        <v>1680000</v>
      </c>
      <c r="H64" s="3">
        <f t="shared" si="0"/>
        <v>11172000000</v>
      </c>
      <c r="J64" s="3">
        <v>37500000</v>
      </c>
      <c r="K64" s="3"/>
      <c r="L64" s="3">
        <f t="shared" si="1"/>
        <v>32685000000</v>
      </c>
      <c r="N64" s="4">
        <f t="shared" si="2"/>
        <v>0.65819183111519042</v>
      </c>
    </row>
    <row r="65" spans="1:14" x14ac:dyDescent="0.45">
      <c r="A65" s="2">
        <v>45852</v>
      </c>
      <c r="B65" s="3">
        <v>6635</v>
      </c>
      <c r="D65" s="2">
        <v>45852</v>
      </c>
      <c r="E65" s="3">
        <v>868.1</v>
      </c>
      <c r="G65" s="3">
        <v>1680000</v>
      </c>
      <c r="H65" s="3">
        <f t="shared" si="0"/>
        <v>11146800000</v>
      </c>
      <c r="J65" s="3">
        <v>37500000</v>
      </c>
      <c r="K65" s="3"/>
      <c r="L65" s="3">
        <f t="shared" si="1"/>
        <v>32553750000</v>
      </c>
      <c r="N65" s="4">
        <f t="shared" si="2"/>
        <v>0.65758783550282218</v>
      </c>
    </row>
    <row r="66" spans="1:14" x14ac:dyDescent="0.45">
      <c r="A66" s="2">
        <v>45849</v>
      </c>
      <c r="B66" s="3">
        <v>6709.8</v>
      </c>
      <c r="D66" s="2">
        <v>45849</v>
      </c>
      <c r="E66" s="3">
        <v>881.55</v>
      </c>
      <c r="G66" s="3">
        <v>1680000</v>
      </c>
      <c r="H66" s="3">
        <f t="shared" si="0"/>
        <v>11272464000</v>
      </c>
      <c r="J66" s="3">
        <v>37500000</v>
      </c>
      <c r="K66" s="3"/>
      <c r="L66" s="3">
        <f t="shared" si="1"/>
        <v>33058125000</v>
      </c>
      <c r="N66" s="4">
        <f t="shared" si="2"/>
        <v>0.65901078781691336</v>
      </c>
    </row>
    <row r="67" spans="1:14" x14ac:dyDescent="0.45">
      <c r="A67" s="2">
        <v>45848</v>
      </c>
      <c r="B67" s="3">
        <v>6670</v>
      </c>
      <c r="D67" s="2">
        <v>45848</v>
      </c>
      <c r="E67" s="3">
        <v>840.85</v>
      </c>
      <c r="G67" s="3">
        <v>1680000</v>
      </c>
      <c r="H67" s="3">
        <f t="shared" ref="H67:H130" si="3">+G67*B67</f>
        <v>11205600000</v>
      </c>
      <c r="J67" s="3">
        <v>37500000</v>
      </c>
      <c r="K67" s="3"/>
      <c r="L67" s="3">
        <f t="shared" ref="L67:L130" si="4">+(J67*E67)</f>
        <v>31531875000</v>
      </c>
      <c r="N67" s="4">
        <f t="shared" ref="N67:N130" si="5">1- (H67/L67)</f>
        <v>0.64462627103526193</v>
      </c>
    </row>
    <row r="68" spans="1:14" x14ac:dyDescent="0.45">
      <c r="A68" s="2">
        <v>45847</v>
      </c>
      <c r="B68" s="3">
        <v>6770</v>
      </c>
      <c r="D68" s="2">
        <v>45847</v>
      </c>
      <c r="E68" s="3">
        <v>826.65</v>
      </c>
      <c r="G68" s="3">
        <v>1680000</v>
      </c>
      <c r="H68" s="3">
        <f t="shared" si="3"/>
        <v>11373600000</v>
      </c>
      <c r="J68" s="3">
        <v>37500000</v>
      </c>
      <c r="K68" s="3"/>
      <c r="L68" s="3">
        <f t="shared" si="4"/>
        <v>30999375000</v>
      </c>
      <c r="N68" s="4">
        <f t="shared" si="5"/>
        <v>0.63310228028790905</v>
      </c>
    </row>
    <row r="69" spans="1:14" x14ac:dyDescent="0.45">
      <c r="A69" s="2">
        <v>45846</v>
      </c>
      <c r="B69" s="3">
        <v>6718</v>
      </c>
      <c r="D69" s="2">
        <v>45846</v>
      </c>
      <c r="E69" s="3">
        <v>824</v>
      </c>
      <c r="G69" s="3">
        <v>1680000</v>
      </c>
      <c r="H69" s="3">
        <f t="shared" si="3"/>
        <v>11286240000</v>
      </c>
      <c r="J69" s="3">
        <v>37500000</v>
      </c>
      <c r="K69" s="3"/>
      <c r="L69" s="3">
        <f t="shared" si="4"/>
        <v>30900000000</v>
      </c>
      <c r="N69" s="4">
        <f t="shared" si="5"/>
        <v>0.6347495145631068</v>
      </c>
    </row>
    <row r="70" spans="1:14" x14ac:dyDescent="0.45">
      <c r="A70" s="2">
        <v>45845</v>
      </c>
      <c r="B70" s="3">
        <v>6701.65</v>
      </c>
      <c r="D70" s="2">
        <v>45845</v>
      </c>
      <c r="E70" s="3">
        <v>818.9</v>
      </c>
      <c r="G70" s="3">
        <v>1680000</v>
      </c>
      <c r="H70" s="3">
        <f t="shared" si="3"/>
        <v>11258772000</v>
      </c>
      <c r="J70" s="3">
        <v>37500000</v>
      </c>
      <c r="K70" s="3"/>
      <c r="L70" s="3">
        <f t="shared" si="4"/>
        <v>30708750000</v>
      </c>
      <c r="N70" s="4">
        <f t="shared" si="5"/>
        <v>0.63336925143485168</v>
      </c>
    </row>
    <row r="71" spans="1:14" x14ac:dyDescent="0.45">
      <c r="A71" s="2">
        <v>45842</v>
      </c>
      <c r="B71" s="3">
        <v>6720.55</v>
      </c>
      <c r="D71" s="2">
        <v>45842</v>
      </c>
      <c r="E71" s="3">
        <v>829.85</v>
      </c>
      <c r="G71" s="3">
        <v>1680000</v>
      </c>
      <c r="H71" s="3">
        <f t="shared" si="3"/>
        <v>11290524000</v>
      </c>
      <c r="J71" s="3">
        <v>37500000</v>
      </c>
      <c r="K71" s="3"/>
      <c r="L71" s="3">
        <f t="shared" si="4"/>
        <v>31119375000</v>
      </c>
      <c r="N71" s="4">
        <f t="shared" si="5"/>
        <v>0.6371866722901729</v>
      </c>
    </row>
    <row r="72" spans="1:14" x14ac:dyDescent="0.45">
      <c r="A72" s="2">
        <v>45841</v>
      </c>
      <c r="B72" s="3">
        <v>6799</v>
      </c>
      <c r="D72" s="2">
        <v>45841</v>
      </c>
      <c r="E72" s="3">
        <v>820.95</v>
      </c>
      <c r="G72" s="3">
        <v>1680000</v>
      </c>
      <c r="H72" s="3">
        <f t="shared" si="3"/>
        <v>11422320000</v>
      </c>
      <c r="J72" s="3">
        <v>37500000</v>
      </c>
      <c r="K72" s="3"/>
      <c r="L72" s="3">
        <f t="shared" si="4"/>
        <v>30785625000</v>
      </c>
      <c r="N72" s="4">
        <f t="shared" si="5"/>
        <v>0.62897228820269202</v>
      </c>
    </row>
    <row r="73" spans="1:14" x14ac:dyDescent="0.45">
      <c r="A73" s="2">
        <v>45840</v>
      </c>
      <c r="B73" s="3">
        <v>6725</v>
      </c>
      <c r="D73" s="2">
        <v>45840</v>
      </c>
      <c r="E73" s="3">
        <v>824.45</v>
      </c>
      <c r="G73" s="3">
        <v>1680000</v>
      </c>
      <c r="H73" s="3">
        <f t="shared" si="3"/>
        <v>11298000000</v>
      </c>
      <c r="J73" s="3">
        <v>37500000</v>
      </c>
      <c r="K73" s="3"/>
      <c r="L73" s="3">
        <f t="shared" si="4"/>
        <v>30916875000</v>
      </c>
      <c r="N73" s="4">
        <f t="shared" si="5"/>
        <v>0.63456850021226274</v>
      </c>
    </row>
    <row r="74" spans="1:14" x14ac:dyDescent="0.45">
      <c r="A74" s="2">
        <v>45839</v>
      </c>
      <c r="B74" s="3">
        <v>6803.75</v>
      </c>
      <c r="D74" s="2">
        <v>45839</v>
      </c>
      <c r="E74" s="3">
        <v>840.15</v>
      </c>
      <c r="G74" s="3">
        <v>1680000</v>
      </c>
      <c r="H74" s="3">
        <f t="shared" si="3"/>
        <v>11430300000</v>
      </c>
      <c r="J74" s="3">
        <v>37500000</v>
      </c>
      <c r="K74" s="3"/>
      <c r="L74" s="3">
        <f t="shared" si="4"/>
        <v>31505625000</v>
      </c>
      <c r="N74" s="4">
        <f t="shared" si="5"/>
        <v>0.63719811938344351</v>
      </c>
    </row>
    <row r="75" spans="1:14" x14ac:dyDescent="0.45">
      <c r="A75" s="2">
        <v>45838</v>
      </c>
      <c r="B75" s="3">
        <v>6872.95</v>
      </c>
      <c r="D75" s="2">
        <v>45838</v>
      </c>
      <c r="E75" s="3">
        <v>817.9</v>
      </c>
      <c r="G75" s="3">
        <v>1680000</v>
      </c>
      <c r="H75" s="3">
        <f t="shared" si="3"/>
        <v>11546556000</v>
      </c>
      <c r="J75" s="3">
        <v>37500000</v>
      </c>
      <c r="K75" s="3"/>
      <c r="L75" s="3">
        <f t="shared" si="4"/>
        <v>30671250000</v>
      </c>
      <c r="N75" s="4">
        <f t="shared" si="5"/>
        <v>0.62353813424624038</v>
      </c>
    </row>
    <row r="76" spans="1:14" x14ac:dyDescent="0.45">
      <c r="A76" s="2">
        <v>45835</v>
      </c>
      <c r="B76" s="3">
        <v>6804</v>
      </c>
      <c r="D76" s="2">
        <v>45835</v>
      </c>
      <c r="E76" s="3">
        <v>818.15</v>
      </c>
      <c r="G76" s="3">
        <v>1680000</v>
      </c>
      <c r="H76" s="3">
        <f t="shared" si="3"/>
        <v>11430720000</v>
      </c>
      <c r="J76" s="3">
        <v>37500000</v>
      </c>
      <c r="K76" s="3"/>
      <c r="L76" s="3">
        <f t="shared" si="4"/>
        <v>30680625000</v>
      </c>
      <c r="N76" s="4">
        <f t="shared" si="5"/>
        <v>0.62742871111654341</v>
      </c>
    </row>
    <row r="77" spans="1:14" x14ac:dyDescent="0.45">
      <c r="A77" s="2">
        <v>45834</v>
      </c>
      <c r="B77" s="3">
        <v>6790</v>
      </c>
      <c r="D77" s="2">
        <v>45834</v>
      </c>
      <c r="E77" s="3">
        <v>804</v>
      </c>
      <c r="G77" s="3">
        <v>1680000</v>
      </c>
      <c r="H77" s="3">
        <f t="shared" si="3"/>
        <v>11407200000</v>
      </c>
      <c r="J77" s="3">
        <v>37500000</v>
      </c>
      <c r="K77" s="3"/>
      <c r="L77" s="3">
        <f t="shared" si="4"/>
        <v>30150000000</v>
      </c>
      <c r="N77" s="4">
        <f t="shared" si="5"/>
        <v>0.62165174129353229</v>
      </c>
    </row>
    <row r="78" spans="1:14" x14ac:dyDescent="0.45">
      <c r="A78" s="2">
        <v>45833</v>
      </c>
      <c r="B78" s="3">
        <v>6767</v>
      </c>
      <c r="D78" s="2">
        <v>45833</v>
      </c>
      <c r="E78" s="3">
        <v>804.9</v>
      </c>
      <c r="G78" s="3">
        <v>1680000</v>
      </c>
      <c r="H78" s="3">
        <f t="shared" si="3"/>
        <v>11368560000</v>
      </c>
      <c r="J78" s="3">
        <v>37500000</v>
      </c>
      <c r="K78" s="3"/>
      <c r="L78" s="3">
        <f t="shared" si="4"/>
        <v>30183750000</v>
      </c>
      <c r="N78" s="4">
        <f t="shared" si="5"/>
        <v>0.6233549509255808</v>
      </c>
    </row>
    <row r="79" spans="1:14" x14ac:dyDescent="0.45">
      <c r="A79" s="2">
        <v>45832</v>
      </c>
      <c r="B79" s="3">
        <v>6799</v>
      </c>
      <c r="D79" s="2">
        <v>45832</v>
      </c>
      <c r="E79" s="3">
        <v>805.4</v>
      </c>
      <c r="G79" s="3">
        <v>1680000</v>
      </c>
      <c r="H79" s="3">
        <f t="shared" si="3"/>
        <v>11422320000</v>
      </c>
      <c r="J79" s="3">
        <v>37500000</v>
      </c>
      <c r="K79" s="3"/>
      <c r="L79" s="3">
        <f t="shared" si="4"/>
        <v>30202500000</v>
      </c>
      <c r="N79" s="4">
        <f t="shared" si="5"/>
        <v>0.62180879066302452</v>
      </c>
    </row>
    <row r="80" spans="1:14" x14ac:dyDescent="0.45">
      <c r="A80" s="2">
        <v>45831</v>
      </c>
      <c r="B80" s="3">
        <v>6686.05</v>
      </c>
      <c r="D80" s="2">
        <v>45831</v>
      </c>
      <c r="E80" s="3">
        <v>808.1</v>
      </c>
      <c r="G80" s="3">
        <v>1680000</v>
      </c>
      <c r="H80" s="3">
        <f t="shared" si="3"/>
        <v>11232564000</v>
      </c>
      <c r="J80" s="3">
        <v>37500000</v>
      </c>
      <c r="K80" s="3"/>
      <c r="L80" s="3">
        <f t="shared" si="4"/>
        <v>30303750000</v>
      </c>
      <c r="N80" s="4">
        <f t="shared" si="5"/>
        <v>0.62933419131295631</v>
      </c>
    </row>
    <row r="81" spans="1:14" x14ac:dyDescent="0.45">
      <c r="A81" s="2">
        <v>45828</v>
      </c>
      <c r="B81" s="3">
        <v>6699.5</v>
      </c>
      <c r="D81" s="2">
        <v>45828</v>
      </c>
      <c r="E81" s="3">
        <v>827.3</v>
      </c>
      <c r="G81" s="3">
        <v>1680000</v>
      </c>
      <c r="H81" s="3">
        <f t="shared" si="3"/>
        <v>11255160000</v>
      </c>
      <c r="J81" s="3">
        <v>37500000</v>
      </c>
      <c r="K81" s="3"/>
      <c r="L81" s="3">
        <f t="shared" si="4"/>
        <v>31023750000</v>
      </c>
      <c r="N81" s="4">
        <f t="shared" si="5"/>
        <v>0.6372082678593014</v>
      </c>
    </row>
    <row r="82" spans="1:14" x14ac:dyDescent="0.45">
      <c r="A82" s="2">
        <v>45827</v>
      </c>
      <c r="B82" s="3">
        <v>6605</v>
      </c>
      <c r="D82" s="2">
        <v>45827</v>
      </c>
      <c r="E82" s="3">
        <v>833.4</v>
      </c>
      <c r="G82" s="3">
        <v>1680000</v>
      </c>
      <c r="H82" s="3">
        <f t="shared" si="3"/>
        <v>11096400000</v>
      </c>
      <c r="J82" s="3">
        <v>37500000</v>
      </c>
      <c r="K82" s="3"/>
      <c r="L82" s="3">
        <f t="shared" si="4"/>
        <v>31252500000</v>
      </c>
      <c r="N82" s="4">
        <f t="shared" si="5"/>
        <v>0.64494360451163901</v>
      </c>
    </row>
    <row r="83" spans="1:14" x14ac:dyDescent="0.45">
      <c r="A83" s="2">
        <v>45826</v>
      </c>
      <c r="B83" s="3">
        <v>6697</v>
      </c>
      <c r="D83" s="2">
        <v>45826</v>
      </c>
      <c r="E83" s="3">
        <v>848.85</v>
      </c>
      <c r="G83" s="3">
        <v>1680000</v>
      </c>
      <c r="H83" s="3">
        <f t="shared" si="3"/>
        <v>11250960000</v>
      </c>
      <c r="J83" s="3">
        <v>37500000</v>
      </c>
      <c r="K83" s="3"/>
      <c r="L83" s="3">
        <f t="shared" si="4"/>
        <v>31831875000</v>
      </c>
      <c r="N83" s="4">
        <f t="shared" si="5"/>
        <v>0.6465505095128703</v>
      </c>
    </row>
    <row r="84" spans="1:14" x14ac:dyDescent="0.45">
      <c r="A84" s="2">
        <v>45825</v>
      </c>
      <c r="B84" s="3">
        <v>6599</v>
      </c>
      <c r="D84" s="2">
        <v>45825</v>
      </c>
      <c r="E84" s="3">
        <v>820.85</v>
      </c>
      <c r="G84" s="3">
        <v>1680000</v>
      </c>
      <c r="H84" s="3">
        <f t="shared" si="3"/>
        <v>11086320000</v>
      </c>
      <c r="J84" s="3">
        <v>37500000</v>
      </c>
      <c r="K84" s="3"/>
      <c r="L84" s="3">
        <f t="shared" si="4"/>
        <v>30781875000</v>
      </c>
      <c r="N84" s="4">
        <f t="shared" si="5"/>
        <v>0.63984260218066646</v>
      </c>
    </row>
    <row r="85" spans="1:14" x14ac:dyDescent="0.45">
      <c r="A85" s="2">
        <v>45824</v>
      </c>
      <c r="B85" s="3">
        <v>6635</v>
      </c>
      <c r="D85" s="2">
        <v>45824</v>
      </c>
      <c r="E85" s="3">
        <v>817.5</v>
      </c>
      <c r="G85" s="3">
        <v>1680000</v>
      </c>
      <c r="H85" s="3">
        <f t="shared" si="3"/>
        <v>11146800000</v>
      </c>
      <c r="J85" s="3">
        <v>37500000</v>
      </c>
      <c r="K85" s="3"/>
      <c r="L85" s="3">
        <f t="shared" si="4"/>
        <v>30656250000</v>
      </c>
      <c r="N85" s="4">
        <f t="shared" si="5"/>
        <v>0.63639388379204886</v>
      </c>
    </row>
    <row r="86" spans="1:14" x14ac:dyDescent="0.45">
      <c r="A86" s="2">
        <v>45821</v>
      </c>
      <c r="B86" s="3">
        <v>6663.1</v>
      </c>
      <c r="D86" s="2">
        <v>45821</v>
      </c>
      <c r="E86" s="3">
        <v>827.15</v>
      </c>
      <c r="G86" s="3">
        <v>1680000</v>
      </c>
      <c r="H86" s="3">
        <f t="shared" si="3"/>
        <v>11194008000</v>
      </c>
      <c r="J86" s="3">
        <v>37500000</v>
      </c>
      <c r="K86" s="3"/>
      <c r="L86" s="3">
        <f t="shared" si="4"/>
        <v>31018125000</v>
      </c>
      <c r="N86" s="4">
        <f t="shared" si="5"/>
        <v>0.63911396965483891</v>
      </c>
    </row>
    <row r="87" spans="1:14" x14ac:dyDescent="0.45">
      <c r="A87" s="2">
        <v>45820</v>
      </c>
      <c r="B87" s="3">
        <v>6714</v>
      </c>
      <c r="D87" s="2">
        <v>45820</v>
      </c>
      <c r="E87" s="3">
        <v>838.7</v>
      </c>
      <c r="G87" s="3">
        <v>1680000</v>
      </c>
      <c r="H87" s="3">
        <f t="shared" si="3"/>
        <v>11279520000</v>
      </c>
      <c r="J87" s="3">
        <v>37500000</v>
      </c>
      <c r="K87" s="3"/>
      <c r="L87" s="3">
        <f t="shared" si="4"/>
        <v>31451250000</v>
      </c>
      <c r="N87" s="4">
        <f t="shared" si="5"/>
        <v>0.64136496959580303</v>
      </c>
    </row>
    <row r="88" spans="1:14" x14ac:dyDescent="0.45">
      <c r="A88" s="2">
        <v>45819</v>
      </c>
      <c r="B88" s="3">
        <v>6673.65</v>
      </c>
      <c r="D88" s="2">
        <v>45819</v>
      </c>
      <c r="E88" s="3">
        <v>848.7</v>
      </c>
      <c r="G88" s="3">
        <v>1680000</v>
      </c>
      <c r="H88" s="3">
        <f t="shared" si="3"/>
        <v>11211732000</v>
      </c>
      <c r="J88" s="3">
        <v>37500000</v>
      </c>
      <c r="K88" s="3"/>
      <c r="L88" s="3">
        <f t="shared" si="4"/>
        <v>31826250000</v>
      </c>
      <c r="N88" s="4">
        <f t="shared" si="5"/>
        <v>0.64772060798868858</v>
      </c>
    </row>
    <row r="89" spans="1:14" x14ac:dyDescent="0.45">
      <c r="A89" s="2">
        <v>45818</v>
      </c>
      <c r="B89" s="3">
        <v>6605.25</v>
      </c>
      <c r="D89" s="2">
        <v>45818</v>
      </c>
      <c r="E89" s="3">
        <v>858.85</v>
      </c>
      <c r="G89" s="3">
        <v>1680000</v>
      </c>
      <c r="H89" s="3">
        <f t="shared" si="3"/>
        <v>11096820000</v>
      </c>
      <c r="J89" s="3">
        <v>37500000</v>
      </c>
      <c r="K89" s="3"/>
      <c r="L89" s="3">
        <f t="shared" si="4"/>
        <v>32206875000</v>
      </c>
      <c r="N89" s="4">
        <f t="shared" si="5"/>
        <v>0.65545182511497935</v>
      </c>
    </row>
    <row r="90" spans="1:14" x14ac:dyDescent="0.45">
      <c r="A90" s="2">
        <v>45817</v>
      </c>
      <c r="B90" s="3">
        <v>6514.95</v>
      </c>
      <c r="D90" s="2">
        <v>45817</v>
      </c>
      <c r="E90" s="3">
        <v>869.75</v>
      </c>
      <c r="G90" s="3">
        <v>1680000</v>
      </c>
      <c r="H90" s="3">
        <f t="shared" si="3"/>
        <v>10945116000</v>
      </c>
      <c r="J90" s="3">
        <v>37500000</v>
      </c>
      <c r="K90" s="3"/>
      <c r="L90" s="3">
        <f t="shared" si="4"/>
        <v>32615625000</v>
      </c>
      <c r="N90" s="4">
        <f t="shared" si="5"/>
        <v>0.66442108651911469</v>
      </c>
    </row>
    <row r="91" spans="1:14" x14ac:dyDescent="0.45">
      <c r="A91" s="2">
        <v>45814</v>
      </c>
      <c r="B91" s="3">
        <v>6414.1</v>
      </c>
      <c r="D91" s="2">
        <v>45814</v>
      </c>
      <c r="E91" s="3">
        <v>864.05</v>
      </c>
      <c r="G91" s="3">
        <v>1680000</v>
      </c>
      <c r="H91" s="3">
        <f t="shared" si="3"/>
        <v>10775688000</v>
      </c>
      <c r="J91" s="3">
        <v>37500000</v>
      </c>
      <c r="K91" s="3"/>
      <c r="L91" s="3">
        <f t="shared" si="4"/>
        <v>32401875000</v>
      </c>
      <c r="N91" s="4">
        <f t="shared" si="5"/>
        <v>0.66743628262253341</v>
      </c>
    </row>
    <row r="92" spans="1:14" x14ac:dyDescent="0.45">
      <c r="A92" s="2">
        <v>45813</v>
      </c>
      <c r="B92" s="3">
        <v>6430</v>
      </c>
      <c r="D92" s="2">
        <v>45813</v>
      </c>
      <c r="E92" s="3">
        <v>874.5</v>
      </c>
      <c r="G92" s="3">
        <v>1680000</v>
      </c>
      <c r="H92" s="3">
        <f t="shared" si="3"/>
        <v>10802400000</v>
      </c>
      <c r="J92" s="3">
        <v>37500000</v>
      </c>
      <c r="K92" s="3"/>
      <c r="L92" s="3">
        <f t="shared" si="4"/>
        <v>32793750000</v>
      </c>
      <c r="N92" s="4">
        <f t="shared" si="5"/>
        <v>0.67059576901086337</v>
      </c>
    </row>
    <row r="93" spans="1:14" x14ac:dyDescent="0.45">
      <c r="A93" s="2">
        <v>45812</v>
      </c>
      <c r="B93" s="3">
        <v>6339</v>
      </c>
      <c r="D93" s="2">
        <v>45812</v>
      </c>
      <c r="E93" s="3">
        <v>862.25</v>
      </c>
      <c r="G93" s="3">
        <v>1680000</v>
      </c>
      <c r="H93" s="3">
        <f t="shared" si="3"/>
        <v>10649520000</v>
      </c>
      <c r="J93" s="3">
        <v>37500000</v>
      </c>
      <c r="K93" s="3"/>
      <c r="L93" s="3">
        <f t="shared" si="4"/>
        <v>32334375000</v>
      </c>
      <c r="N93" s="4">
        <f t="shared" si="5"/>
        <v>0.670644012757321</v>
      </c>
    </row>
    <row r="94" spans="1:14" x14ac:dyDescent="0.45">
      <c r="A94" s="2">
        <v>45811</v>
      </c>
      <c r="B94" s="3">
        <v>6250</v>
      </c>
      <c r="D94" s="2">
        <v>45811</v>
      </c>
      <c r="E94" s="3">
        <v>838.4</v>
      </c>
      <c r="G94" s="3">
        <v>1680000</v>
      </c>
      <c r="H94" s="3">
        <f t="shared" si="3"/>
        <v>10500000000</v>
      </c>
      <c r="J94" s="3">
        <v>37500000</v>
      </c>
      <c r="K94" s="3"/>
      <c r="L94" s="3">
        <f t="shared" si="4"/>
        <v>31440000000</v>
      </c>
      <c r="N94" s="4">
        <f t="shared" si="5"/>
        <v>0.66603053435114501</v>
      </c>
    </row>
    <row r="95" spans="1:14" x14ac:dyDescent="0.45">
      <c r="A95" s="2">
        <v>45810</v>
      </c>
      <c r="B95" s="3">
        <v>6224.6</v>
      </c>
      <c r="D95" s="2">
        <v>45810</v>
      </c>
      <c r="E95" s="3">
        <v>819.2</v>
      </c>
      <c r="G95" s="3">
        <v>1680000</v>
      </c>
      <c r="H95" s="3">
        <f t="shared" si="3"/>
        <v>10457328000</v>
      </c>
      <c r="J95" s="3">
        <v>37500000</v>
      </c>
      <c r="K95" s="3"/>
      <c r="L95" s="3">
        <f t="shared" si="4"/>
        <v>30720000000</v>
      </c>
      <c r="N95" s="4">
        <f t="shared" si="5"/>
        <v>0.65959218749999993</v>
      </c>
    </row>
    <row r="96" spans="1:14" x14ac:dyDescent="0.45">
      <c r="A96" s="2">
        <v>45807</v>
      </c>
      <c r="B96" s="3">
        <v>6200</v>
      </c>
      <c r="D96" s="2">
        <v>45807</v>
      </c>
      <c r="E96" s="3">
        <v>850.7</v>
      </c>
      <c r="G96" s="3">
        <v>1680000</v>
      </c>
      <c r="H96" s="3">
        <f t="shared" si="3"/>
        <v>10416000000</v>
      </c>
      <c r="J96" s="3">
        <v>37500000</v>
      </c>
      <c r="K96" s="3"/>
      <c r="L96" s="3">
        <f t="shared" si="4"/>
        <v>31901250000</v>
      </c>
      <c r="N96" s="4">
        <f t="shared" si="5"/>
        <v>0.67349241800869875</v>
      </c>
    </row>
    <row r="97" spans="1:14" x14ac:dyDescent="0.45">
      <c r="A97" s="2">
        <v>45806</v>
      </c>
      <c r="B97" s="3">
        <v>6130.15</v>
      </c>
      <c r="D97" s="2">
        <v>45806</v>
      </c>
      <c r="E97" s="3">
        <v>836.75</v>
      </c>
      <c r="G97" s="3">
        <v>1680000</v>
      </c>
      <c r="H97" s="3">
        <f t="shared" si="3"/>
        <v>10298652000</v>
      </c>
      <c r="J97" s="3">
        <v>37500000</v>
      </c>
      <c r="K97" s="3"/>
      <c r="L97" s="3">
        <f t="shared" si="4"/>
        <v>31378125000</v>
      </c>
      <c r="N97" s="4">
        <f t="shared" si="5"/>
        <v>0.67178880191216006</v>
      </c>
    </row>
    <row r="98" spans="1:14" x14ac:dyDescent="0.45">
      <c r="A98" s="2">
        <v>45805</v>
      </c>
      <c r="B98" s="3">
        <v>6061</v>
      </c>
      <c r="D98" s="2">
        <v>45805</v>
      </c>
      <c r="E98" s="3">
        <v>825.3</v>
      </c>
      <c r="G98" s="3">
        <v>1680000</v>
      </c>
      <c r="H98" s="3">
        <f t="shared" si="3"/>
        <v>10182480000</v>
      </c>
      <c r="J98" s="3">
        <v>37500000</v>
      </c>
      <c r="K98" s="3"/>
      <c r="L98" s="3">
        <f t="shared" si="4"/>
        <v>30948750000</v>
      </c>
      <c r="N98" s="4">
        <f t="shared" si="5"/>
        <v>0.67098897370653088</v>
      </c>
    </row>
    <row r="99" spans="1:14" x14ac:dyDescent="0.45">
      <c r="A99" s="2">
        <v>45804</v>
      </c>
      <c r="B99" s="3">
        <v>6150</v>
      </c>
      <c r="D99" s="2">
        <v>45804</v>
      </c>
      <c r="E99" s="3">
        <v>830.35</v>
      </c>
      <c r="G99" s="3">
        <v>1680000</v>
      </c>
      <c r="H99" s="3">
        <f t="shared" si="3"/>
        <v>10332000000</v>
      </c>
      <c r="J99" s="3">
        <v>37500000</v>
      </c>
      <c r="K99" s="3"/>
      <c r="L99" s="3">
        <f t="shared" si="4"/>
        <v>31138125000</v>
      </c>
      <c r="N99" s="4">
        <f t="shared" si="5"/>
        <v>0.66818811344613716</v>
      </c>
    </row>
    <row r="100" spans="1:14" x14ac:dyDescent="0.45">
      <c r="A100" s="2">
        <v>45803</v>
      </c>
      <c r="B100" s="3">
        <v>6150</v>
      </c>
      <c r="D100" s="2">
        <v>45803</v>
      </c>
      <c r="E100" s="3">
        <v>812.5</v>
      </c>
      <c r="G100" s="3">
        <v>1680000</v>
      </c>
      <c r="H100" s="3">
        <f t="shared" si="3"/>
        <v>10332000000</v>
      </c>
      <c r="J100" s="3">
        <v>37500000</v>
      </c>
      <c r="K100" s="3"/>
      <c r="L100" s="3">
        <f t="shared" si="4"/>
        <v>30468750000</v>
      </c>
      <c r="N100" s="4">
        <f t="shared" si="5"/>
        <v>0.66089846153846155</v>
      </c>
    </row>
    <row r="101" spans="1:14" x14ac:dyDescent="0.45">
      <c r="A101" s="2">
        <v>45800</v>
      </c>
      <c r="B101" s="3">
        <v>6150</v>
      </c>
      <c r="D101" s="2">
        <v>45800</v>
      </c>
      <c r="E101" s="3">
        <v>801.1</v>
      </c>
      <c r="G101" s="3">
        <v>1680000</v>
      </c>
      <c r="H101" s="3">
        <f t="shared" si="3"/>
        <v>10332000000</v>
      </c>
      <c r="J101" s="3">
        <v>37500000</v>
      </c>
      <c r="K101" s="3"/>
      <c r="L101" s="3">
        <f t="shared" si="4"/>
        <v>30041250000</v>
      </c>
      <c r="N101" s="4">
        <f t="shared" si="5"/>
        <v>0.65607289976282612</v>
      </c>
    </row>
    <row r="102" spans="1:14" x14ac:dyDescent="0.45">
      <c r="A102" s="2">
        <v>45799</v>
      </c>
      <c r="B102" s="3">
        <v>6097.25</v>
      </c>
      <c r="D102" s="2">
        <v>45799</v>
      </c>
      <c r="E102" s="3">
        <v>795.9</v>
      </c>
      <c r="G102" s="3">
        <v>1680000</v>
      </c>
      <c r="H102" s="3">
        <f t="shared" si="3"/>
        <v>10243380000</v>
      </c>
      <c r="J102" s="3">
        <v>37500000</v>
      </c>
      <c r="K102" s="3"/>
      <c r="L102" s="3">
        <f t="shared" si="4"/>
        <v>29846250000</v>
      </c>
      <c r="N102" s="4">
        <f t="shared" si="5"/>
        <v>0.65679507475813548</v>
      </c>
    </row>
    <row r="103" spans="1:14" x14ac:dyDescent="0.45">
      <c r="A103" s="2">
        <v>45798</v>
      </c>
      <c r="B103" s="3">
        <v>5980.55</v>
      </c>
      <c r="D103" s="2">
        <v>45798</v>
      </c>
      <c r="E103" s="3">
        <v>798.6</v>
      </c>
      <c r="G103" s="3">
        <v>1680000</v>
      </c>
      <c r="H103" s="3">
        <f t="shared" si="3"/>
        <v>10047324000</v>
      </c>
      <c r="J103" s="3">
        <v>37500000</v>
      </c>
      <c r="K103" s="3"/>
      <c r="L103" s="3">
        <f t="shared" si="4"/>
        <v>29947500000</v>
      </c>
      <c r="N103" s="4">
        <f t="shared" si="5"/>
        <v>0.6645020786376159</v>
      </c>
    </row>
    <row r="104" spans="1:14" x14ac:dyDescent="0.45">
      <c r="A104" s="2">
        <v>45797</v>
      </c>
      <c r="B104" s="3">
        <v>5920</v>
      </c>
      <c r="D104" s="2">
        <v>45797</v>
      </c>
      <c r="E104" s="3">
        <v>803.6</v>
      </c>
      <c r="G104" s="3">
        <v>1680000</v>
      </c>
      <c r="H104" s="3">
        <f t="shared" si="3"/>
        <v>9945600000</v>
      </c>
      <c r="J104" s="3">
        <v>37500000</v>
      </c>
      <c r="K104" s="3"/>
      <c r="L104" s="3">
        <f t="shared" si="4"/>
        <v>30135000000</v>
      </c>
      <c r="N104" s="4">
        <f t="shared" si="5"/>
        <v>0.66996515679442514</v>
      </c>
    </row>
    <row r="105" spans="1:14" x14ac:dyDescent="0.45">
      <c r="A105" s="2">
        <v>45796</v>
      </c>
      <c r="B105" s="3">
        <v>5850</v>
      </c>
      <c r="D105" s="2">
        <v>45796</v>
      </c>
      <c r="E105" s="3">
        <v>795.75</v>
      </c>
      <c r="G105" s="3">
        <v>1680000</v>
      </c>
      <c r="H105" s="3">
        <f t="shared" si="3"/>
        <v>9828000000</v>
      </c>
      <c r="J105" s="3">
        <v>37500000</v>
      </c>
      <c r="K105" s="3"/>
      <c r="L105" s="3">
        <f t="shared" si="4"/>
        <v>29840625000</v>
      </c>
      <c r="N105" s="4">
        <f t="shared" si="5"/>
        <v>0.67065032987747408</v>
      </c>
    </row>
    <row r="106" spans="1:14" x14ac:dyDescent="0.45">
      <c r="A106" s="2">
        <v>45793</v>
      </c>
      <c r="B106" s="3">
        <v>5800</v>
      </c>
      <c r="D106" s="2">
        <v>45793</v>
      </c>
      <c r="E106" s="3">
        <v>776.5</v>
      </c>
      <c r="G106" s="3">
        <v>1680000</v>
      </c>
      <c r="H106" s="3">
        <f t="shared" si="3"/>
        <v>9744000000</v>
      </c>
      <c r="J106" s="3">
        <v>37500000</v>
      </c>
      <c r="K106" s="3"/>
      <c r="L106" s="3">
        <f t="shared" si="4"/>
        <v>29118750000</v>
      </c>
      <c r="N106" s="4">
        <f t="shared" si="5"/>
        <v>0.66537025112685133</v>
      </c>
    </row>
    <row r="107" spans="1:14" x14ac:dyDescent="0.45">
      <c r="A107" s="2">
        <v>45792</v>
      </c>
      <c r="B107" s="3">
        <v>5800</v>
      </c>
      <c r="D107" s="2">
        <v>45792</v>
      </c>
      <c r="E107" s="3">
        <v>783.7</v>
      </c>
      <c r="G107" s="3">
        <v>1680000</v>
      </c>
      <c r="H107" s="3">
        <f t="shared" si="3"/>
        <v>9744000000</v>
      </c>
      <c r="J107" s="3">
        <v>37500000</v>
      </c>
      <c r="K107" s="3"/>
      <c r="L107" s="3">
        <f t="shared" si="4"/>
        <v>29388750000</v>
      </c>
      <c r="N107" s="4">
        <f t="shared" si="5"/>
        <v>0.66844455786653056</v>
      </c>
    </row>
    <row r="108" spans="1:14" x14ac:dyDescent="0.45">
      <c r="A108" s="2">
        <v>45791</v>
      </c>
      <c r="B108" s="3">
        <v>5810</v>
      </c>
      <c r="D108" s="2">
        <v>45791</v>
      </c>
      <c r="E108" s="3">
        <v>806.1</v>
      </c>
      <c r="G108" s="3">
        <v>1680000</v>
      </c>
      <c r="H108" s="3">
        <f t="shared" si="3"/>
        <v>9760800000</v>
      </c>
      <c r="J108" s="3">
        <v>37500000</v>
      </c>
      <c r="K108" s="3"/>
      <c r="L108" s="3">
        <f t="shared" si="4"/>
        <v>30228750000</v>
      </c>
      <c r="N108" s="4">
        <f t="shared" si="5"/>
        <v>0.67710209651408015</v>
      </c>
    </row>
    <row r="109" spans="1:14" x14ac:dyDescent="0.45">
      <c r="A109" s="2">
        <v>45790</v>
      </c>
      <c r="B109" s="3">
        <v>5799.65</v>
      </c>
      <c r="D109" s="2">
        <v>45790</v>
      </c>
      <c r="E109" s="3">
        <v>801.1</v>
      </c>
      <c r="G109" s="3">
        <v>1680000</v>
      </c>
      <c r="H109" s="3">
        <f t="shared" si="3"/>
        <v>9743412000</v>
      </c>
      <c r="J109" s="3">
        <v>37500000</v>
      </c>
      <c r="K109" s="3"/>
      <c r="L109" s="3">
        <f t="shared" si="4"/>
        <v>30041250000</v>
      </c>
      <c r="N109" s="4">
        <f t="shared" si="5"/>
        <v>0.67566555985519905</v>
      </c>
    </row>
    <row r="110" spans="1:14" x14ac:dyDescent="0.45">
      <c r="A110" s="2">
        <v>45789</v>
      </c>
      <c r="B110" s="3">
        <v>5643.95</v>
      </c>
      <c r="D110" s="2">
        <v>45789</v>
      </c>
      <c r="E110" s="3">
        <v>780.8</v>
      </c>
      <c r="G110" s="3">
        <v>1680000</v>
      </c>
      <c r="H110" s="3">
        <f t="shared" si="3"/>
        <v>9481836000</v>
      </c>
      <c r="J110" s="3">
        <v>37500000</v>
      </c>
      <c r="K110" s="3"/>
      <c r="L110" s="3">
        <f t="shared" si="4"/>
        <v>29280000000</v>
      </c>
      <c r="N110" s="4">
        <f t="shared" si="5"/>
        <v>0.6761668032786885</v>
      </c>
    </row>
    <row r="111" spans="1:14" x14ac:dyDescent="0.45">
      <c r="A111" s="2">
        <v>45786</v>
      </c>
      <c r="B111" s="3">
        <v>5552.2</v>
      </c>
      <c r="D111" s="2">
        <v>45786</v>
      </c>
      <c r="E111" s="3">
        <v>757.5</v>
      </c>
      <c r="G111" s="3">
        <v>1680000</v>
      </c>
      <c r="H111" s="3">
        <f t="shared" si="3"/>
        <v>9327696000</v>
      </c>
      <c r="J111" s="3">
        <v>37500000</v>
      </c>
      <c r="K111" s="3"/>
      <c r="L111" s="3">
        <f t="shared" si="4"/>
        <v>28406250000</v>
      </c>
      <c r="N111" s="4">
        <f t="shared" si="5"/>
        <v>0.67163226402640264</v>
      </c>
    </row>
    <row r="112" spans="1:14" x14ac:dyDescent="0.45">
      <c r="A112" s="2">
        <v>45785</v>
      </c>
      <c r="B112" s="3">
        <v>5602</v>
      </c>
      <c r="D112" s="2">
        <v>45785</v>
      </c>
      <c r="E112" s="3">
        <v>734.4</v>
      </c>
      <c r="G112" s="3">
        <v>1680000</v>
      </c>
      <c r="H112" s="3">
        <f t="shared" si="3"/>
        <v>9411360000</v>
      </c>
      <c r="J112" s="3">
        <v>37500000</v>
      </c>
      <c r="K112" s="3"/>
      <c r="L112" s="3">
        <f t="shared" si="4"/>
        <v>27540000000</v>
      </c>
      <c r="N112" s="4">
        <f t="shared" si="5"/>
        <v>0.6582657952069717</v>
      </c>
    </row>
    <row r="113" spans="1:14" x14ac:dyDescent="0.45">
      <c r="A113" s="2">
        <v>45784</v>
      </c>
      <c r="B113" s="3">
        <v>5655</v>
      </c>
      <c r="D113" s="2">
        <v>45784</v>
      </c>
      <c r="E113" s="3">
        <v>731.6</v>
      </c>
      <c r="G113" s="3">
        <v>1680000</v>
      </c>
      <c r="H113" s="3">
        <f t="shared" si="3"/>
        <v>9500400000</v>
      </c>
      <c r="J113" s="3">
        <v>37500000</v>
      </c>
      <c r="K113" s="3"/>
      <c r="L113" s="3">
        <f t="shared" si="4"/>
        <v>27435000000</v>
      </c>
      <c r="N113" s="4">
        <f t="shared" si="5"/>
        <v>0.65371241115363588</v>
      </c>
    </row>
    <row r="114" spans="1:14" x14ac:dyDescent="0.45">
      <c r="A114" s="2">
        <v>45783</v>
      </c>
      <c r="B114" s="3">
        <v>5692.85</v>
      </c>
      <c r="D114" s="2">
        <v>45783</v>
      </c>
      <c r="E114" s="3">
        <v>725</v>
      </c>
      <c r="G114" s="3">
        <v>1680000</v>
      </c>
      <c r="H114" s="3">
        <f t="shared" si="3"/>
        <v>9563988000</v>
      </c>
      <c r="J114" s="3">
        <v>37500000</v>
      </c>
      <c r="K114" s="3"/>
      <c r="L114" s="3">
        <f t="shared" si="4"/>
        <v>27187500000</v>
      </c>
      <c r="N114" s="4">
        <f t="shared" si="5"/>
        <v>0.64822113103448276</v>
      </c>
    </row>
    <row r="115" spans="1:14" x14ac:dyDescent="0.45">
      <c r="A115" s="2">
        <v>45782</v>
      </c>
      <c r="B115" s="3">
        <v>5600</v>
      </c>
      <c r="D115" s="2">
        <v>45782</v>
      </c>
      <c r="E115" s="3">
        <v>724.8</v>
      </c>
      <c r="G115" s="3">
        <v>1680000</v>
      </c>
      <c r="H115" s="3">
        <f t="shared" si="3"/>
        <v>9408000000</v>
      </c>
      <c r="J115" s="3">
        <v>37500000</v>
      </c>
      <c r="K115" s="3"/>
      <c r="L115" s="3">
        <f t="shared" si="4"/>
        <v>27180000000</v>
      </c>
      <c r="N115" s="4">
        <f t="shared" si="5"/>
        <v>0.65386313465783663</v>
      </c>
    </row>
    <row r="116" spans="1:14" x14ac:dyDescent="0.45">
      <c r="A116" s="2">
        <v>45779</v>
      </c>
      <c r="B116" s="3">
        <v>5550</v>
      </c>
      <c r="D116" s="2">
        <v>45779</v>
      </c>
      <c r="E116" s="3">
        <v>719.8</v>
      </c>
      <c r="G116" s="3">
        <v>1680000</v>
      </c>
      <c r="H116" s="3">
        <f t="shared" si="3"/>
        <v>9324000000</v>
      </c>
      <c r="J116" s="3">
        <v>37500000</v>
      </c>
      <c r="K116" s="3"/>
      <c r="L116" s="3">
        <f t="shared" si="4"/>
        <v>26992500000</v>
      </c>
      <c r="N116" s="4">
        <f t="shared" si="5"/>
        <v>0.65457071408724643</v>
      </c>
    </row>
    <row r="117" spans="1:14" x14ac:dyDescent="0.45">
      <c r="A117" s="2">
        <v>45777</v>
      </c>
      <c r="B117" s="3">
        <v>5555</v>
      </c>
      <c r="D117" s="2">
        <v>45777</v>
      </c>
      <c r="E117" s="3">
        <v>732.35</v>
      </c>
      <c r="G117" s="3">
        <v>1680000</v>
      </c>
      <c r="H117" s="3">
        <f t="shared" si="3"/>
        <v>9332400000</v>
      </c>
      <c r="J117" s="3">
        <v>37500000</v>
      </c>
      <c r="K117" s="3"/>
      <c r="L117" s="3">
        <f t="shared" si="4"/>
        <v>27463125000</v>
      </c>
      <c r="N117" s="4">
        <f t="shared" si="5"/>
        <v>0.66018433808971122</v>
      </c>
    </row>
    <row r="118" spans="1:14" x14ac:dyDescent="0.45">
      <c r="A118" s="2">
        <v>45776</v>
      </c>
      <c r="B118" s="3">
        <v>5549</v>
      </c>
      <c r="D118" s="2">
        <v>45776</v>
      </c>
      <c r="E118" s="3">
        <v>747.35</v>
      </c>
      <c r="G118" s="3">
        <v>1680000</v>
      </c>
      <c r="H118" s="3">
        <f t="shared" si="3"/>
        <v>9322320000</v>
      </c>
      <c r="J118" s="3">
        <v>37500000</v>
      </c>
      <c r="K118" s="3"/>
      <c r="L118" s="3">
        <f t="shared" si="4"/>
        <v>28025625000</v>
      </c>
      <c r="N118" s="4">
        <f t="shared" si="5"/>
        <v>0.66736442095403758</v>
      </c>
    </row>
    <row r="119" spans="1:14" x14ac:dyDescent="0.45">
      <c r="A119" s="2">
        <v>45775</v>
      </c>
      <c r="B119" s="3">
        <v>5586</v>
      </c>
      <c r="D119" s="2">
        <v>45775</v>
      </c>
      <c r="E119" s="3">
        <v>749.25</v>
      </c>
      <c r="G119" s="3">
        <v>1680000</v>
      </c>
      <c r="H119" s="3">
        <f t="shared" si="3"/>
        <v>9384480000</v>
      </c>
      <c r="J119" s="3">
        <v>37500000</v>
      </c>
      <c r="K119" s="3"/>
      <c r="L119" s="3">
        <f t="shared" si="4"/>
        <v>28096875000</v>
      </c>
      <c r="N119" s="4">
        <f t="shared" si="5"/>
        <v>0.66599559559559562</v>
      </c>
    </row>
    <row r="120" spans="1:14" x14ac:dyDescent="0.45">
      <c r="A120" s="2">
        <v>45772</v>
      </c>
      <c r="B120" s="3">
        <v>5584.05</v>
      </c>
      <c r="D120" s="2">
        <v>45772</v>
      </c>
      <c r="E120" s="3">
        <v>750.25</v>
      </c>
      <c r="G120" s="3">
        <v>1680000</v>
      </c>
      <c r="H120" s="3">
        <f t="shared" si="3"/>
        <v>9381204000</v>
      </c>
      <c r="J120" s="3">
        <v>37500000</v>
      </c>
      <c r="K120" s="3"/>
      <c r="L120" s="3">
        <f t="shared" si="4"/>
        <v>28134375000</v>
      </c>
      <c r="N120" s="4">
        <f t="shared" si="5"/>
        <v>0.66655722759080305</v>
      </c>
    </row>
    <row r="121" spans="1:14" x14ac:dyDescent="0.45">
      <c r="A121" s="2">
        <v>45771</v>
      </c>
      <c r="B121" s="3">
        <v>5601.05</v>
      </c>
      <c r="D121" s="2">
        <v>45771</v>
      </c>
      <c r="E121" s="3">
        <v>748.1</v>
      </c>
      <c r="G121" s="3">
        <v>1680000</v>
      </c>
      <c r="H121" s="3">
        <f t="shared" si="3"/>
        <v>9409764000</v>
      </c>
      <c r="J121" s="3">
        <v>37500000</v>
      </c>
      <c r="K121" s="3"/>
      <c r="L121" s="3">
        <f t="shared" si="4"/>
        <v>28053750000</v>
      </c>
      <c r="N121" s="4">
        <f t="shared" si="5"/>
        <v>0.6645808849084347</v>
      </c>
    </row>
    <row r="122" spans="1:14" x14ac:dyDescent="0.45">
      <c r="A122" s="2">
        <v>45770</v>
      </c>
      <c r="B122" s="3">
        <v>5520.95</v>
      </c>
      <c r="D122" s="2">
        <v>45770</v>
      </c>
      <c r="E122" s="3">
        <v>761.8</v>
      </c>
      <c r="G122" s="3">
        <v>1680000</v>
      </c>
      <c r="H122" s="3">
        <f t="shared" si="3"/>
        <v>9275196000</v>
      </c>
      <c r="J122" s="3">
        <v>37500000</v>
      </c>
      <c r="K122" s="3"/>
      <c r="L122" s="3">
        <f t="shared" si="4"/>
        <v>28567500000</v>
      </c>
      <c r="N122" s="4">
        <f t="shared" si="5"/>
        <v>0.67532349698083483</v>
      </c>
    </row>
    <row r="123" spans="1:14" x14ac:dyDescent="0.45">
      <c r="A123" s="2">
        <v>45769</v>
      </c>
      <c r="B123" s="3">
        <v>5530</v>
      </c>
      <c r="D123" s="2">
        <v>45769</v>
      </c>
      <c r="E123" s="3">
        <v>751.6</v>
      </c>
      <c r="G123" s="3">
        <v>1680000</v>
      </c>
      <c r="H123" s="3">
        <f t="shared" si="3"/>
        <v>9290400000</v>
      </c>
      <c r="J123" s="3">
        <v>37500000</v>
      </c>
      <c r="K123" s="3"/>
      <c r="L123" s="3">
        <f t="shared" si="4"/>
        <v>28185000000</v>
      </c>
      <c r="N123" s="4">
        <f t="shared" si="5"/>
        <v>0.67037786056412985</v>
      </c>
    </row>
    <row r="124" spans="1:14" x14ac:dyDescent="0.45">
      <c r="A124" s="2">
        <v>45768</v>
      </c>
      <c r="B124" s="3">
        <v>5565.4</v>
      </c>
      <c r="D124" s="2">
        <v>45768</v>
      </c>
      <c r="E124" s="3">
        <v>739.35</v>
      </c>
      <c r="G124" s="3">
        <v>1680000</v>
      </c>
      <c r="H124" s="3">
        <f t="shared" si="3"/>
        <v>9349872000</v>
      </c>
      <c r="J124" s="3">
        <v>37500000</v>
      </c>
      <c r="K124" s="3"/>
      <c r="L124" s="3">
        <f t="shared" si="4"/>
        <v>27725625000</v>
      </c>
      <c r="N124" s="4">
        <f t="shared" si="5"/>
        <v>0.66277146141881382</v>
      </c>
    </row>
    <row r="125" spans="1:14" x14ac:dyDescent="0.45">
      <c r="A125" s="2">
        <v>45764</v>
      </c>
      <c r="B125" s="3">
        <v>5451.05</v>
      </c>
      <c r="D125" s="2">
        <v>45764</v>
      </c>
      <c r="E125" s="3">
        <v>726.85</v>
      </c>
      <c r="G125" s="3">
        <v>1680000</v>
      </c>
      <c r="H125" s="3">
        <f t="shared" si="3"/>
        <v>9157764000</v>
      </c>
      <c r="J125" s="3">
        <v>37500000</v>
      </c>
      <c r="K125" s="3"/>
      <c r="L125" s="3">
        <f t="shared" si="4"/>
        <v>27256875000</v>
      </c>
      <c r="N125" s="4">
        <f t="shared" si="5"/>
        <v>0.66402003164339274</v>
      </c>
    </row>
    <row r="126" spans="1:14" x14ac:dyDescent="0.45">
      <c r="A126" s="2">
        <v>45763</v>
      </c>
      <c r="B126" s="3">
        <v>5337.5</v>
      </c>
      <c r="D126" s="2">
        <v>45763</v>
      </c>
      <c r="E126" s="3">
        <v>736.15</v>
      </c>
      <c r="G126" s="3">
        <v>1680000</v>
      </c>
      <c r="H126" s="3">
        <f t="shared" si="3"/>
        <v>8967000000</v>
      </c>
      <c r="J126" s="3">
        <v>37500000</v>
      </c>
      <c r="K126" s="3"/>
      <c r="L126" s="3">
        <f t="shared" si="4"/>
        <v>27605625000</v>
      </c>
      <c r="N126" s="4">
        <f t="shared" si="5"/>
        <v>0.67517489642056638</v>
      </c>
    </row>
    <row r="127" spans="1:14" x14ac:dyDescent="0.45">
      <c r="A127" s="2">
        <v>45762</v>
      </c>
      <c r="B127" s="3">
        <v>5250</v>
      </c>
      <c r="D127" s="2">
        <v>45762</v>
      </c>
      <c r="E127" s="3">
        <v>729.4</v>
      </c>
      <c r="G127" s="3">
        <v>1680000</v>
      </c>
      <c r="H127" s="3">
        <f t="shared" si="3"/>
        <v>8820000000</v>
      </c>
      <c r="J127" s="3">
        <v>37500000</v>
      </c>
      <c r="K127" s="3"/>
      <c r="L127" s="3">
        <f t="shared" si="4"/>
        <v>27352500000</v>
      </c>
      <c r="N127" s="4">
        <f t="shared" si="5"/>
        <v>0.6775431861804222</v>
      </c>
    </row>
    <row r="128" spans="1:14" x14ac:dyDescent="0.45">
      <c r="A128" s="2">
        <v>45758</v>
      </c>
      <c r="B128" s="3">
        <v>5225</v>
      </c>
      <c r="D128" s="2">
        <v>45758</v>
      </c>
      <c r="E128" s="3">
        <v>717.75</v>
      </c>
      <c r="G128" s="3">
        <v>1680000</v>
      </c>
      <c r="H128" s="3">
        <f t="shared" si="3"/>
        <v>8778000000</v>
      </c>
      <c r="J128" s="3">
        <v>37500000</v>
      </c>
      <c r="K128" s="3"/>
      <c r="L128" s="3">
        <f t="shared" si="4"/>
        <v>26915625000</v>
      </c>
      <c r="N128" s="4">
        <f t="shared" si="5"/>
        <v>0.67386973180076626</v>
      </c>
    </row>
    <row r="129" spans="1:14" x14ac:dyDescent="0.45">
      <c r="A129" s="2">
        <v>45756</v>
      </c>
      <c r="B129" s="3">
        <v>5053</v>
      </c>
      <c r="D129" s="2">
        <v>45756</v>
      </c>
      <c r="E129" s="3">
        <v>704</v>
      </c>
      <c r="G129" s="3">
        <v>1680000</v>
      </c>
      <c r="H129" s="3">
        <f t="shared" si="3"/>
        <v>8489040000</v>
      </c>
      <c r="J129" s="3">
        <v>37500000</v>
      </c>
      <c r="K129" s="3"/>
      <c r="L129" s="3">
        <f t="shared" si="4"/>
        <v>26400000000</v>
      </c>
      <c r="N129" s="4">
        <f t="shared" si="5"/>
        <v>0.67844545454545457</v>
      </c>
    </row>
    <row r="130" spans="1:14" x14ac:dyDescent="0.45">
      <c r="A130" s="2">
        <v>45755</v>
      </c>
      <c r="B130" s="3">
        <v>5450</v>
      </c>
      <c r="D130" s="2">
        <v>45755</v>
      </c>
      <c r="E130" s="3">
        <v>684.4</v>
      </c>
      <c r="G130" s="3">
        <v>1680000</v>
      </c>
      <c r="H130" s="3">
        <f t="shared" si="3"/>
        <v>9156000000</v>
      </c>
      <c r="J130" s="3">
        <v>37500000</v>
      </c>
      <c r="K130" s="3"/>
      <c r="L130" s="3">
        <f t="shared" si="4"/>
        <v>25665000000</v>
      </c>
      <c r="N130" s="4">
        <f t="shared" si="5"/>
        <v>0.64324956165984803</v>
      </c>
    </row>
    <row r="131" spans="1:14" x14ac:dyDescent="0.45">
      <c r="A131" s="2">
        <v>45754</v>
      </c>
      <c r="B131" s="3">
        <v>5590</v>
      </c>
      <c r="D131" s="2">
        <v>45754</v>
      </c>
      <c r="E131" s="3">
        <v>667.9</v>
      </c>
      <c r="G131" s="3">
        <v>1680000</v>
      </c>
      <c r="H131" s="3">
        <f t="shared" ref="H131:H194" si="6">+G131*B131</f>
        <v>9391200000</v>
      </c>
      <c r="J131" s="3">
        <v>37500000</v>
      </c>
      <c r="K131" s="3"/>
      <c r="L131" s="3">
        <f t="shared" ref="L131:L194" si="7">+(J131*E131)</f>
        <v>25046250000</v>
      </c>
      <c r="N131" s="4">
        <f t="shared" ref="N131:N194" si="8">1- (H131/L131)</f>
        <v>0.62504566551879026</v>
      </c>
    </row>
    <row r="132" spans="1:14" x14ac:dyDescent="0.45">
      <c r="A132" s="2">
        <v>45751</v>
      </c>
      <c r="B132" s="3">
        <v>5408</v>
      </c>
      <c r="D132" s="2">
        <v>45751</v>
      </c>
      <c r="E132" s="3">
        <v>688.6</v>
      </c>
      <c r="G132" s="3">
        <v>1680000</v>
      </c>
      <c r="H132" s="3">
        <f t="shared" si="6"/>
        <v>9085440000</v>
      </c>
      <c r="J132" s="3">
        <v>37500000</v>
      </c>
      <c r="K132" s="3"/>
      <c r="L132" s="3">
        <f t="shared" si="7"/>
        <v>25822500000</v>
      </c>
      <c r="N132" s="4">
        <f t="shared" si="8"/>
        <v>0.64815800174266625</v>
      </c>
    </row>
    <row r="133" spans="1:14" x14ac:dyDescent="0.45">
      <c r="A133" s="2">
        <v>45750</v>
      </c>
      <c r="B133" s="3">
        <v>5688</v>
      </c>
      <c r="D133" s="2">
        <v>45750</v>
      </c>
      <c r="E133" s="3">
        <v>703.1</v>
      </c>
      <c r="G133" s="3">
        <v>1680000</v>
      </c>
      <c r="H133" s="3">
        <f t="shared" si="6"/>
        <v>9555840000</v>
      </c>
      <c r="J133" s="3">
        <v>37500000</v>
      </c>
      <c r="K133" s="3"/>
      <c r="L133" s="3">
        <f t="shared" si="7"/>
        <v>26366250000</v>
      </c>
      <c r="N133" s="4">
        <f t="shared" si="8"/>
        <v>0.63757303370786511</v>
      </c>
    </row>
    <row r="134" spans="1:14" x14ac:dyDescent="0.45">
      <c r="A134" s="2">
        <v>45749</v>
      </c>
      <c r="B134" s="3">
        <v>5321.5</v>
      </c>
      <c r="D134" s="2">
        <v>45749</v>
      </c>
      <c r="E134" s="3">
        <v>697.55</v>
      </c>
      <c r="G134" s="3">
        <v>1680000</v>
      </c>
      <c r="H134" s="3">
        <f t="shared" si="6"/>
        <v>8940120000</v>
      </c>
      <c r="J134" s="3">
        <v>37500000</v>
      </c>
      <c r="K134" s="3"/>
      <c r="L134" s="3">
        <f t="shared" si="7"/>
        <v>26158125000</v>
      </c>
      <c r="N134" s="4">
        <f t="shared" si="8"/>
        <v>0.65822779729051684</v>
      </c>
    </row>
    <row r="135" spans="1:14" x14ac:dyDescent="0.45">
      <c r="A135" s="2">
        <v>45748</v>
      </c>
      <c r="B135" s="3">
        <v>5503.55</v>
      </c>
      <c r="D135" s="2">
        <v>45748</v>
      </c>
      <c r="E135" s="3">
        <v>697</v>
      </c>
      <c r="G135" s="3">
        <v>1680000</v>
      </c>
      <c r="H135" s="3">
        <f t="shared" si="6"/>
        <v>9245964000</v>
      </c>
      <c r="J135" s="3">
        <v>37500000</v>
      </c>
      <c r="K135" s="3"/>
      <c r="L135" s="3">
        <f t="shared" si="7"/>
        <v>26137500000</v>
      </c>
      <c r="N135" s="4">
        <f t="shared" si="8"/>
        <v>0.64625675753228118</v>
      </c>
    </row>
    <row r="136" spans="1:14" x14ac:dyDescent="0.45">
      <c r="A136" s="2">
        <v>45744</v>
      </c>
      <c r="B136" s="3">
        <v>5649.8</v>
      </c>
      <c r="D136" s="2">
        <v>45744</v>
      </c>
      <c r="E136" s="3">
        <v>712.7</v>
      </c>
      <c r="G136" s="3">
        <v>1680000</v>
      </c>
      <c r="H136" s="3">
        <f t="shared" si="6"/>
        <v>9491664000</v>
      </c>
      <c r="J136" s="3">
        <v>37500000</v>
      </c>
      <c r="K136" s="3"/>
      <c r="L136" s="3">
        <f t="shared" si="7"/>
        <v>26726250000</v>
      </c>
      <c r="N136" s="4">
        <f t="shared" si="8"/>
        <v>0.64485612459660446</v>
      </c>
    </row>
    <row r="137" spans="1:14" x14ac:dyDescent="0.45">
      <c r="A137" s="2">
        <v>45743</v>
      </c>
      <c r="B137" s="3">
        <v>5599</v>
      </c>
      <c r="D137" s="2">
        <v>45743</v>
      </c>
      <c r="E137" s="3">
        <v>722.35</v>
      </c>
      <c r="G137" s="3">
        <v>1680000</v>
      </c>
      <c r="H137" s="3">
        <f t="shared" si="6"/>
        <v>9406320000</v>
      </c>
      <c r="J137" s="3">
        <v>37500000</v>
      </c>
      <c r="K137" s="3"/>
      <c r="L137" s="3">
        <f t="shared" si="7"/>
        <v>27088125000</v>
      </c>
      <c r="N137" s="4">
        <f t="shared" si="8"/>
        <v>0.65275115941025819</v>
      </c>
    </row>
    <row r="138" spans="1:14" x14ac:dyDescent="0.45">
      <c r="A138" s="2">
        <v>45742</v>
      </c>
      <c r="B138" s="3">
        <v>5690</v>
      </c>
      <c r="D138" s="2">
        <v>45742</v>
      </c>
      <c r="E138" s="3">
        <v>719.5</v>
      </c>
      <c r="G138" s="3">
        <v>1680000</v>
      </c>
      <c r="H138" s="3">
        <f t="shared" si="6"/>
        <v>9559200000</v>
      </c>
      <c r="J138" s="3">
        <v>37500000</v>
      </c>
      <c r="K138" s="3"/>
      <c r="L138" s="3">
        <f t="shared" si="7"/>
        <v>26981250000</v>
      </c>
      <c r="N138" s="4">
        <f t="shared" si="8"/>
        <v>0.64570952050034747</v>
      </c>
    </row>
    <row r="139" spans="1:14" x14ac:dyDescent="0.45">
      <c r="A139" s="2">
        <v>45741</v>
      </c>
      <c r="B139" s="3">
        <v>5599.95</v>
      </c>
      <c r="D139" s="2">
        <v>45741</v>
      </c>
      <c r="E139" s="3">
        <v>734.35</v>
      </c>
      <c r="G139" s="3">
        <v>1680000</v>
      </c>
      <c r="H139" s="3">
        <f t="shared" si="6"/>
        <v>9407916000</v>
      </c>
      <c r="J139" s="3">
        <v>37500000</v>
      </c>
      <c r="K139" s="3"/>
      <c r="L139" s="3">
        <f t="shared" si="7"/>
        <v>27538125000</v>
      </c>
      <c r="N139" s="4">
        <f t="shared" si="8"/>
        <v>0.65836759038605575</v>
      </c>
    </row>
    <row r="140" spans="1:14" x14ac:dyDescent="0.45">
      <c r="A140" s="2">
        <v>45740</v>
      </c>
      <c r="B140" s="3">
        <v>5500</v>
      </c>
      <c r="D140" s="2">
        <v>45740</v>
      </c>
      <c r="E140" s="3">
        <v>722.25</v>
      </c>
      <c r="G140" s="3">
        <v>1680000</v>
      </c>
      <c r="H140" s="3">
        <f t="shared" si="6"/>
        <v>9240000000</v>
      </c>
      <c r="J140" s="3">
        <v>37500000</v>
      </c>
      <c r="K140" s="3"/>
      <c r="L140" s="3">
        <f t="shared" si="7"/>
        <v>27084375000</v>
      </c>
      <c r="N140" s="4">
        <f t="shared" si="8"/>
        <v>0.65884389061959148</v>
      </c>
    </row>
    <row r="141" spans="1:14" x14ac:dyDescent="0.45">
      <c r="A141" s="2">
        <v>45737</v>
      </c>
      <c r="B141" s="3">
        <v>5500</v>
      </c>
      <c r="D141" s="2">
        <v>45737</v>
      </c>
      <c r="E141" s="3">
        <v>721.25</v>
      </c>
      <c r="G141" s="3">
        <v>1680000</v>
      </c>
      <c r="H141" s="3">
        <f t="shared" si="6"/>
        <v>9240000000</v>
      </c>
      <c r="J141" s="3">
        <v>37500000</v>
      </c>
      <c r="K141" s="3"/>
      <c r="L141" s="3">
        <f t="shared" si="7"/>
        <v>27046875000</v>
      </c>
      <c r="N141" s="4">
        <f t="shared" si="8"/>
        <v>0.65837088388214904</v>
      </c>
    </row>
    <row r="142" spans="1:14" x14ac:dyDescent="0.45">
      <c r="A142" s="2">
        <v>45736</v>
      </c>
      <c r="B142" s="3">
        <v>5649.25</v>
      </c>
      <c r="D142" s="2">
        <v>45736</v>
      </c>
      <c r="E142" s="3">
        <v>723.7</v>
      </c>
      <c r="G142" s="3">
        <v>1680000</v>
      </c>
      <c r="H142" s="3">
        <f t="shared" si="6"/>
        <v>9490740000</v>
      </c>
      <c r="J142" s="3">
        <v>37500000</v>
      </c>
      <c r="K142" s="3"/>
      <c r="L142" s="3">
        <f t="shared" si="7"/>
        <v>27138750000</v>
      </c>
      <c r="N142" s="4">
        <f t="shared" si="8"/>
        <v>0.65028824098383309</v>
      </c>
    </row>
    <row r="143" spans="1:14" x14ac:dyDescent="0.45">
      <c r="A143" s="2">
        <v>45735</v>
      </c>
      <c r="B143" s="3">
        <v>5312</v>
      </c>
      <c r="D143" s="2">
        <v>45735</v>
      </c>
      <c r="E143" s="3">
        <v>721.15</v>
      </c>
      <c r="G143" s="3">
        <v>1680000</v>
      </c>
      <c r="H143" s="3">
        <f t="shared" si="6"/>
        <v>8924160000</v>
      </c>
      <c r="J143" s="3">
        <v>37500000</v>
      </c>
      <c r="K143" s="3"/>
      <c r="L143" s="3">
        <f t="shared" si="7"/>
        <v>27043125000</v>
      </c>
      <c r="N143" s="4">
        <f t="shared" si="8"/>
        <v>0.6700026346807183</v>
      </c>
    </row>
    <row r="144" spans="1:14" x14ac:dyDescent="0.45">
      <c r="A144" s="2">
        <v>45734</v>
      </c>
      <c r="B144" s="3">
        <v>5324.65</v>
      </c>
      <c r="D144" s="2">
        <v>45734</v>
      </c>
      <c r="E144" s="3">
        <v>722.55</v>
      </c>
      <c r="G144" s="3">
        <v>1680000</v>
      </c>
      <c r="H144" s="3">
        <f t="shared" si="6"/>
        <v>8945412000</v>
      </c>
      <c r="J144" s="3">
        <v>37500000</v>
      </c>
      <c r="K144" s="3"/>
      <c r="L144" s="3">
        <f t="shared" si="7"/>
        <v>27095625000</v>
      </c>
      <c r="N144" s="4">
        <f t="shared" si="8"/>
        <v>0.66985769842917442</v>
      </c>
    </row>
    <row r="145" spans="1:14" x14ac:dyDescent="0.45">
      <c r="A145" s="2">
        <v>45733</v>
      </c>
      <c r="B145" s="3">
        <v>5400</v>
      </c>
      <c r="D145" s="2">
        <v>45733</v>
      </c>
      <c r="E145" s="3">
        <v>709.55</v>
      </c>
      <c r="G145" s="3">
        <v>1680000</v>
      </c>
      <c r="H145" s="3">
        <f t="shared" si="6"/>
        <v>9072000000</v>
      </c>
      <c r="J145" s="3">
        <v>37500000</v>
      </c>
      <c r="K145" s="3"/>
      <c r="L145" s="3">
        <f t="shared" si="7"/>
        <v>26608125000</v>
      </c>
      <c r="N145" s="4">
        <f t="shared" si="8"/>
        <v>0.65905151152138686</v>
      </c>
    </row>
    <row r="146" spans="1:14" x14ac:dyDescent="0.45">
      <c r="A146" s="2">
        <v>45729</v>
      </c>
      <c r="B146" s="3">
        <v>5397.9</v>
      </c>
      <c r="D146" s="2">
        <v>45729</v>
      </c>
      <c r="E146" s="3">
        <v>711.15</v>
      </c>
      <c r="G146" s="3">
        <v>1680000</v>
      </c>
      <c r="H146" s="3">
        <f t="shared" si="6"/>
        <v>9068472000</v>
      </c>
      <c r="J146" s="3">
        <v>37500000</v>
      </c>
      <c r="K146" s="3"/>
      <c r="L146" s="3">
        <f t="shared" si="7"/>
        <v>26668125000</v>
      </c>
      <c r="N146" s="4">
        <f t="shared" si="8"/>
        <v>0.65995089643535121</v>
      </c>
    </row>
    <row r="147" spans="1:14" x14ac:dyDescent="0.45">
      <c r="A147" s="2">
        <v>45728</v>
      </c>
      <c r="B147" s="3">
        <v>5335</v>
      </c>
      <c r="D147" s="2">
        <v>45728</v>
      </c>
      <c r="E147" s="3">
        <v>709.85</v>
      </c>
      <c r="G147" s="3">
        <v>1680000</v>
      </c>
      <c r="H147" s="3">
        <f t="shared" si="6"/>
        <v>8962800000</v>
      </c>
      <c r="J147" s="3">
        <v>37500000</v>
      </c>
      <c r="K147" s="3"/>
      <c r="L147" s="3">
        <f t="shared" si="7"/>
        <v>26619375000</v>
      </c>
      <c r="N147" s="4">
        <f t="shared" si="8"/>
        <v>0.66329787983376765</v>
      </c>
    </row>
    <row r="148" spans="1:14" x14ac:dyDescent="0.45">
      <c r="A148" s="2">
        <v>45727</v>
      </c>
      <c r="B148" s="3">
        <v>5347.5</v>
      </c>
      <c r="D148" s="2">
        <v>45727</v>
      </c>
      <c r="E148" s="3">
        <v>690.85</v>
      </c>
      <c r="G148" s="3">
        <v>1680000</v>
      </c>
      <c r="H148" s="3">
        <f t="shared" si="6"/>
        <v>8983800000</v>
      </c>
      <c r="J148" s="3">
        <v>37500000</v>
      </c>
      <c r="K148" s="3"/>
      <c r="L148" s="3">
        <f t="shared" si="7"/>
        <v>25906875000</v>
      </c>
      <c r="N148" s="4">
        <f t="shared" si="8"/>
        <v>0.65322718390388657</v>
      </c>
    </row>
    <row r="149" spans="1:14" x14ac:dyDescent="0.45">
      <c r="A149" s="2">
        <v>45726</v>
      </c>
      <c r="B149" s="3">
        <v>5391.65</v>
      </c>
      <c r="D149" s="2">
        <v>45726</v>
      </c>
      <c r="E149" s="3">
        <v>664.35</v>
      </c>
      <c r="G149" s="3">
        <v>1680000</v>
      </c>
      <c r="H149" s="3">
        <f t="shared" si="6"/>
        <v>9057972000</v>
      </c>
      <c r="J149" s="3">
        <v>37500000</v>
      </c>
      <c r="K149" s="3"/>
      <c r="L149" s="3">
        <f t="shared" si="7"/>
        <v>24913125000</v>
      </c>
      <c r="N149" s="4">
        <f t="shared" si="8"/>
        <v>0.63641767140814332</v>
      </c>
    </row>
    <row r="150" spans="1:14" x14ac:dyDescent="0.45">
      <c r="A150" s="2">
        <v>45723</v>
      </c>
      <c r="B150" s="3">
        <v>5255</v>
      </c>
      <c r="D150" s="2">
        <v>45723</v>
      </c>
      <c r="E150" s="3">
        <v>686</v>
      </c>
      <c r="G150" s="3">
        <v>1680000</v>
      </c>
      <c r="H150" s="3">
        <f t="shared" si="6"/>
        <v>8828400000</v>
      </c>
      <c r="J150" s="3">
        <v>37500000</v>
      </c>
      <c r="K150" s="3"/>
      <c r="L150" s="3">
        <f t="shared" si="7"/>
        <v>25725000000</v>
      </c>
      <c r="N150" s="4">
        <f t="shared" si="8"/>
        <v>0.65681632653061217</v>
      </c>
    </row>
    <row r="151" spans="1:14" x14ac:dyDescent="0.45">
      <c r="A151" s="2">
        <v>45722</v>
      </c>
      <c r="B151" s="3">
        <v>5281.65</v>
      </c>
      <c r="D151" s="2">
        <v>45722</v>
      </c>
      <c r="E151" s="3">
        <v>644.54999999999995</v>
      </c>
      <c r="G151" s="3">
        <v>1680000</v>
      </c>
      <c r="H151" s="3">
        <f t="shared" si="6"/>
        <v>8873172000</v>
      </c>
      <c r="J151" s="3">
        <v>37500000</v>
      </c>
      <c r="K151" s="3"/>
      <c r="L151" s="3">
        <f t="shared" si="7"/>
        <v>24170625000</v>
      </c>
      <c r="N151" s="4">
        <f t="shared" si="8"/>
        <v>0.63289439143588555</v>
      </c>
    </row>
    <row r="152" spans="1:14" x14ac:dyDescent="0.45">
      <c r="A152" s="2">
        <v>45721</v>
      </c>
      <c r="B152" s="3">
        <v>5290</v>
      </c>
      <c r="D152" s="2">
        <v>45721</v>
      </c>
      <c r="E152" s="3">
        <v>642.20000000000005</v>
      </c>
      <c r="G152" s="3">
        <v>1680000</v>
      </c>
      <c r="H152" s="3">
        <f t="shared" si="6"/>
        <v>8887200000</v>
      </c>
      <c r="J152" s="3">
        <v>37500000</v>
      </c>
      <c r="K152" s="3"/>
      <c r="L152" s="3">
        <f t="shared" si="7"/>
        <v>24082500000</v>
      </c>
      <c r="N152" s="4">
        <f t="shared" si="8"/>
        <v>0.63096854562441607</v>
      </c>
    </row>
    <row r="153" spans="1:14" x14ac:dyDescent="0.45">
      <c r="A153" s="2">
        <v>45720</v>
      </c>
      <c r="B153" s="3">
        <v>5447</v>
      </c>
      <c r="D153" s="2">
        <v>45720</v>
      </c>
      <c r="E153" s="3">
        <v>610.29999999999995</v>
      </c>
      <c r="G153" s="3">
        <v>1680000</v>
      </c>
      <c r="H153" s="3">
        <f t="shared" si="6"/>
        <v>9150960000</v>
      </c>
      <c r="J153" s="3">
        <v>37500000</v>
      </c>
      <c r="K153" s="3"/>
      <c r="L153" s="3">
        <f t="shared" si="7"/>
        <v>22886250000</v>
      </c>
      <c r="N153" s="4">
        <f t="shared" si="8"/>
        <v>0.60015467802719979</v>
      </c>
    </row>
    <row r="154" spans="1:14" x14ac:dyDescent="0.45">
      <c r="A154" s="2">
        <v>45719</v>
      </c>
      <c r="B154" s="3">
        <v>5350.65</v>
      </c>
      <c r="D154" s="2">
        <v>45719</v>
      </c>
      <c r="E154" s="3">
        <v>615.25</v>
      </c>
      <c r="G154" s="3">
        <v>1680000</v>
      </c>
      <c r="H154" s="3">
        <f t="shared" si="6"/>
        <v>8989092000</v>
      </c>
      <c r="J154" s="3">
        <v>37500000</v>
      </c>
      <c r="K154" s="3"/>
      <c r="L154" s="3">
        <f t="shared" si="7"/>
        <v>23071875000</v>
      </c>
      <c r="N154" s="4">
        <f t="shared" si="8"/>
        <v>0.61038745225518087</v>
      </c>
    </row>
    <row r="155" spans="1:14" x14ac:dyDescent="0.45">
      <c r="A155" s="2">
        <v>45716</v>
      </c>
      <c r="B155" s="3">
        <v>5216</v>
      </c>
      <c r="D155" s="2">
        <v>45716</v>
      </c>
      <c r="E155" s="3">
        <v>617.20000000000005</v>
      </c>
      <c r="G155" s="3">
        <v>1680000</v>
      </c>
      <c r="H155" s="3">
        <f t="shared" si="6"/>
        <v>8762880000</v>
      </c>
      <c r="J155" s="3">
        <v>37500000</v>
      </c>
      <c r="K155" s="3"/>
      <c r="L155" s="3">
        <f t="shared" si="7"/>
        <v>23145000000</v>
      </c>
      <c r="N155" s="4">
        <f t="shared" si="8"/>
        <v>0.62139209332469214</v>
      </c>
    </row>
    <row r="156" spans="1:14" x14ac:dyDescent="0.45">
      <c r="A156" s="2">
        <v>45715</v>
      </c>
      <c r="B156" s="3">
        <v>5490</v>
      </c>
      <c r="D156" s="2">
        <v>45715</v>
      </c>
      <c r="E156" s="3">
        <v>609.25</v>
      </c>
      <c r="G156" s="3">
        <v>1680000</v>
      </c>
      <c r="H156" s="3">
        <f t="shared" si="6"/>
        <v>9223200000</v>
      </c>
      <c r="J156" s="3">
        <v>37500000</v>
      </c>
      <c r="K156" s="3"/>
      <c r="L156" s="3">
        <f t="shared" si="7"/>
        <v>22846875000</v>
      </c>
      <c r="N156" s="4">
        <f t="shared" si="8"/>
        <v>0.59630365203118596</v>
      </c>
    </row>
    <row r="157" spans="1:14" x14ac:dyDescent="0.45">
      <c r="A157" s="2">
        <v>45713</v>
      </c>
      <c r="B157" s="3">
        <v>5207.8500000000004</v>
      </c>
      <c r="D157" s="2">
        <v>45713</v>
      </c>
      <c r="E157" s="3">
        <v>617</v>
      </c>
      <c r="G157" s="3">
        <v>1680000</v>
      </c>
      <c r="H157" s="3">
        <f t="shared" si="6"/>
        <v>8749188000</v>
      </c>
      <c r="J157" s="3">
        <v>37500000</v>
      </c>
      <c r="K157" s="3"/>
      <c r="L157" s="3">
        <f t="shared" si="7"/>
        <v>23137500000</v>
      </c>
      <c r="N157" s="4">
        <f t="shared" si="8"/>
        <v>0.62186113452188008</v>
      </c>
    </row>
    <row r="158" spans="1:14" x14ac:dyDescent="0.45">
      <c r="A158" s="2">
        <v>45712</v>
      </c>
      <c r="B158" s="3">
        <v>5201.05</v>
      </c>
      <c r="D158" s="2">
        <v>45712</v>
      </c>
      <c r="E158" s="3">
        <v>623.4</v>
      </c>
      <c r="G158" s="3">
        <v>1680000</v>
      </c>
      <c r="H158" s="3">
        <f t="shared" si="6"/>
        <v>8737764000</v>
      </c>
      <c r="J158" s="3">
        <v>37500000</v>
      </c>
      <c r="K158" s="3"/>
      <c r="L158" s="3">
        <f t="shared" si="7"/>
        <v>23377500000</v>
      </c>
      <c r="N158" s="4">
        <f t="shared" si="8"/>
        <v>0.62623188963747189</v>
      </c>
    </row>
    <row r="159" spans="1:14" x14ac:dyDescent="0.45">
      <c r="A159" s="2">
        <v>45709</v>
      </c>
      <c r="B159" s="3">
        <v>5003.1000000000004</v>
      </c>
      <c r="D159" s="2">
        <v>45709</v>
      </c>
      <c r="E159" s="3">
        <v>642.1</v>
      </c>
      <c r="G159" s="3">
        <v>1680000</v>
      </c>
      <c r="H159" s="3">
        <f t="shared" si="6"/>
        <v>8405208000.000001</v>
      </c>
      <c r="J159" s="3">
        <v>37500000</v>
      </c>
      <c r="K159" s="3"/>
      <c r="L159" s="3">
        <f t="shared" si="7"/>
        <v>24078750000</v>
      </c>
      <c r="N159" s="4">
        <f t="shared" si="8"/>
        <v>0.6509283912163214</v>
      </c>
    </row>
    <row r="160" spans="1:14" x14ac:dyDescent="0.45">
      <c r="A160" s="2">
        <v>45708</v>
      </c>
      <c r="B160" s="3">
        <v>5045.55</v>
      </c>
      <c r="D160" s="2">
        <v>45708</v>
      </c>
      <c r="E160" s="3">
        <v>639.6</v>
      </c>
      <c r="G160" s="3">
        <v>1680000</v>
      </c>
      <c r="H160" s="3">
        <f t="shared" si="6"/>
        <v>8476524000</v>
      </c>
      <c r="J160" s="3">
        <v>37500000</v>
      </c>
      <c r="K160" s="3"/>
      <c r="L160" s="3">
        <f t="shared" si="7"/>
        <v>23985000000</v>
      </c>
      <c r="N160" s="4">
        <f t="shared" si="8"/>
        <v>0.64659061913696059</v>
      </c>
    </row>
    <row r="161" spans="1:14" x14ac:dyDescent="0.45">
      <c r="A161" s="2">
        <v>45707</v>
      </c>
      <c r="B161" s="3">
        <v>5180</v>
      </c>
      <c r="D161" s="2">
        <v>45707</v>
      </c>
      <c r="E161" s="3">
        <v>611.29999999999995</v>
      </c>
      <c r="G161" s="3">
        <v>1680000</v>
      </c>
      <c r="H161" s="3">
        <f t="shared" si="6"/>
        <v>8702400000</v>
      </c>
      <c r="J161" s="3">
        <v>37500000</v>
      </c>
      <c r="K161" s="3"/>
      <c r="L161" s="3">
        <f t="shared" si="7"/>
        <v>22923750000</v>
      </c>
      <c r="N161" s="4">
        <f t="shared" si="8"/>
        <v>0.62037624734173069</v>
      </c>
    </row>
    <row r="162" spans="1:14" x14ac:dyDescent="0.45">
      <c r="A162" s="2">
        <v>45706</v>
      </c>
      <c r="B162" s="3">
        <v>5350</v>
      </c>
      <c r="D162" s="2">
        <v>45706</v>
      </c>
      <c r="E162" s="3">
        <v>603.75</v>
      </c>
      <c r="G162" s="3">
        <v>1680000</v>
      </c>
      <c r="H162" s="3">
        <f t="shared" si="6"/>
        <v>8988000000</v>
      </c>
      <c r="J162" s="3">
        <v>37500000</v>
      </c>
      <c r="K162" s="3"/>
      <c r="L162" s="3">
        <f t="shared" si="7"/>
        <v>22640625000</v>
      </c>
      <c r="N162" s="4">
        <f t="shared" si="8"/>
        <v>0.60301449275362318</v>
      </c>
    </row>
    <row r="163" spans="1:14" x14ac:dyDescent="0.45">
      <c r="A163" s="2">
        <v>45705</v>
      </c>
      <c r="B163" s="3">
        <v>5428.2</v>
      </c>
      <c r="D163" s="2">
        <v>45705</v>
      </c>
      <c r="E163" s="3">
        <v>613.54999999999995</v>
      </c>
      <c r="G163" s="3">
        <v>1680000</v>
      </c>
      <c r="H163" s="3">
        <f t="shared" si="6"/>
        <v>9119376000</v>
      </c>
      <c r="J163" s="3">
        <v>37500000</v>
      </c>
      <c r="K163" s="3"/>
      <c r="L163" s="3">
        <f t="shared" si="7"/>
        <v>23008125000</v>
      </c>
      <c r="N163" s="4">
        <f t="shared" si="8"/>
        <v>0.6036454078722191</v>
      </c>
    </row>
    <row r="164" spans="1:14" x14ac:dyDescent="0.45">
      <c r="A164" s="2">
        <v>45702</v>
      </c>
      <c r="B164" s="3">
        <v>5189.05</v>
      </c>
      <c r="D164" s="2">
        <v>45702</v>
      </c>
      <c r="E164" s="3">
        <v>598.75</v>
      </c>
      <c r="G164" s="3">
        <v>1680000</v>
      </c>
      <c r="H164" s="3">
        <f t="shared" si="6"/>
        <v>8717604000</v>
      </c>
      <c r="J164" s="3">
        <v>37500000</v>
      </c>
      <c r="K164" s="3"/>
      <c r="L164" s="3">
        <f t="shared" si="7"/>
        <v>22453125000</v>
      </c>
      <c r="N164" s="4">
        <f t="shared" si="8"/>
        <v>0.61174206263048014</v>
      </c>
    </row>
    <row r="165" spans="1:14" x14ac:dyDescent="0.45">
      <c r="A165" s="2">
        <v>45701</v>
      </c>
      <c r="B165" s="3">
        <v>5391.85</v>
      </c>
      <c r="D165" s="2">
        <v>45701</v>
      </c>
      <c r="E165" s="3">
        <v>610</v>
      </c>
      <c r="G165" s="3">
        <v>1680000</v>
      </c>
      <c r="H165" s="3">
        <f t="shared" si="6"/>
        <v>9058308000</v>
      </c>
      <c r="J165" s="3">
        <v>37500000</v>
      </c>
      <c r="K165" s="3"/>
      <c r="L165" s="3">
        <f t="shared" si="7"/>
        <v>22875000000</v>
      </c>
      <c r="N165" s="4">
        <f t="shared" si="8"/>
        <v>0.60400839344262303</v>
      </c>
    </row>
    <row r="166" spans="1:14" x14ac:dyDescent="0.45">
      <c r="A166" s="2">
        <v>45700</v>
      </c>
      <c r="B166" s="3">
        <v>5605</v>
      </c>
      <c r="D166" s="2">
        <v>45700</v>
      </c>
      <c r="E166" s="3">
        <v>632.1</v>
      </c>
      <c r="G166" s="3">
        <v>1680000</v>
      </c>
      <c r="H166" s="3">
        <f t="shared" si="6"/>
        <v>9416400000</v>
      </c>
      <c r="J166" s="3">
        <v>37500000</v>
      </c>
      <c r="K166" s="3"/>
      <c r="L166" s="3">
        <f t="shared" si="7"/>
        <v>23703750000</v>
      </c>
      <c r="N166" s="4">
        <f t="shared" si="8"/>
        <v>0.60274640088593578</v>
      </c>
    </row>
    <row r="167" spans="1:14" x14ac:dyDescent="0.45">
      <c r="A167" s="2">
        <v>45699</v>
      </c>
      <c r="B167" s="3">
        <v>5575</v>
      </c>
      <c r="D167" s="2">
        <v>45699</v>
      </c>
      <c r="E167" s="3">
        <v>645.35</v>
      </c>
      <c r="G167" s="3">
        <v>1680000</v>
      </c>
      <c r="H167" s="3">
        <f t="shared" si="6"/>
        <v>9366000000</v>
      </c>
      <c r="J167" s="3">
        <v>37500000</v>
      </c>
      <c r="K167" s="3"/>
      <c r="L167" s="3">
        <f t="shared" si="7"/>
        <v>24200625000</v>
      </c>
      <c r="N167" s="4">
        <f t="shared" si="8"/>
        <v>0.61298520182846516</v>
      </c>
    </row>
    <row r="168" spans="1:14" x14ac:dyDescent="0.45">
      <c r="A168" s="2">
        <v>45698</v>
      </c>
      <c r="B168" s="3">
        <v>5690</v>
      </c>
      <c r="D168" s="2">
        <v>45698</v>
      </c>
      <c r="E168" s="3">
        <v>674.9</v>
      </c>
      <c r="G168" s="3">
        <v>1680000</v>
      </c>
      <c r="H168" s="3">
        <f t="shared" si="6"/>
        <v>9559200000</v>
      </c>
      <c r="J168" s="3">
        <v>37500000</v>
      </c>
      <c r="K168" s="3"/>
      <c r="L168" s="3">
        <f t="shared" si="7"/>
        <v>25308750000</v>
      </c>
      <c r="N168" s="4">
        <f t="shared" si="8"/>
        <v>0.62229663653874656</v>
      </c>
    </row>
    <row r="169" spans="1:14" x14ac:dyDescent="0.45">
      <c r="A169" s="2">
        <v>45695</v>
      </c>
      <c r="B169" s="3">
        <v>5521.6</v>
      </c>
      <c r="D169" s="2">
        <v>45695</v>
      </c>
      <c r="E169" s="3">
        <v>684.6</v>
      </c>
      <c r="G169" s="3">
        <v>1680000</v>
      </c>
      <c r="H169" s="3">
        <f t="shared" si="6"/>
        <v>9276288000</v>
      </c>
      <c r="J169" s="3">
        <v>37500000</v>
      </c>
      <c r="K169" s="3"/>
      <c r="L169" s="3">
        <f t="shared" si="7"/>
        <v>25672500000</v>
      </c>
      <c r="N169" s="4">
        <f t="shared" si="8"/>
        <v>0.63866830265848673</v>
      </c>
    </row>
    <row r="170" spans="1:14" x14ac:dyDescent="0.45">
      <c r="A170" s="2">
        <v>45694</v>
      </c>
      <c r="B170" s="3">
        <v>5348</v>
      </c>
      <c r="D170" s="2">
        <v>45694</v>
      </c>
      <c r="E170" s="3">
        <v>700</v>
      </c>
      <c r="G170" s="3">
        <v>1680000</v>
      </c>
      <c r="H170" s="3">
        <f t="shared" si="6"/>
        <v>8984640000</v>
      </c>
      <c r="J170" s="3">
        <v>37500000</v>
      </c>
      <c r="K170" s="3"/>
      <c r="L170" s="3">
        <f t="shared" si="7"/>
        <v>26250000000</v>
      </c>
      <c r="N170" s="4">
        <f t="shared" si="8"/>
        <v>0.65772799999999998</v>
      </c>
    </row>
    <row r="171" spans="1:14" x14ac:dyDescent="0.45">
      <c r="A171" s="2">
        <v>45693</v>
      </c>
      <c r="B171" s="3">
        <v>5589</v>
      </c>
      <c r="D171" s="2">
        <v>45693</v>
      </c>
      <c r="E171" s="3">
        <v>710.9</v>
      </c>
      <c r="G171" s="3">
        <v>1680000</v>
      </c>
      <c r="H171" s="3">
        <f t="shared" si="6"/>
        <v>9389520000</v>
      </c>
      <c r="J171" s="3">
        <v>37500000</v>
      </c>
      <c r="K171" s="3"/>
      <c r="L171" s="3">
        <f t="shared" si="7"/>
        <v>26658750000</v>
      </c>
      <c r="N171" s="4">
        <f t="shared" si="8"/>
        <v>0.64778843719229151</v>
      </c>
    </row>
    <row r="172" spans="1:14" x14ac:dyDescent="0.45">
      <c r="A172" s="2">
        <v>45692</v>
      </c>
      <c r="B172" s="3">
        <v>5485.85</v>
      </c>
      <c r="D172" s="2">
        <v>45692</v>
      </c>
      <c r="E172" s="3">
        <v>684.55</v>
      </c>
      <c r="G172" s="3">
        <v>1680000</v>
      </c>
      <c r="H172" s="3">
        <f t="shared" si="6"/>
        <v>9216228000</v>
      </c>
      <c r="J172" s="3">
        <v>37500000</v>
      </c>
      <c r="K172" s="3"/>
      <c r="L172" s="3">
        <f t="shared" si="7"/>
        <v>25670625000</v>
      </c>
      <c r="N172" s="4">
        <f t="shared" si="8"/>
        <v>0.64098154992330736</v>
      </c>
    </row>
    <row r="173" spans="1:14" x14ac:dyDescent="0.45">
      <c r="A173" s="2">
        <v>45691</v>
      </c>
      <c r="B173" s="3">
        <v>5405.35</v>
      </c>
      <c r="D173" s="2">
        <v>45691</v>
      </c>
      <c r="E173" s="3">
        <v>701.65</v>
      </c>
      <c r="G173" s="3">
        <v>1680000</v>
      </c>
      <c r="H173" s="3">
        <f t="shared" si="6"/>
        <v>9080988000</v>
      </c>
      <c r="J173" s="3">
        <v>37500000</v>
      </c>
      <c r="K173" s="3"/>
      <c r="L173" s="3">
        <f t="shared" si="7"/>
        <v>26311875000</v>
      </c>
      <c r="N173" s="4">
        <f t="shared" si="8"/>
        <v>0.65487111807881426</v>
      </c>
    </row>
    <row r="174" spans="1:14" x14ac:dyDescent="0.45">
      <c r="A174" s="2">
        <v>45689</v>
      </c>
      <c r="B174" s="3">
        <v>5503.2</v>
      </c>
      <c r="D174" s="2">
        <v>45689</v>
      </c>
      <c r="E174" s="3">
        <v>744.25</v>
      </c>
      <c r="G174" s="3">
        <v>1680000</v>
      </c>
      <c r="H174" s="3">
        <f t="shared" si="6"/>
        <v>9245376000</v>
      </c>
      <c r="J174" s="3">
        <v>37500000</v>
      </c>
      <c r="K174" s="3"/>
      <c r="L174" s="3">
        <f t="shared" si="7"/>
        <v>27909375000</v>
      </c>
      <c r="N174" s="4">
        <f t="shared" si="8"/>
        <v>0.66873582801477993</v>
      </c>
    </row>
    <row r="175" spans="1:14" x14ac:dyDescent="0.45">
      <c r="A175" s="2">
        <v>45688</v>
      </c>
      <c r="B175" s="3">
        <v>5190.75</v>
      </c>
      <c r="D175" s="2">
        <v>45688</v>
      </c>
      <c r="E175" s="3">
        <v>703.05</v>
      </c>
      <c r="G175" s="3">
        <v>1680000</v>
      </c>
      <c r="H175" s="3">
        <f t="shared" si="6"/>
        <v>8720460000</v>
      </c>
      <c r="J175" s="3">
        <v>37500000</v>
      </c>
      <c r="K175" s="3"/>
      <c r="L175" s="3">
        <f t="shared" si="7"/>
        <v>26364375000</v>
      </c>
      <c r="N175" s="4">
        <f t="shared" si="8"/>
        <v>0.6692331982078088</v>
      </c>
    </row>
    <row r="176" spans="1:14" x14ac:dyDescent="0.45">
      <c r="A176" s="2">
        <v>45687</v>
      </c>
      <c r="B176" s="3">
        <v>5755</v>
      </c>
      <c r="D176" s="2">
        <v>45687</v>
      </c>
      <c r="E176" s="3">
        <v>689.15</v>
      </c>
      <c r="G176" s="3">
        <v>1680000</v>
      </c>
      <c r="H176" s="3">
        <f t="shared" si="6"/>
        <v>9668400000</v>
      </c>
      <c r="J176" s="3">
        <v>37500000</v>
      </c>
      <c r="K176" s="3"/>
      <c r="L176" s="3">
        <f t="shared" si="7"/>
        <v>25843125000</v>
      </c>
      <c r="N176" s="4">
        <f t="shared" si="8"/>
        <v>0.6258811579481971</v>
      </c>
    </row>
    <row r="177" spans="1:14" x14ac:dyDescent="0.45">
      <c r="A177" s="2">
        <v>45686</v>
      </c>
      <c r="B177" s="3">
        <v>5750</v>
      </c>
      <c r="D177" s="2">
        <v>45686</v>
      </c>
      <c r="E177" s="3">
        <v>685.5</v>
      </c>
      <c r="G177" s="3">
        <v>1680000</v>
      </c>
      <c r="H177" s="3">
        <f t="shared" si="6"/>
        <v>9660000000</v>
      </c>
      <c r="J177" s="3">
        <v>37500000</v>
      </c>
      <c r="K177" s="3"/>
      <c r="L177" s="3">
        <f t="shared" si="7"/>
        <v>25706250000</v>
      </c>
      <c r="N177" s="4">
        <f t="shared" si="8"/>
        <v>0.62421590080233402</v>
      </c>
    </row>
    <row r="178" spans="1:14" x14ac:dyDescent="0.45">
      <c r="A178" s="2">
        <v>45685</v>
      </c>
      <c r="B178" s="3">
        <v>5728.25</v>
      </c>
      <c r="D178" s="2">
        <v>45685</v>
      </c>
      <c r="E178" s="3">
        <v>650</v>
      </c>
      <c r="G178" s="3">
        <v>1680000</v>
      </c>
      <c r="H178" s="3">
        <f t="shared" si="6"/>
        <v>9623460000</v>
      </c>
      <c r="J178" s="3">
        <v>37500000</v>
      </c>
      <c r="K178" s="3"/>
      <c r="L178" s="3">
        <f t="shared" si="7"/>
        <v>24375000000</v>
      </c>
      <c r="N178" s="4">
        <f t="shared" si="8"/>
        <v>0.60519138461538469</v>
      </c>
    </row>
    <row r="179" spans="1:14" x14ac:dyDescent="0.45">
      <c r="A179" s="2">
        <v>45684</v>
      </c>
      <c r="B179" s="3">
        <v>5483.1</v>
      </c>
      <c r="D179" s="2">
        <v>45684</v>
      </c>
      <c r="E179" s="3">
        <v>652.6</v>
      </c>
      <c r="G179" s="3">
        <v>1680000</v>
      </c>
      <c r="H179" s="3">
        <f t="shared" si="6"/>
        <v>9211608000</v>
      </c>
      <c r="J179" s="3">
        <v>37500000</v>
      </c>
      <c r="K179" s="3"/>
      <c r="L179" s="3">
        <f t="shared" si="7"/>
        <v>24472500000</v>
      </c>
      <c r="N179" s="4">
        <f t="shared" si="8"/>
        <v>0.62359350291143123</v>
      </c>
    </row>
    <row r="180" spans="1:14" x14ac:dyDescent="0.45">
      <c r="A180" s="2">
        <v>45681</v>
      </c>
      <c r="B180" s="3">
        <v>5689</v>
      </c>
      <c r="D180" s="2">
        <v>45681</v>
      </c>
      <c r="E180" s="3">
        <v>677.7</v>
      </c>
      <c r="G180" s="3">
        <v>1680000</v>
      </c>
      <c r="H180" s="3">
        <f t="shared" si="6"/>
        <v>9557520000</v>
      </c>
      <c r="J180" s="3">
        <v>37500000</v>
      </c>
      <c r="K180" s="3"/>
      <c r="L180" s="3">
        <f t="shared" si="7"/>
        <v>25413750000</v>
      </c>
      <c r="N180" s="4">
        <f t="shared" si="8"/>
        <v>0.62392326988342917</v>
      </c>
    </row>
    <row r="181" spans="1:14" x14ac:dyDescent="0.45">
      <c r="A181" s="2">
        <v>45680</v>
      </c>
      <c r="B181" s="3">
        <v>5619</v>
      </c>
      <c r="D181" s="2">
        <v>45680</v>
      </c>
      <c r="E181" s="3">
        <v>687.2</v>
      </c>
      <c r="G181" s="3">
        <v>1680000</v>
      </c>
      <c r="H181" s="3">
        <f t="shared" si="6"/>
        <v>9439920000</v>
      </c>
      <c r="J181" s="3">
        <v>37500000</v>
      </c>
      <c r="K181" s="3"/>
      <c r="L181" s="3">
        <f t="shared" si="7"/>
        <v>25770000000</v>
      </c>
      <c r="N181" s="4">
        <f t="shared" si="8"/>
        <v>0.63368568102444711</v>
      </c>
    </row>
    <row r="182" spans="1:14" x14ac:dyDescent="0.45">
      <c r="A182" s="2">
        <v>45679</v>
      </c>
      <c r="B182" s="3">
        <v>5580.6</v>
      </c>
      <c r="D182" s="2">
        <v>45679</v>
      </c>
      <c r="E182" s="3">
        <v>684.55</v>
      </c>
      <c r="G182" s="3">
        <v>1680000</v>
      </c>
      <c r="H182" s="3">
        <f t="shared" si="6"/>
        <v>9375408000</v>
      </c>
      <c r="J182" s="3">
        <v>37500000</v>
      </c>
      <c r="K182" s="3"/>
      <c r="L182" s="3">
        <f t="shared" si="7"/>
        <v>25670625000</v>
      </c>
      <c r="N182" s="4">
        <f t="shared" si="8"/>
        <v>0.63478068804324006</v>
      </c>
    </row>
    <row r="183" spans="1:14" x14ac:dyDescent="0.45">
      <c r="A183" s="2">
        <v>45678</v>
      </c>
      <c r="B183" s="3">
        <v>5800</v>
      </c>
      <c r="D183" s="2">
        <v>45678</v>
      </c>
      <c r="E183" s="3">
        <v>693.4</v>
      </c>
      <c r="G183" s="3">
        <v>1680000</v>
      </c>
      <c r="H183" s="3">
        <f t="shared" si="6"/>
        <v>9744000000</v>
      </c>
      <c r="J183" s="3">
        <v>37500000</v>
      </c>
      <c r="K183" s="3"/>
      <c r="L183" s="3">
        <f t="shared" si="7"/>
        <v>26002500000</v>
      </c>
      <c r="N183" s="4">
        <f t="shared" si="8"/>
        <v>0.62526680126910872</v>
      </c>
    </row>
    <row r="184" spans="1:14" x14ac:dyDescent="0.45">
      <c r="A184" s="2">
        <v>45677</v>
      </c>
      <c r="B184" s="3">
        <v>5830.25</v>
      </c>
      <c r="D184" s="2">
        <v>45677</v>
      </c>
      <c r="E184" s="3">
        <v>714.25</v>
      </c>
      <c r="G184" s="3">
        <v>1680000</v>
      </c>
      <c r="H184" s="3">
        <f t="shared" si="6"/>
        <v>9794820000</v>
      </c>
      <c r="J184" s="3">
        <v>37500000</v>
      </c>
      <c r="K184" s="3"/>
      <c r="L184" s="3">
        <f t="shared" si="7"/>
        <v>26784375000</v>
      </c>
      <c r="N184" s="4">
        <f t="shared" si="8"/>
        <v>0.63430843542177107</v>
      </c>
    </row>
    <row r="185" spans="1:14" x14ac:dyDescent="0.45">
      <c r="A185" s="2">
        <v>45674</v>
      </c>
      <c r="B185" s="3">
        <v>5268.6</v>
      </c>
      <c r="D185" s="2">
        <v>45674</v>
      </c>
      <c r="E185" s="3">
        <v>704.5</v>
      </c>
      <c r="G185" s="3">
        <v>1680000</v>
      </c>
      <c r="H185" s="3">
        <f t="shared" si="6"/>
        <v>8851248000</v>
      </c>
      <c r="J185" s="3">
        <v>37500000</v>
      </c>
      <c r="K185" s="3"/>
      <c r="L185" s="3">
        <f t="shared" si="7"/>
        <v>26418750000</v>
      </c>
      <c r="N185" s="4">
        <f t="shared" si="8"/>
        <v>0.66496340667139808</v>
      </c>
    </row>
    <row r="186" spans="1:14" x14ac:dyDescent="0.45">
      <c r="A186" s="2">
        <v>45673</v>
      </c>
      <c r="B186" s="3">
        <v>5980</v>
      </c>
      <c r="D186" s="2">
        <v>45673</v>
      </c>
      <c r="E186" s="3">
        <v>712.45</v>
      </c>
      <c r="G186" s="3">
        <v>1680000</v>
      </c>
      <c r="H186" s="3">
        <f t="shared" si="6"/>
        <v>10046400000</v>
      </c>
      <c r="J186" s="3">
        <v>37500000</v>
      </c>
      <c r="K186" s="3"/>
      <c r="L186" s="3">
        <f t="shared" si="7"/>
        <v>26716875000</v>
      </c>
      <c r="N186" s="4">
        <f t="shared" si="8"/>
        <v>0.62396799775422829</v>
      </c>
    </row>
    <row r="187" spans="1:14" x14ac:dyDescent="0.45">
      <c r="A187" s="2">
        <v>45672</v>
      </c>
      <c r="B187" s="3">
        <v>5964.4</v>
      </c>
      <c r="D187" s="2">
        <v>45672</v>
      </c>
      <c r="E187" s="3">
        <v>720.4</v>
      </c>
      <c r="G187" s="3">
        <v>1680000</v>
      </c>
      <c r="H187" s="3">
        <f t="shared" si="6"/>
        <v>10020192000</v>
      </c>
      <c r="J187" s="3">
        <v>37500000</v>
      </c>
      <c r="K187" s="3"/>
      <c r="L187" s="3">
        <f t="shared" si="7"/>
        <v>27015000000</v>
      </c>
      <c r="N187" s="4">
        <f t="shared" si="8"/>
        <v>0.62908784008883956</v>
      </c>
    </row>
    <row r="188" spans="1:14" x14ac:dyDescent="0.45">
      <c r="A188" s="2">
        <v>45671</v>
      </c>
      <c r="B188" s="3">
        <v>6212.05</v>
      </c>
      <c r="D188" s="2">
        <v>45671</v>
      </c>
      <c r="E188" s="3">
        <v>717.2</v>
      </c>
      <c r="G188" s="3">
        <v>1680000</v>
      </c>
      <c r="H188" s="3">
        <f t="shared" si="6"/>
        <v>10436244000</v>
      </c>
      <c r="J188" s="3">
        <v>37500000</v>
      </c>
      <c r="K188" s="3"/>
      <c r="L188" s="3">
        <f t="shared" si="7"/>
        <v>26895000000</v>
      </c>
      <c r="N188" s="4">
        <f t="shared" si="8"/>
        <v>0.61196341327384274</v>
      </c>
    </row>
    <row r="189" spans="1:14" x14ac:dyDescent="0.45">
      <c r="A189" s="2">
        <v>45670</v>
      </c>
      <c r="B189" s="3">
        <v>6082.55</v>
      </c>
      <c r="D189" s="2">
        <v>45670</v>
      </c>
      <c r="E189" s="3">
        <v>706.3</v>
      </c>
      <c r="G189" s="3">
        <v>1680000</v>
      </c>
      <c r="H189" s="3">
        <f t="shared" si="6"/>
        <v>10218684000</v>
      </c>
      <c r="J189" s="3">
        <v>37500000</v>
      </c>
      <c r="K189" s="3"/>
      <c r="L189" s="3">
        <f t="shared" si="7"/>
        <v>26486250000</v>
      </c>
      <c r="N189" s="4">
        <f t="shared" si="8"/>
        <v>0.61418909811694755</v>
      </c>
    </row>
    <row r="190" spans="1:14" x14ac:dyDescent="0.45">
      <c r="A190" s="2">
        <v>45667</v>
      </c>
      <c r="B190" s="3">
        <v>6152.25</v>
      </c>
      <c r="D190" s="2">
        <v>45667</v>
      </c>
      <c r="E190" s="3">
        <v>734.05</v>
      </c>
      <c r="G190" s="3">
        <v>1680000</v>
      </c>
      <c r="H190" s="3">
        <f t="shared" si="6"/>
        <v>10335780000</v>
      </c>
      <c r="J190" s="3">
        <v>37500000</v>
      </c>
      <c r="K190" s="3"/>
      <c r="L190" s="3">
        <f t="shared" si="7"/>
        <v>27526875000</v>
      </c>
      <c r="N190" s="4">
        <f t="shared" si="8"/>
        <v>0.62452040051767588</v>
      </c>
    </row>
    <row r="191" spans="1:14" x14ac:dyDescent="0.45">
      <c r="A191" s="2">
        <v>45666</v>
      </c>
      <c r="B191" s="3">
        <v>6372.45</v>
      </c>
      <c r="D191" s="2">
        <v>45666</v>
      </c>
      <c r="E191" s="3">
        <v>750.9</v>
      </c>
      <c r="G191" s="3">
        <v>1680000</v>
      </c>
      <c r="H191" s="3">
        <f t="shared" si="6"/>
        <v>10705716000</v>
      </c>
      <c r="J191" s="3">
        <v>37500000</v>
      </c>
      <c r="K191" s="3"/>
      <c r="L191" s="3">
        <f t="shared" si="7"/>
        <v>28158750000</v>
      </c>
      <c r="N191" s="4">
        <f t="shared" si="8"/>
        <v>0.61980854974031163</v>
      </c>
    </row>
    <row r="192" spans="1:14" x14ac:dyDescent="0.45">
      <c r="A192" s="2">
        <v>45665</v>
      </c>
      <c r="B192" s="3">
        <v>6321.65</v>
      </c>
      <c r="D192" s="2">
        <v>45665</v>
      </c>
      <c r="E192" s="3">
        <v>749.95</v>
      </c>
      <c r="G192" s="3">
        <v>1680000</v>
      </c>
      <c r="H192" s="3">
        <f t="shared" si="6"/>
        <v>10620372000</v>
      </c>
      <c r="J192" s="3">
        <v>37500000</v>
      </c>
      <c r="K192" s="3"/>
      <c r="L192" s="3">
        <f t="shared" si="7"/>
        <v>28123125000</v>
      </c>
      <c r="N192" s="4">
        <f t="shared" si="8"/>
        <v>0.62236159743982933</v>
      </c>
    </row>
    <row r="193" spans="1:14" x14ac:dyDescent="0.45">
      <c r="A193" s="2">
        <v>45664</v>
      </c>
      <c r="B193" s="3">
        <v>6330.6</v>
      </c>
      <c r="D193" s="2">
        <v>45664</v>
      </c>
      <c r="E193" s="3">
        <v>756.85</v>
      </c>
      <c r="G193" s="3">
        <v>1680000</v>
      </c>
      <c r="H193" s="3">
        <f t="shared" si="6"/>
        <v>10635408000</v>
      </c>
      <c r="J193" s="3">
        <v>37500000</v>
      </c>
      <c r="K193" s="3"/>
      <c r="L193" s="3">
        <f t="shared" si="7"/>
        <v>28381875000</v>
      </c>
      <c r="N193" s="4">
        <f t="shared" si="8"/>
        <v>0.62527465151615247</v>
      </c>
    </row>
    <row r="194" spans="1:14" x14ac:dyDescent="0.45">
      <c r="A194" s="2">
        <v>45663</v>
      </c>
      <c r="B194" s="3">
        <v>6090</v>
      </c>
      <c r="D194" s="2">
        <v>45663</v>
      </c>
      <c r="E194" s="3">
        <v>765.9</v>
      </c>
      <c r="G194" s="3">
        <v>1680000</v>
      </c>
      <c r="H194" s="3">
        <f t="shared" si="6"/>
        <v>10231200000</v>
      </c>
      <c r="J194" s="3">
        <v>37500000</v>
      </c>
      <c r="K194" s="3"/>
      <c r="L194" s="3">
        <f t="shared" si="7"/>
        <v>28721250000</v>
      </c>
      <c r="N194" s="4">
        <f t="shared" si="8"/>
        <v>0.64377594986290632</v>
      </c>
    </row>
    <row r="195" spans="1:14" x14ac:dyDescent="0.45">
      <c r="A195" s="2">
        <v>45660</v>
      </c>
      <c r="B195" s="3">
        <v>6000</v>
      </c>
      <c r="D195" s="2">
        <v>45660</v>
      </c>
      <c r="E195" s="3">
        <v>768.1</v>
      </c>
      <c r="G195" s="3">
        <v>1680000</v>
      </c>
      <c r="H195" s="3">
        <f t="shared" ref="H195:H258" si="9">+G195*B195</f>
        <v>10080000000</v>
      </c>
      <c r="J195" s="3">
        <v>37500000</v>
      </c>
      <c r="K195" s="3"/>
      <c r="L195" s="3">
        <f t="shared" ref="L195:L258" si="10">+(J195*E195)</f>
        <v>28803750000</v>
      </c>
      <c r="N195" s="4">
        <f t="shared" ref="N195:N258" si="11">1- (H195/L195)</f>
        <v>0.65004556698346572</v>
      </c>
    </row>
    <row r="196" spans="1:14" x14ac:dyDescent="0.45">
      <c r="A196" s="2">
        <v>45659</v>
      </c>
      <c r="B196" s="3">
        <v>6209.1</v>
      </c>
      <c r="D196" s="2">
        <v>45659</v>
      </c>
      <c r="E196" s="3">
        <v>773.9</v>
      </c>
      <c r="G196" s="3">
        <v>1680000</v>
      </c>
      <c r="H196" s="3">
        <f t="shared" si="9"/>
        <v>10431288000</v>
      </c>
      <c r="J196" s="3">
        <v>37500000</v>
      </c>
      <c r="K196" s="3"/>
      <c r="L196" s="3">
        <f t="shared" si="10"/>
        <v>29021250000</v>
      </c>
      <c r="N196" s="4">
        <f t="shared" si="11"/>
        <v>0.64056379377180517</v>
      </c>
    </row>
    <row r="197" spans="1:14" x14ac:dyDescent="0.45">
      <c r="A197" s="2">
        <v>45658</v>
      </c>
      <c r="B197" s="3">
        <v>6112.35</v>
      </c>
      <c r="D197" s="2">
        <v>45658</v>
      </c>
      <c r="E197" s="3">
        <v>768.65</v>
      </c>
      <c r="G197" s="3">
        <v>1680000</v>
      </c>
      <c r="H197" s="3">
        <f t="shared" si="9"/>
        <v>10268748000</v>
      </c>
      <c r="J197" s="3">
        <v>37500000</v>
      </c>
      <c r="K197" s="3"/>
      <c r="L197" s="3">
        <f t="shared" si="10"/>
        <v>28824375000</v>
      </c>
      <c r="N197" s="4">
        <f t="shared" si="11"/>
        <v>0.64374776556300006</v>
      </c>
    </row>
    <row r="198" spans="1:14" x14ac:dyDescent="0.45">
      <c r="A198" s="2">
        <v>45657</v>
      </c>
      <c r="B198" s="3">
        <v>5998.3</v>
      </c>
      <c r="D198" s="2">
        <v>45657</v>
      </c>
      <c r="E198" s="3">
        <v>767.4</v>
      </c>
      <c r="G198" s="3">
        <v>1680000</v>
      </c>
      <c r="H198" s="3">
        <f t="shared" si="9"/>
        <v>10077144000</v>
      </c>
      <c r="J198" s="3">
        <v>37500000</v>
      </c>
      <c r="K198" s="3"/>
      <c r="L198" s="3">
        <f t="shared" si="10"/>
        <v>28777500000</v>
      </c>
      <c r="N198" s="4">
        <f t="shared" si="11"/>
        <v>0.64982559291112851</v>
      </c>
    </row>
    <row r="199" spans="1:14" x14ac:dyDescent="0.45">
      <c r="A199" s="2">
        <v>45656</v>
      </c>
      <c r="B199" s="3">
        <v>6750</v>
      </c>
      <c r="D199" s="2">
        <v>45656</v>
      </c>
      <c r="E199" s="3">
        <v>730</v>
      </c>
      <c r="G199" s="3">
        <v>1680000</v>
      </c>
      <c r="H199" s="3">
        <f t="shared" si="9"/>
        <v>11340000000</v>
      </c>
      <c r="J199" s="3">
        <v>37500000</v>
      </c>
      <c r="K199" s="3"/>
      <c r="L199" s="3">
        <f t="shared" si="10"/>
        <v>27375000000</v>
      </c>
      <c r="N199" s="4">
        <f t="shared" si="11"/>
        <v>0.58575342465753422</v>
      </c>
    </row>
    <row r="200" spans="1:14" x14ac:dyDescent="0.45">
      <c r="A200" s="2">
        <v>45653</v>
      </c>
      <c r="B200" s="3">
        <v>6698.5</v>
      </c>
      <c r="D200" s="2">
        <v>45653</v>
      </c>
      <c r="E200" s="3">
        <v>759.3</v>
      </c>
      <c r="G200" s="3">
        <v>1680000</v>
      </c>
      <c r="H200" s="3">
        <f t="shared" si="9"/>
        <v>11253480000</v>
      </c>
      <c r="J200" s="3">
        <v>37500000</v>
      </c>
      <c r="K200" s="3"/>
      <c r="L200" s="3">
        <f t="shared" si="10"/>
        <v>28473750000</v>
      </c>
      <c r="N200" s="4">
        <f t="shared" si="11"/>
        <v>0.60477703147635986</v>
      </c>
    </row>
    <row r="201" spans="1:14" x14ac:dyDescent="0.45">
      <c r="A201" s="2">
        <v>45652</v>
      </c>
      <c r="B201" s="3">
        <v>6808.9</v>
      </c>
      <c r="D201" s="2">
        <v>45652</v>
      </c>
      <c r="E201" s="3">
        <v>756.55</v>
      </c>
      <c r="G201" s="3">
        <v>1680000</v>
      </c>
      <c r="H201" s="3">
        <f t="shared" si="9"/>
        <v>11438952000</v>
      </c>
      <c r="J201" s="3">
        <v>37500000</v>
      </c>
      <c r="K201" s="3"/>
      <c r="L201" s="3">
        <f t="shared" si="10"/>
        <v>28370625000</v>
      </c>
      <c r="N201" s="4">
        <f t="shared" si="11"/>
        <v>0.59680296080893536</v>
      </c>
    </row>
    <row r="202" spans="1:14" x14ac:dyDescent="0.45">
      <c r="A202" s="2">
        <v>45650</v>
      </c>
      <c r="B202" s="3">
        <v>6758.7</v>
      </c>
      <c r="D202" s="2">
        <v>45650</v>
      </c>
      <c r="E202" s="3">
        <v>758</v>
      </c>
      <c r="G202" s="3">
        <v>1680000</v>
      </c>
      <c r="H202" s="3">
        <f t="shared" si="9"/>
        <v>11354616000</v>
      </c>
      <c r="J202" s="3">
        <v>37500000</v>
      </c>
      <c r="K202" s="3"/>
      <c r="L202" s="3">
        <f t="shared" si="10"/>
        <v>28425000000</v>
      </c>
      <c r="N202" s="4">
        <f t="shared" si="11"/>
        <v>0.60054121372031655</v>
      </c>
    </row>
    <row r="203" spans="1:14" x14ac:dyDescent="0.45">
      <c r="A203" s="2">
        <v>45649</v>
      </c>
      <c r="B203" s="3">
        <v>6763</v>
      </c>
      <c r="D203" s="2">
        <v>45649</v>
      </c>
      <c r="E203" s="3">
        <v>748.7</v>
      </c>
      <c r="G203" s="3">
        <v>1680000</v>
      </c>
      <c r="H203" s="3">
        <f t="shared" si="9"/>
        <v>11361840000</v>
      </c>
      <c r="J203" s="3">
        <v>37500000</v>
      </c>
      <c r="K203" s="3"/>
      <c r="L203" s="3">
        <f t="shared" si="10"/>
        <v>28076250000</v>
      </c>
      <c r="N203" s="4">
        <f t="shared" si="11"/>
        <v>0.59532202484306129</v>
      </c>
    </row>
    <row r="204" spans="1:14" x14ac:dyDescent="0.45">
      <c r="A204" s="2">
        <v>45646</v>
      </c>
      <c r="B204" s="3">
        <v>6812.4</v>
      </c>
      <c r="D204" s="2">
        <v>45646</v>
      </c>
      <c r="E204" s="3">
        <v>771.45</v>
      </c>
      <c r="G204" s="3">
        <v>1680000</v>
      </c>
      <c r="H204" s="3">
        <f t="shared" si="9"/>
        <v>11444832000</v>
      </c>
      <c r="J204" s="3">
        <v>37500000</v>
      </c>
      <c r="K204" s="3"/>
      <c r="L204" s="3">
        <f t="shared" si="10"/>
        <v>28929375000</v>
      </c>
      <c r="N204" s="4">
        <f t="shared" si="11"/>
        <v>0.60438716702313822</v>
      </c>
    </row>
    <row r="205" spans="1:14" x14ac:dyDescent="0.45">
      <c r="A205" s="2">
        <v>45645</v>
      </c>
      <c r="B205" s="3">
        <v>6935.1</v>
      </c>
      <c r="D205" s="2">
        <v>45645</v>
      </c>
      <c r="E205" s="3">
        <v>776.8</v>
      </c>
      <c r="G205" s="3">
        <v>1680000</v>
      </c>
      <c r="H205" s="3">
        <f t="shared" si="9"/>
        <v>11650968000</v>
      </c>
      <c r="J205" s="3">
        <v>37500000</v>
      </c>
      <c r="K205" s="3"/>
      <c r="L205" s="3">
        <f t="shared" si="10"/>
        <v>29130000000</v>
      </c>
      <c r="N205" s="4">
        <f t="shared" si="11"/>
        <v>0.60003542739443871</v>
      </c>
    </row>
    <row r="206" spans="1:14" x14ac:dyDescent="0.45">
      <c r="A206" s="2">
        <v>45644</v>
      </c>
      <c r="B206" s="3">
        <v>7325</v>
      </c>
      <c r="D206" s="2">
        <v>45644</v>
      </c>
      <c r="E206" s="3">
        <v>787.25</v>
      </c>
      <c r="G206" s="3">
        <v>1680000</v>
      </c>
      <c r="H206" s="3">
        <f t="shared" si="9"/>
        <v>12306000000</v>
      </c>
      <c r="J206" s="3">
        <v>37500000</v>
      </c>
      <c r="K206" s="3"/>
      <c r="L206" s="3">
        <f t="shared" si="10"/>
        <v>29521875000</v>
      </c>
      <c r="N206" s="4">
        <f t="shared" si="11"/>
        <v>0.5831565576373452</v>
      </c>
    </row>
    <row r="207" spans="1:14" x14ac:dyDescent="0.45">
      <c r="A207" s="2">
        <v>45643</v>
      </c>
      <c r="B207" s="3">
        <v>7201.2</v>
      </c>
      <c r="D207" s="2">
        <v>45643</v>
      </c>
      <c r="E207" s="3">
        <v>795.85</v>
      </c>
      <c r="G207" s="3">
        <v>1680000</v>
      </c>
      <c r="H207" s="3">
        <f t="shared" si="9"/>
        <v>12098016000</v>
      </c>
      <c r="J207" s="3">
        <v>37500000</v>
      </c>
      <c r="K207" s="3"/>
      <c r="L207" s="3">
        <f t="shared" si="10"/>
        <v>29844375000</v>
      </c>
      <c r="N207" s="4">
        <f t="shared" si="11"/>
        <v>0.59462994282842252</v>
      </c>
    </row>
    <row r="208" spans="1:14" x14ac:dyDescent="0.45">
      <c r="A208" s="2">
        <v>45642</v>
      </c>
      <c r="B208" s="3">
        <v>7225</v>
      </c>
      <c r="D208" s="2">
        <v>45642</v>
      </c>
      <c r="E208" s="3">
        <v>804.85</v>
      </c>
      <c r="G208" s="3">
        <v>1680000</v>
      </c>
      <c r="H208" s="3">
        <f t="shared" si="9"/>
        <v>12138000000</v>
      </c>
      <c r="J208" s="3">
        <v>37500000</v>
      </c>
      <c r="K208" s="3"/>
      <c r="L208" s="3">
        <f t="shared" si="10"/>
        <v>30181875000</v>
      </c>
      <c r="N208" s="4">
        <f t="shared" si="11"/>
        <v>0.59783810647946822</v>
      </c>
    </row>
    <row r="209" spans="1:14" x14ac:dyDescent="0.45">
      <c r="A209" s="2">
        <v>45639</v>
      </c>
      <c r="B209" s="3">
        <v>7305.8</v>
      </c>
      <c r="D209" s="2">
        <v>45639</v>
      </c>
      <c r="E209" s="3">
        <v>784.2</v>
      </c>
      <c r="G209" s="3">
        <v>1680000</v>
      </c>
      <c r="H209" s="3">
        <f t="shared" si="9"/>
        <v>12273744000</v>
      </c>
      <c r="J209" s="3">
        <v>37500000</v>
      </c>
      <c r="K209" s="3"/>
      <c r="L209" s="3">
        <f t="shared" si="10"/>
        <v>29407500000</v>
      </c>
      <c r="N209" s="4">
        <f t="shared" si="11"/>
        <v>0.58263218566692165</v>
      </c>
    </row>
    <row r="210" spans="1:14" x14ac:dyDescent="0.45">
      <c r="A210" s="2">
        <v>45638</v>
      </c>
      <c r="B210" s="3">
        <v>7300</v>
      </c>
      <c r="D210" s="2">
        <v>45638</v>
      </c>
      <c r="E210" s="3">
        <v>812.55</v>
      </c>
      <c r="G210" s="3">
        <v>1680000</v>
      </c>
      <c r="H210" s="3">
        <f t="shared" si="9"/>
        <v>12264000000</v>
      </c>
      <c r="J210" s="3">
        <v>37500000</v>
      </c>
      <c r="K210" s="3"/>
      <c r="L210" s="3">
        <f t="shared" si="10"/>
        <v>30470625000</v>
      </c>
      <c r="N210" s="4">
        <f t="shared" si="11"/>
        <v>0.59751399913851455</v>
      </c>
    </row>
    <row r="211" spans="1:14" x14ac:dyDescent="0.45">
      <c r="A211" s="2">
        <v>45637</v>
      </c>
      <c r="B211" s="3">
        <v>7337.6</v>
      </c>
      <c r="D211" s="2">
        <v>45637</v>
      </c>
      <c r="E211" s="3">
        <v>817.15</v>
      </c>
      <c r="G211" s="3">
        <v>1680000</v>
      </c>
      <c r="H211" s="3">
        <f t="shared" si="9"/>
        <v>12327168000</v>
      </c>
      <c r="J211" s="3">
        <v>37500000</v>
      </c>
      <c r="K211" s="3"/>
      <c r="L211" s="3">
        <f t="shared" si="10"/>
        <v>30643125000</v>
      </c>
      <c r="N211" s="4">
        <f t="shared" si="11"/>
        <v>0.59771831365110439</v>
      </c>
    </row>
    <row r="212" spans="1:14" x14ac:dyDescent="0.45">
      <c r="A212" s="2">
        <v>45636</v>
      </c>
      <c r="B212" s="3">
        <v>7277.05</v>
      </c>
      <c r="D212" s="2">
        <v>45636</v>
      </c>
      <c r="E212" s="3">
        <v>830.3</v>
      </c>
      <c r="G212" s="3">
        <v>1680000</v>
      </c>
      <c r="H212" s="3">
        <f t="shared" si="9"/>
        <v>12225444000</v>
      </c>
      <c r="J212" s="3">
        <v>37500000</v>
      </c>
      <c r="K212" s="3"/>
      <c r="L212" s="3">
        <f t="shared" si="10"/>
        <v>31136250000</v>
      </c>
      <c r="N212" s="4">
        <f t="shared" si="11"/>
        <v>0.60735656991448872</v>
      </c>
    </row>
    <row r="213" spans="1:14" x14ac:dyDescent="0.45">
      <c r="A213" s="2">
        <v>45635</v>
      </c>
      <c r="B213" s="3">
        <v>7353.75</v>
      </c>
      <c r="D213" s="2">
        <v>45635</v>
      </c>
      <c r="E213" s="3">
        <v>838.2</v>
      </c>
      <c r="G213" s="3">
        <v>1680000</v>
      </c>
      <c r="H213" s="3">
        <f t="shared" si="9"/>
        <v>12354300000</v>
      </c>
      <c r="J213" s="3">
        <v>37500000</v>
      </c>
      <c r="K213" s="3"/>
      <c r="L213" s="3">
        <f t="shared" si="10"/>
        <v>31432500000</v>
      </c>
      <c r="N213" s="4">
        <f t="shared" si="11"/>
        <v>0.6069577666428061</v>
      </c>
    </row>
    <row r="214" spans="1:14" x14ac:dyDescent="0.45">
      <c r="A214" s="2">
        <v>45632</v>
      </c>
      <c r="B214" s="3">
        <v>7206.85</v>
      </c>
      <c r="D214" s="2">
        <v>45632</v>
      </c>
      <c r="E214" s="3">
        <v>835.1</v>
      </c>
      <c r="G214" s="3">
        <v>1680000</v>
      </c>
      <c r="H214" s="3">
        <f t="shared" si="9"/>
        <v>12107508000</v>
      </c>
      <c r="J214" s="3">
        <v>37500000</v>
      </c>
      <c r="K214" s="3"/>
      <c r="L214" s="3">
        <f t="shared" si="10"/>
        <v>31316250000</v>
      </c>
      <c r="N214" s="4">
        <f t="shared" si="11"/>
        <v>0.61337937971500422</v>
      </c>
    </row>
    <row r="215" spans="1:14" x14ac:dyDescent="0.45">
      <c r="A215" s="2">
        <v>45631</v>
      </c>
      <c r="B215" s="3">
        <v>7221</v>
      </c>
      <c r="D215" s="2">
        <v>45631</v>
      </c>
      <c r="E215" s="3">
        <v>844.25</v>
      </c>
      <c r="G215" s="3">
        <v>1680000</v>
      </c>
      <c r="H215" s="3">
        <f t="shared" si="9"/>
        <v>12131280000</v>
      </c>
      <c r="J215" s="3">
        <v>37500000</v>
      </c>
      <c r="K215" s="3"/>
      <c r="L215" s="3">
        <f t="shared" si="10"/>
        <v>31659375000</v>
      </c>
      <c r="N215" s="4">
        <f t="shared" si="11"/>
        <v>0.61681871483565298</v>
      </c>
    </row>
    <row r="216" spans="1:14" x14ac:dyDescent="0.45">
      <c r="A216" s="2">
        <v>45630</v>
      </c>
      <c r="B216" s="3">
        <v>7160.2</v>
      </c>
      <c r="D216" s="2">
        <v>45630</v>
      </c>
      <c r="E216" s="3">
        <v>826.4</v>
      </c>
      <c r="G216" s="3">
        <v>1680000</v>
      </c>
      <c r="H216" s="3">
        <f t="shared" si="9"/>
        <v>12029136000</v>
      </c>
      <c r="J216" s="3">
        <v>37500000</v>
      </c>
      <c r="K216" s="3"/>
      <c r="L216" s="3">
        <f t="shared" si="10"/>
        <v>30990000000</v>
      </c>
      <c r="N216" s="4">
        <f t="shared" si="11"/>
        <v>0.61183814133591485</v>
      </c>
    </row>
    <row r="217" spans="1:14" x14ac:dyDescent="0.45">
      <c r="A217" s="2">
        <v>45629</v>
      </c>
      <c r="B217" s="3">
        <v>7310</v>
      </c>
      <c r="D217" s="2">
        <v>45629</v>
      </c>
      <c r="E217" s="3">
        <v>835.35</v>
      </c>
      <c r="G217" s="3">
        <v>1680000</v>
      </c>
      <c r="H217" s="3">
        <f t="shared" si="9"/>
        <v>12280800000</v>
      </c>
      <c r="J217" s="3">
        <v>37500000</v>
      </c>
      <c r="K217" s="3"/>
      <c r="L217" s="3">
        <f t="shared" si="10"/>
        <v>31325625000</v>
      </c>
      <c r="N217" s="4">
        <f t="shared" si="11"/>
        <v>0.60796312922727003</v>
      </c>
    </row>
    <row r="218" spans="1:14" x14ac:dyDescent="0.45">
      <c r="A218" s="2">
        <v>45628</v>
      </c>
      <c r="B218" s="3">
        <v>7307.1</v>
      </c>
      <c r="D218" s="2">
        <v>45628</v>
      </c>
      <c r="E218" s="3">
        <v>827.05</v>
      </c>
      <c r="G218" s="3">
        <v>1680000</v>
      </c>
      <c r="H218" s="3">
        <f t="shared" si="9"/>
        <v>12275928000</v>
      </c>
      <c r="J218" s="3">
        <v>37500000</v>
      </c>
      <c r="K218" s="3"/>
      <c r="L218" s="3">
        <f t="shared" si="10"/>
        <v>31014375000</v>
      </c>
      <c r="N218" s="4">
        <f t="shared" si="11"/>
        <v>0.60418586542530683</v>
      </c>
    </row>
    <row r="219" spans="1:14" x14ac:dyDescent="0.45">
      <c r="A219" s="2">
        <v>45625</v>
      </c>
      <c r="B219" s="3">
        <v>7496.65</v>
      </c>
      <c r="D219" s="2">
        <v>45625</v>
      </c>
      <c r="E219" s="3">
        <v>832.85</v>
      </c>
      <c r="G219" s="3">
        <v>1680000</v>
      </c>
      <c r="H219" s="3">
        <f t="shared" si="9"/>
        <v>12594372000</v>
      </c>
      <c r="J219" s="3">
        <v>37500000</v>
      </c>
      <c r="K219" s="3"/>
      <c r="L219" s="3">
        <f t="shared" si="10"/>
        <v>31231875000</v>
      </c>
      <c r="N219" s="4">
        <f t="shared" si="11"/>
        <v>0.59674620880110463</v>
      </c>
    </row>
    <row r="220" spans="1:14" x14ac:dyDescent="0.45">
      <c r="A220" s="2">
        <v>45624</v>
      </c>
      <c r="B220" s="3">
        <v>7382.5</v>
      </c>
      <c r="D220" s="2">
        <v>45624</v>
      </c>
      <c r="E220" s="3">
        <v>836.75</v>
      </c>
      <c r="G220" s="3">
        <v>1680000</v>
      </c>
      <c r="H220" s="3">
        <f t="shared" si="9"/>
        <v>12402600000</v>
      </c>
      <c r="J220" s="3">
        <v>37500000</v>
      </c>
      <c r="K220" s="3"/>
      <c r="L220" s="3">
        <f t="shared" si="10"/>
        <v>31378125000</v>
      </c>
      <c r="N220" s="4">
        <f t="shared" si="11"/>
        <v>0.60473737675530326</v>
      </c>
    </row>
    <row r="221" spans="1:14" x14ac:dyDescent="0.45">
      <c r="A221" s="2">
        <v>45623</v>
      </c>
      <c r="B221" s="3">
        <v>7190.9</v>
      </c>
      <c r="D221" s="2">
        <v>45623</v>
      </c>
      <c r="E221" s="3">
        <v>839.35</v>
      </c>
      <c r="G221" s="3">
        <v>1680000</v>
      </c>
      <c r="H221" s="3">
        <f t="shared" si="9"/>
        <v>12080712000</v>
      </c>
      <c r="J221" s="3">
        <v>37500000</v>
      </c>
      <c r="K221" s="3"/>
      <c r="L221" s="3">
        <f t="shared" si="10"/>
        <v>31475625000</v>
      </c>
      <c r="N221" s="4">
        <f t="shared" si="11"/>
        <v>0.61618833621254543</v>
      </c>
    </row>
    <row r="222" spans="1:14" x14ac:dyDescent="0.45">
      <c r="A222" s="2">
        <v>45622</v>
      </c>
      <c r="B222" s="3">
        <v>7446</v>
      </c>
      <c r="D222" s="2">
        <v>45622</v>
      </c>
      <c r="E222" s="3">
        <v>834.3</v>
      </c>
      <c r="G222" s="3">
        <v>1680000</v>
      </c>
      <c r="H222" s="3">
        <f t="shared" si="9"/>
        <v>12509280000</v>
      </c>
      <c r="J222" s="3">
        <v>37500000</v>
      </c>
      <c r="K222" s="3"/>
      <c r="L222" s="3">
        <f t="shared" si="10"/>
        <v>31286250000</v>
      </c>
      <c r="N222" s="4">
        <f t="shared" si="11"/>
        <v>0.60016684645810858</v>
      </c>
    </row>
    <row r="223" spans="1:14" x14ac:dyDescent="0.45">
      <c r="A223" s="2">
        <v>45621</v>
      </c>
      <c r="B223" s="3">
        <v>7200</v>
      </c>
      <c r="D223" s="2">
        <v>45621</v>
      </c>
      <c r="E223" s="3">
        <v>833.65</v>
      </c>
      <c r="G223" s="3">
        <v>1680000</v>
      </c>
      <c r="H223" s="3">
        <f t="shared" si="9"/>
        <v>12096000000</v>
      </c>
      <c r="J223" s="3">
        <v>37500000</v>
      </c>
      <c r="K223" s="3"/>
      <c r="L223" s="3">
        <f t="shared" si="10"/>
        <v>31261875000</v>
      </c>
      <c r="N223" s="4">
        <f t="shared" si="11"/>
        <v>0.61307503148803455</v>
      </c>
    </row>
    <row r="224" spans="1:14" x14ac:dyDescent="0.45">
      <c r="A224" s="2">
        <v>45618</v>
      </c>
      <c r="B224" s="3">
        <v>7276.55</v>
      </c>
      <c r="D224" s="2">
        <v>45618</v>
      </c>
      <c r="E224" s="3">
        <v>797.95</v>
      </c>
      <c r="G224" s="3">
        <v>1680000</v>
      </c>
      <c r="H224" s="3">
        <f t="shared" si="9"/>
        <v>12224604000</v>
      </c>
      <c r="J224" s="3">
        <v>37500000</v>
      </c>
      <c r="K224" s="3"/>
      <c r="L224" s="3">
        <f t="shared" si="10"/>
        <v>29923125000</v>
      </c>
      <c r="N224" s="4">
        <f t="shared" si="11"/>
        <v>0.59146633247697222</v>
      </c>
    </row>
    <row r="225" spans="1:14" x14ac:dyDescent="0.45">
      <c r="A225" s="2">
        <v>45617</v>
      </c>
      <c r="B225" s="3">
        <v>7250</v>
      </c>
      <c r="D225" s="2">
        <v>45617</v>
      </c>
      <c r="E225" s="3">
        <v>798.2</v>
      </c>
      <c r="G225" s="3">
        <v>1680000</v>
      </c>
      <c r="H225" s="3">
        <f t="shared" si="9"/>
        <v>12180000000</v>
      </c>
      <c r="J225" s="3">
        <v>37500000</v>
      </c>
      <c r="K225" s="3"/>
      <c r="L225" s="3">
        <f t="shared" si="10"/>
        <v>29932500000</v>
      </c>
      <c r="N225" s="4">
        <f t="shared" si="11"/>
        <v>0.59308443998997751</v>
      </c>
    </row>
    <row r="226" spans="1:14" x14ac:dyDescent="0.45">
      <c r="A226" s="2">
        <v>45615</v>
      </c>
      <c r="B226" s="3">
        <v>7795.95</v>
      </c>
      <c r="D226" s="2">
        <v>45615</v>
      </c>
      <c r="E226" s="3">
        <v>811.85</v>
      </c>
      <c r="G226" s="3">
        <v>1680000</v>
      </c>
      <c r="H226" s="3">
        <f t="shared" si="9"/>
        <v>13097196000</v>
      </c>
      <c r="J226" s="3">
        <v>37500000</v>
      </c>
      <c r="K226" s="3"/>
      <c r="L226" s="3">
        <f t="shared" si="10"/>
        <v>30444375000</v>
      </c>
      <c r="N226" s="4">
        <f t="shared" si="11"/>
        <v>0.56979915008930226</v>
      </c>
    </row>
    <row r="227" spans="1:14" x14ac:dyDescent="0.45">
      <c r="A227" s="2">
        <v>45614</v>
      </c>
      <c r="B227" s="3">
        <v>7200.45</v>
      </c>
      <c r="D227" s="2">
        <v>45614</v>
      </c>
      <c r="E227" s="3">
        <v>796.95</v>
      </c>
      <c r="G227" s="3">
        <v>1680000</v>
      </c>
      <c r="H227" s="3">
        <f t="shared" si="9"/>
        <v>12096756000</v>
      </c>
      <c r="J227" s="3">
        <v>37500000</v>
      </c>
      <c r="K227" s="3"/>
      <c r="L227" s="3">
        <f t="shared" si="10"/>
        <v>29885625000</v>
      </c>
      <c r="N227" s="4">
        <f t="shared" si="11"/>
        <v>0.59523162055335965</v>
      </c>
    </row>
    <row r="228" spans="1:14" x14ac:dyDescent="0.45">
      <c r="A228" s="2">
        <v>45610</v>
      </c>
      <c r="B228" s="3">
        <v>7466.05</v>
      </c>
      <c r="D228" s="2">
        <v>45610</v>
      </c>
      <c r="E228" s="3">
        <v>817.4</v>
      </c>
      <c r="G228" s="3">
        <v>1680000</v>
      </c>
      <c r="H228" s="3">
        <f t="shared" si="9"/>
        <v>12542964000</v>
      </c>
      <c r="J228" s="3">
        <v>37500000</v>
      </c>
      <c r="K228" s="3"/>
      <c r="L228" s="3">
        <f t="shared" si="10"/>
        <v>30652500000</v>
      </c>
      <c r="N228" s="4">
        <f t="shared" si="11"/>
        <v>0.59080127232689006</v>
      </c>
    </row>
    <row r="229" spans="1:14" x14ac:dyDescent="0.45">
      <c r="A229" s="2">
        <v>45609</v>
      </c>
      <c r="B229" s="3">
        <v>7213.3</v>
      </c>
      <c r="D229" s="2">
        <v>45609</v>
      </c>
      <c r="E229" s="3">
        <v>799.15</v>
      </c>
      <c r="G229" s="3">
        <v>1680000</v>
      </c>
      <c r="H229" s="3">
        <f t="shared" si="9"/>
        <v>12118344000</v>
      </c>
      <c r="J229" s="3">
        <v>37500000</v>
      </c>
      <c r="K229" s="3"/>
      <c r="L229" s="3">
        <f t="shared" si="10"/>
        <v>29968125000</v>
      </c>
      <c r="N229" s="4">
        <f t="shared" si="11"/>
        <v>0.59562555214915847</v>
      </c>
    </row>
    <row r="230" spans="1:14" x14ac:dyDescent="0.45">
      <c r="A230" s="2">
        <v>45608</v>
      </c>
      <c r="B230" s="3">
        <v>7461.55</v>
      </c>
      <c r="D230" s="2">
        <v>45608</v>
      </c>
      <c r="E230" s="3">
        <v>824.4</v>
      </c>
      <c r="G230" s="3">
        <v>1680000</v>
      </c>
      <c r="H230" s="3">
        <f t="shared" si="9"/>
        <v>12535404000</v>
      </c>
      <c r="J230" s="3">
        <v>37500000</v>
      </c>
      <c r="K230" s="3"/>
      <c r="L230" s="3">
        <f t="shared" si="10"/>
        <v>30915000000</v>
      </c>
      <c r="N230" s="4">
        <f t="shared" si="11"/>
        <v>0.59452032993692383</v>
      </c>
    </row>
    <row r="231" spans="1:14" x14ac:dyDescent="0.45">
      <c r="A231" s="2">
        <v>45607</v>
      </c>
      <c r="B231" s="3">
        <v>7405.65</v>
      </c>
      <c r="D231" s="2">
        <v>45607</v>
      </c>
      <c r="E231" s="3">
        <v>829.25</v>
      </c>
      <c r="G231" s="3">
        <v>1680000</v>
      </c>
      <c r="H231" s="3">
        <f t="shared" si="9"/>
        <v>12441492000</v>
      </c>
      <c r="J231" s="3">
        <v>37500000</v>
      </c>
      <c r="K231" s="3"/>
      <c r="L231" s="3">
        <f t="shared" si="10"/>
        <v>31096875000</v>
      </c>
      <c r="N231" s="4">
        <f t="shared" si="11"/>
        <v>0.5999118239372927</v>
      </c>
    </row>
    <row r="232" spans="1:14" x14ac:dyDescent="0.45">
      <c r="A232" s="2">
        <v>45604</v>
      </c>
      <c r="B232" s="3">
        <v>7594.65</v>
      </c>
      <c r="D232" s="2">
        <v>45604</v>
      </c>
      <c r="E232" s="3">
        <v>819</v>
      </c>
      <c r="G232" s="3">
        <v>1680000</v>
      </c>
      <c r="H232" s="3">
        <f t="shared" si="9"/>
        <v>12759012000</v>
      </c>
      <c r="J232" s="3">
        <v>37500000</v>
      </c>
      <c r="K232" s="3"/>
      <c r="L232" s="3">
        <f t="shared" si="10"/>
        <v>30712500000</v>
      </c>
      <c r="N232" s="4">
        <f t="shared" si="11"/>
        <v>0.58456615384615385</v>
      </c>
    </row>
    <row r="233" spans="1:14" x14ac:dyDescent="0.45">
      <c r="A233" s="2">
        <v>45603</v>
      </c>
      <c r="B233" s="3">
        <v>7612</v>
      </c>
      <c r="D233" s="2">
        <v>45603</v>
      </c>
      <c r="E233" s="3">
        <v>808.7</v>
      </c>
      <c r="G233" s="3">
        <v>1680000</v>
      </c>
      <c r="H233" s="3">
        <f t="shared" si="9"/>
        <v>12788160000</v>
      </c>
      <c r="J233" s="3">
        <v>37500000</v>
      </c>
      <c r="K233" s="3"/>
      <c r="L233" s="3">
        <f t="shared" si="10"/>
        <v>30326250000</v>
      </c>
      <c r="N233" s="4">
        <f t="shared" si="11"/>
        <v>0.57831383702238159</v>
      </c>
    </row>
    <row r="234" spans="1:14" x14ac:dyDescent="0.45">
      <c r="A234" s="2">
        <v>45602</v>
      </c>
      <c r="B234" s="3">
        <v>7616.9</v>
      </c>
      <c r="D234" s="2">
        <v>45602</v>
      </c>
      <c r="E234" s="3">
        <v>820.35</v>
      </c>
      <c r="G234" s="3">
        <v>1680000</v>
      </c>
      <c r="H234" s="3">
        <f t="shared" si="9"/>
        <v>12796392000</v>
      </c>
      <c r="J234" s="3">
        <v>37500000</v>
      </c>
      <c r="K234" s="3"/>
      <c r="L234" s="3">
        <f t="shared" si="10"/>
        <v>30763125000</v>
      </c>
      <c r="N234" s="4">
        <f t="shared" si="11"/>
        <v>0.58403471688913267</v>
      </c>
    </row>
    <row r="235" spans="1:14" x14ac:dyDescent="0.45">
      <c r="A235" s="2">
        <v>45601</v>
      </c>
      <c r="B235" s="3">
        <v>7376.5</v>
      </c>
      <c r="D235" s="2">
        <v>45601</v>
      </c>
      <c r="E235" s="3">
        <v>795.3</v>
      </c>
      <c r="G235" s="3">
        <v>1680000</v>
      </c>
      <c r="H235" s="3">
        <f t="shared" si="9"/>
        <v>12392520000</v>
      </c>
      <c r="J235" s="3">
        <v>37500000</v>
      </c>
      <c r="K235" s="3"/>
      <c r="L235" s="3">
        <f t="shared" si="10"/>
        <v>29823750000</v>
      </c>
      <c r="N235" s="4">
        <f t="shared" si="11"/>
        <v>0.58447478938765252</v>
      </c>
    </row>
    <row r="236" spans="1:14" x14ac:dyDescent="0.45">
      <c r="A236" s="2">
        <v>45600</v>
      </c>
      <c r="B236" s="3">
        <v>6754.75</v>
      </c>
      <c r="D236" s="2">
        <v>45600</v>
      </c>
      <c r="E236" s="3">
        <v>793</v>
      </c>
      <c r="G236" s="3">
        <v>1680000</v>
      </c>
      <c r="H236" s="3">
        <f t="shared" si="9"/>
        <v>11347980000</v>
      </c>
      <c r="J236" s="3">
        <v>37500000</v>
      </c>
      <c r="K236" s="3"/>
      <c r="L236" s="3">
        <f t="shared" si="10"/>
        <v>29737500000</v>
      </c>
      <c r="N236" s="4">
        <f t="shared" si="11"/>
        <v>0.61839495586380833</v>
      </c>
    </row>
    <row r="237" spans="1:14" x14ac:dyDescent="0.45">
      <c r="A237" s="2">
        <v>45597</v>
      </c>
      <c r="B237" s="3">
        <v>7104.2</v>
      </c>
      <c r="D237" s="2">
        <v>45597</v>
      </c>
      <c r="E237" s="3">
        <v>802.15</v>
      </c>
      <c r="G237" s="3">
        <v>1680000</v>
      </c>
      <c r="H237" s="3">
        <f t="shared" si="9"/>
        <v>11935056000</v>
      </c>
      <c r="J237" s="3">
        <v>37500000</v>
      </c>
      <c r="K237" s="3"/>
      <c r="L237" s="3">
        <f t="shared" si="10"/>
        <v>30080625000</v>
      </c>
      <c r="N237" s="4">
        <f t="shared" si="11"/>
        <v>0.6032311163747428</v>
      </c>
    </row>
    <row r="238" spans="1:14" x14ac:dyDescent="0.45">
      <c r="A238" s="2">
        <v>45596</v>
      </c>
      <c r="B238" s="3">
        <v>7122.3</v>
      </c>
      <c r="D238" s="2">
        <v>45596</v>
      </c>
      <c r="E238" s="3">
        <v>800.2</v>
      </c>
      <c r="G238" s="3">
        <v>1680000</v>
      </c>
      <c r="H238" s="3">
        <f t="shared" si="9"/>
        <v>11965464000</v>
      </c>
      <c r="J238" s="3">
        <v>37500000</v>
      </c>
      <c r="K238" s="3"/>
      <c r="L238" s="3">
        <f t="shared" si="10"/>
        <v>30007500000</v>
      </c>
      <c r="N238" s="4">
        <f t="shared" si="11"/>
        <v>0.60125088727818043</v>
      </c>
    </row>
    <row r="239" spans="1:14" x14ac:dyDescent="0.45">
      <c r="A239" s="2">
        <v>45595</v>
      </c>
      <c r="B239" s="3">
        <v>7700</v>
      </c>
      <c r="D239" s="2">
        <v>45595</v>
      </c>
      <c r="E239" s="3">
        <v>823.65</v>
      </c>
      <c r="G239" s="3">
        <v>1680000</v>
      </c>
      <c r="H239" s="3">
        <f t="shared" si="9"/>
        <v>12936000000</v>
      </c>
      <c r="J239" s="3">
        <v>37500000</v>
      </c>
      <c r="K239" s="3"/>
      <c r="L239" s="3">
        <f t="shared" si="10"/>
        <v>30886875000</v>
      </c>
      <c r="N239" s="4">
        <f t="shared" si="11"/>
        <v>0.58118132701997205</v>
      </c>
    </row>
    <row r="240" spans="1:14" x14ac:dyDescent="0.45">
      <c r="A240" s="2">
        <v>45594</v>
      </c>
      <c r="B240" s="3">
        <v>7846.9</v>
      </c>
      <c r="D240" s="2">
        <v>45594</v>
      </c>
      <c r="E240" s="3">
        <v>791.65</v>
      </c>
      <c r="G240" s="3">
        <v>1680000</v>
      </c>
      <c r="H240" s="3">
        <f t="shared" si="9"/>
        <v>13182792000</v>
      </c>
      <c r="J240" s="3">
        <v>37500000</v>
      </c>
      <c r="K240" s="3"/>
      <c r="L240" s="3">
        <f t="shared" si="10"/>
        <v>29686875000</v>
      </c>
      <c r="N240" s="4">
        <f t="shared" si="11"/>
        <v>0.55593871028863773</v>
      </c>
    </row>
    <row r="241" spans="1:14" x14ac:dyDescent="0.45">
      <c r="A241" s="2">
        <v>45593</v>
      </c>
      <c r="B241" s="3">
        <v>7573.8</v>
      </c>
      <c r="D241" s="2">
        <v>45593</v>
      </c>
      <c r="E241" s="3">
        <v>831.9</v>
      </c>
      <c r="G241" s="3">
        <v>1680000</v>
      </c>
      <c r="H241" s="3">
        <f t="shared" si="9"/>
        <v>12723984000</v>
      </c>
      <c r="J241" s="3">
        <v>37500000</v>
      </c>
      <c r="K241" s="3"/>
      <c r="L241" s="3">
        <f t="shared" si="10"/>
        <v>31196250000</v>
      </c>
      <c r="N241" s="4">
        <f t="shared" si="11"/>
        <v>0.59213097728092312</v>
      </c>
    </row>
    <row r="242" spans="1:14" x14ac:dyDescent="0.45">
      <c r="A242" s="2">
        <v>45590</v>
      </c>
      <c r="B242" s="3">
        <v>8025.9</v>
      </c>
      <c r="D242" s="2">
        <v>45590</v>
      </c>
      <c r="E242" s="3">
        <v>831.6</v>
      </c>
      <c r="G242" s="3">
        <v>1680000</v>
      </c>
      <c r="H242" s="3">
        <f t="shared" si="9"/>
        <v>13483512000</v>
      </c>
      <c r="J242" s="3">
        <v>37500000</v>
      </c>
      <c r="K242" s="3"/>
      <c r="L242" s="3">
        <f t="shared" si="10"/>
        <v>31185000000</v>
      </c>
      <c r="N242" s="4">
        <f t="shared" si="11"/>
        <v>0.56762828282828282</v>
      </c>
    </row>
    <row r="243" spans="1:14" x14ac:dyDescent="0.45">
      <c r="A243" s="2">
        <v>45589</v>
      </c>
      <c r="B243" s="3">
        <v>7744.5</v>
      </c>
      <c r="D243" s="2">
        <v>45589</v>
      </c>
      <c r="E243" s="3">
        <v>846.55</v>
      </c>
      <c r="G243" s="3">
        <v>1680000</v>
      </c>
      <c r="H243" s="3">
        <f t="shared" si="9"/>
        <v>13010760000</v>
      </c>
      <c r="J243" s="3">
        <v>37500000</v>
      </c>
      <c r="K243" s="3"/>
      <c r="L243" s="3">
        <f t="shared" si="10"/>
        <v>31745625000</v>
      </c>
      <c r="N243" s="4">
        <f t="shared" si="11"/>
        <v>0.59015580887130115</v>
      </c>
    </row>
    <row r="244" spans="1:14" x14ac:dyDescent="0.45">
      <c r="A244" s="2">
        <v>45588</v>
      </c>
      <c r="B244" s="3">
        <v>7525.05</v>
      </c>
      <c r="D244" s="2">
        <v>45588</v>
      </c>
      <c r="E244" s="3">
        <v>864.85</v>
      </c>
      <c r="G244" s="3">
        <v>1680000</v>
      </c>
      <c r="H244" s="3">
        <f t="shared" si="9"/>
        <v>12642084000</v>
      </c>
      <c r="J244" s="3">
        <v>37500000</v>
      </c>
      <c r="K244" s="3"/>
      <c r="L244" s="3">
        <f t="shared" si="10"/>
        <v>32431875000</v>
      </c>
      <c r="N244" s="4">
        <f t="shared" si="11"/>
        <v>0.61019571023876973</v>
      </c>
    </row>
    <row r="245" spans="1:14" x14ac:dyDescent="0.45">
      <c r="A245" s="2">
        <v>45587</v>
      </c>
      <c r="B245" s="3">
        <v>7399.1</v>
      </c>
      <c r="D245" s="2">
        <v>45587</v>
      </c>
      <c r="E245" s="3">
        <v>870.05</v>
      </c>
      <c r="G245" s="3">
        <v>1680000</v>
      </c>
      <c r="H245" s="3">
        <f t="shared" si="9"/>
        <v>12430488000</v>
      </c>
      <c r="J245" s="3">
        <v>37500000</v>
      </c>
      <c r="K245" s="3"/>
      <c r="L245" s="3">
        <f t="shared" si="10"/>
        <v>32626875000</v>
      </c>
      <c r="N245" s="4">
        <f t="shared" si="11"/>
        <v>0.61901076949600597</v>
      </c>
    </row>
    <row r="246" spans="1:14" x14ac:dyDescent="0.45">
      <c r="A246" s="2">
        <v>45586</v>
      </c>
      <c r="B246" s="3">
        <v>7655</v>
      </c>
      <c r="D246" s="2">
        <v>45586</v>
      </c>
      <c r="E246" s="3">
        <v>881.8</v>
      </c>
      <c r="G246" s="3">
        <v>1680000</v>
      </c>
      <c r="H246" s="3">
        <f t="shared" si="9"/>
        <v>12860400000</v>
      </c>
      <c r="J246" s="3">
        <v>37500000</v>
      </c>
      <c r="K246" s="3"/>
      <c r="L246" s="3">
        <f t="shared" si="10"/>
        <v>33067500000</v>
      </c>
      <c r="N246" s="4">
        <f t="shared" si="11"/>
        <v>0.61108641415286913</v>
      </c>
    </row>
    <row r="247" spans="1:14" x14ac:dyDescent="0.45">
      <c r="A247" s="2">
        <v>45583</v>
      </c>
      <c r="B247" s="3">
        <v>7243.95</v>
      </c>
      <c r="D247" s="2">
        <v>45583</v>
      </c>
      <c r="E247" s="3">
        <v>885.2</v>
      </c>
      <c r="G247" s="3">
        <v>1680000</v>
      </c>
      <c r="H247" s="3">
        <f t="shared" si="9"/>
        <v>12169836000</v>
      </c>
      <c r="J247" s="3">
        <v>37500000</v>
      </c>
      <c r="K247" s="3"/>
      <c r="L247" s="3">
        <f t="shared" si="10"/>
        <v>33195000000</v>
      </c>
      <c r="N247" s="4">
        <f t="shared" si="11"/>
        <v>0.63338346136466339</v>
      </c>
    </row>
    <row r="248" spans="1:14" x14ac:dyDescent="0.45">
      <c r="A248" s="2">
        <v>45582</v>
      </c>
      <c r="B248" s="3">
        <v>7183</v>
      </c>
      <c r="D248" s="2">
        <v>45582</v>
      </c>
      <c r="E248" s="3">
        <v>889.3</v>
      </c>
      <c r="G248" s="3">
        <v>1680000</v>
      </c>
      <c r="H248" s="3">
        <f t="shared" si="9"/>
        <v>12067440000</v>
      </c>
      <c r="J248" s="3">
        <v>37500000</v>
      </c>
      <c r="K248" s="3"/>
      <c r="L248" s="3">
        <f t="shared" si="10"/>
        <v>33348750000</v>
      </c>
      <c r="N248" s="4">
        <f t="shared" si="11"/>
        <v>0.63814415832677385</v>
      </c>
    </row>
    <row r="249" spans="1:14" x14ac:dyDescent="0.45">
      <c r="A249" s="2">
        <v>45581</v>
      </c>
      <c r="B249" s="3">
        <v>6600</v>
      </c>
      <c r="D249" s="2">
        <v>45581</v>
      </c>
      <c r="E249" s="3">
        <v>890.25</v>
      </c>
      <c r="G249" s="3">
        <v>1680000</v>
      </c>
      <c r="H249" s="3">
        <f t="shared" si="9"/>
        <v>11088000000</v>
      </c>
      <c r="J249" s="3">
        <v>37500000</v>
      </c>
      <c r="K249" s="3"/>
      <c r="L249" s="3">
        <f t="shared" si="10"/>
        <v>33384375000</v>
      </c>
      <c r="N249" s="4">
        <f t="shared" si="11"/>
        <v>0.66786857624262841</v>
      </c>
    </row>
    <row r="250" spans="1:14" x14ac:dyDescent="0.45">
      <c r="A250" s="2">
        <v>45580</v>
      </c>
      <c r="B250" s="3">
        <v>6603.35</v>
      </c>
      <c r="D250" s="2">
        <v>45580</v>
      </c>
      <c r="E250" s="3">
        <v>902.45</v>
      </c>
      <c r="G250" s="3">
        <v>1680000</v>
      </c>
      <c r="H250" s="3">
        <f t="shared" si="9"/>
        <v>11093628000</v>
      </c>
      <c r="J250" s="3">
        <v>37500000</v>
      </c>
      <c r="K250" s="3"/>
      <c r="L250" s="3">
        <f t="shared" si="10"/>
        <v>33841875000</v>
      </c>
      <c r="N250" s="4">
        <f t="shared" si="11"/>
        <v>0.67219227658042002</v>
      </c>
    </row>
    <row r="251" spans="1:14" x14ac:dyDescent="0.45">
      <c r="A251" s="2">
        <v>45579</v>
      </c>
      <c r="B251" s="3">
        <v>6594</v>
      </c>
      <c r="D251" s="2">
        <v>45579</v>
      </c>
      <c r="E251" s="3">
        <v>915.9</v>
      </c>
      <c r="G251" s="3">
        <v>1680000</v>
      </c>
      <c r="H251" s="3">
        <f t="shared" si="9"/>
        <v>11077920000</v>
      </c>
      <c r="J251" s="3">
        <v>37500000</v>
      </c>
      <c r="K251" s="3"/>
      <c r="L251" s="3">
        <f t="shared" si="10"/>
        <v>34346250000</v>
      </c>
      <c r="N251" s="4">
        <f t="shared" si="11"/>
        <v>0.67746347854569278</v>
      </c>
    </row>
    <row r="252" spans="1:14" x14ac:dyDescent="0.45">
      <c r="A252" s="2">
        <v>45576</v>
      </c>
      <c r="B252" s="3">
        <v>6313.25</v>
      </c>
      <c r="D252" s="2">
        <v>45576</v>
      </c>
      <c r="E252" s="3">
        <v>905.5</v>
      </c>
      <c r="G252" s="3">
        <v>1680000</v>
      </c>
      <c r="H252" s="3">
        <f t="shared" si="9"/>
        <v>10606260000</v>
      </c>
      <c r="J252" s="3">
        <v>37500000</v>
      </c>
      <c r="K252" s="3"/>
      <c r="L252" s="3">
        <f t="shared" si="10"/>
        <v>33956250000</v>
      </c>
      <c r="N252" s="4">
        <f t="shared" si="11"/>
        <v>0.68764925455549419</v>
      </c>
    </row>
    <row r="253" spans="1:14" x14ac:dyDescent="0.45">
      <c r="A253" s="2">
        <v>45575</v>
      </c>
      <c r="B253" s="3">
        <v>6457.5</v>
      </c>
      <c r="D253" s="2">
        <v>45575</v>
      </c>
      <c r="E253" s="3">
        <v>893.95</v>
      </c>
      <c r="G253" s="3">
        <v>1680000</v>
      </c>
      <c r="H253" s="3">
        <f t="shared" si="9"/>
        <v>10848600000</v>
      </c>
      <c r="J253" s="3">
        <v>37500000</v>
      </c>
      <c r="K253" s="3"/>
      <c r="L253" s="3">
        <f t="shared" si="10"/>
        <v>33523125000</v>
      </c>
      <c r="N253" s="4">
        <f t="shared" si="11"/>
        <v>0.67638458526763245</v>
      </c>
    </row>
    <row r="254" spans="1:14" x14ac:dyDescent="0.45">
      <c r="A254" s="2">
        <v>45574</v>
      </c>
      <c r="B254" s="3">
        <v>6534</v>
      </c>
      <c r="D254" s="2">
        <v>45574</v>
      </c>
      <c r="E254" s="3">
        <v>888.9</v>
      </c>
      <c r="G254" s="3">
        <v>1680000</v>
      </c>
      <c r="H254" s="3">
        <f t="shared" si="9"/>
        <v>10977120000</v>
      </c>
      <c r="J254" s="3">
        <v>37500000</v>
      </c>
      <c r="K254" s="3"/>
      <c r="L254" s="3">
        <f t="shared" si="10"/>
        <v>33333750000</v>
      </c>
      <c r="N254" s="4">
        <f t="shared" si="11"/>
        <v>0.67069051636854538</v>
      </c>
    </row>
    <row r="255" spans="1:14" x14ac:dyDescent="0.45">
      <c r="A255" s="2">
        <v>45573</v>
      </c>
      <c r="B255" s="3">
        <v>6609.45</v>
      </c>
      <c r="D255" s="2">
        <v>45573</v>
      </c>
      <c r="E255" s="3">
        <v>889.95</v>
      </c>
      <c r="G255" s="3">
        <v>1680000</v>
      </c>
      <c r="H255" s="3">
        <f t="shared" si="9"/>
        <v>11103876000</v>
      </c>
      <c r="J255" s="3">
        <v>37500000</v>
      </c>
      <c r="K255" s="3"/>
      <c r="L255" s="3">
        <f t="shared" si="10"/>
        <v>33373125000</v>
      </c>
      <c r="N255" s="4">
        <f t="shared" si="11"/>
        <v>0.66728090342154056</v>
      </c>
    </row>
    <row r="256" spans="1:14" x14ac:dyDescent="0.45">
      <c r="A256" s="2">
        <v>45572</v>
      </c>
      <c r="B256" s="3">
        <v>6500</v>
      </c>
      <c r="D256" s="2">
        <v>45572</v>
      </c>
      <c r="E256" s="3">
        <v>861.15</v>
      </c>
      <c r="G256" s="3">
        <v>1680000</v>
      </c>
      <c r="H256" s="3">
        <f t="shared" si="9"/>
        <v>10920000000</v>
      </c>
      <c r="J256" s="3">
        <v>37500000</v>
      </c>
      <c r="K256" s="3"/>
      <c r="L256" s="3">
        <f t="shared" si="10"/>
        <v>32293125000</v>
      </c>
      <c r="N256" s="4">
        <f t="shared" si="11"/>
        <v>0.66184752946641123</v>
      </c>
    </row>
    <row r="257" spans="1:14" x14ac:dyDescent="0.45">
      <c r="A257" s="2">
        <v>45569</v>
      </c>
      <c r="B257" s="3">
        <v>6500</v>
      </c>
      <c r="D257" s="2">
        <v>45569</v>
      </c>
      <c r="E257" s="3">
        <v>865.7</v>
      </c>
      <c r="G257" s="3">
        <v>1680000</v>
      </c>
      <c r="H257" s="3">
        <f t="shared" si="9"/>
        <v>10920000000</v>
      </c>
      <c r="J257" s="3">
        <v>37500000</v>
      </c>
      <c r="K257" s="3"/>
      <c r="L257" s="3">
        <f t="shared" si="10"/>
        <v>32463750000</v>
      </c>
      <c r="N257" s="4">
        <f t="shared" si="11"/>
        <v>0.66362481229063186</v>
      </c>
    </row>
    <row r="258" spans="1:14" x14ac:dyDescent="0.45">
      <c r="A258" s="2">
        <v>45568</v>
      </c>
      <c r="B258" s="3">
        <v>6381.5</v>
      </c>
      <c r="D258" s="2">
        <v>45568</v>
      </c>
      <c r="E258" s="3">
        <v>876.4</v>
      </c>
      <c r="G258" s="3">
        <v>1680000</v>
      </c>
      <c r="H258" s="3">
        <f t="shared" si="9"/>
        <v>10720920000</v>
      </c>
      <c r="J258" s="3">
        <v>37500000</v>
      </c>
      <c r="K258" s="3"/>
      <c r="L258" s="3">
        <f t="shared" si="10"/>
        <v>32865000000</v>
      </c>
      <c r="N258" s="4">
        <f t="shared" si="11"/>
        <v>0.67378913738019164</v>
      </c>
    </row>
    <row r="259" spans="1:14" x14ac:dyDescent="0.45">
      <c r="A259" s="2">
        <v>45566</v>
      </c>
      <c r="B259" s="3">
        <v>6525</v>
      </c>
      <c r="D259" s="2">
        <v>45566</v>
      </c>
      <c r="E259" s="3">
        <v>907.05</v>
      </c>
      <c r="G259" s="3">
        <v>1680000</v>
      </c>
      <c r="H259" s="3">
        <f t="shared" ref="H259:H322" si="12">+G259*B259</f>
        <v>10962000000</v>
      </c>
      <c r="J259" s="3">
        <v>37500000</v>
      </c>
      <c r="K259" s="3"/>
      <c r="L259" s="3">
        <f t="shared" ref="L259:L322" si="13">+(J259*E259)</f>
        <v>34014375000</v>
      </c>
      <c r="N259" s="4">
        <f t="shared" ref="N259:N322" si="14">1- (H259/L259)</f>
        <v>0.67772449148338021</v>
      </c>
    </row>
    <row r="260" spans="1:14" x14ac:dyDescent="0.45">
      <c r="A260" s="2">
        <v>45565</v>
      </c>
      <c r="B260" s="3">
        <v>6523</v>
      </c>
      <c r="D260" s="2">
        <v>45565</v>
      </c>
      <c r="E260" s="3">
        <v>898.9</v>
      </c>
      <c r="G260" s="3">
        <v>1680000</v>
      </c>
      <c r="H260" s="3">
        <f t="shared" si="12"/>
        <v>10958640000</v>
      </c>
      <c r="J260" s="3">
        <v>37500000</v>
      </c>
      <c r="K260" s="3"/>
      <c r="L260" s="3">
        <f t="shared" si="13"/>
        <v>33708750000</v>
      </c>
      <c r="N260" s="4">
        <f t="shared" si="14"/>
        <v>0.67490221381688731</v>
      </c>
    </row>
    <row r="261" spans="1:14" x14ac:dyDescent="0.45">
      <c r="A261" s="2">
        <v>45562</v>
      </c>
      <c r="B261" s="3">
        <v>6523.4</v>
      </c>
      <c r="D261" s="2">
        <v>45562</v>
      </c>
      <c r="E261" s="3">
        <v>890.25</v>
      </c>
      <c r="G261" s="3">
        <v>1680000</v>
      </c>
      <c r="H261" s="3">
        <f t="shared" si="12"/>
        <v>10959312000</v>
      </c>
      <c r="J261" s="3">
        <v>37500000</v>
      </c>
      <c r="K261" s="3"/>
      <c r="L261" s="3">
        <f t="shared" si="13"/>
        <v>33384375000</v>
      </c>
      <c r="N261" s="4">
        <f t="shared" si="14"/>
        <v>0.67172331367593374</v>
      </c>
    </row>
    <row r="262" spans="1:14" x14ac:dyDescent="0.45">
      <c r="A262" s="2">
        <v>45561</v>
      </c>
      <c r="B262" s="3">
        <v>6457.85</v>
      </c>
      <c r="D262" s="2">
        <v>45561</v>
      </c>
      <c r="E262" s="3">
        <v>903.05</v>
      </c>
      <c r="G262" s="3">
        <v>1680000</v>
      </c>
      <c r="H262" s="3">
        <f t="shared" si="12"/>
        <v>10849188000</v>
      </c>
      <c r="J262" s="3">
        <v>37500000</v>
      </c>
      <c r="K262" s="3"/>
      <c r="L262" s="3">
        <f t="shared" si="13"/>
        <v>33864375000</v>
      </c>
      <c r="N262" s="4">
        <f t="shared" si="14"/>
        <v>0.67962828193344782</v>
      </c>
    </row>
    <row r="263" spans="1:14" x14ac:dyDescent="0.45">
      <c r="A263" s="2">
        <v>45560</v>
      </c>
      <c r="B263" s="3">
        <v>6448.55</v>
      </c>
      <c r="D263" s="2">
        <v>45560</v>
      </c>
      <c r="E263" s="3">
        <v>904.55</v>
      </c>
      <c r="G263" s="3">
        <v>1680000</v>
      </c>
      <c r="H263" s="3">
        <f t="shared" si="12"/>
        <v>10833564000</v>
      </c>
      <c r="J263" s="3">
        <v>37500000</v>
      </c>
      <c r="K263" s="3"/>
      <c r="L263" s="3">
        <f t="shared" si="13"/>
        <v>33920625000</v>
      </c>
      <c r="N263" s="4">
        <f t="shared" si="14"/>
        <v>0.68062015366756956</v>
      </c>
    </row>
    <row r="264" spans="1:14" x14ac:dyDescent="0.45">
      <c r="A264" s="2">
        <v>45559</v>
      </c>
      <c r="B264" s="3">
        <v>6600.15</v>
      </c>
      <c r="D264" s="2">
        <v>45559</v>
      </c>
      <c r="E264" s="3">
        <v>905.7</v>
      </c>
      <c r="G264" s="3">
        <v>1680000</v>
      </c>
      <c r="H264" s="3">
        <f t="shared" si="12"/>
        <v>11088252000</v>
      </c>
      <c r="J264" s="3">
        <v>37500000</v>
      </c>
      <c r="K264" s="3"/>
      <c r="L264" s="3">
        <f t="shared" si="13"/>
        <v>33963750000</v>
      </c>
      <c r="N264" s="4">
        <f t="shared" si="14"/>
        <v>0.67352686319973509</v>
      </c>
    </row>
    <row r="265" spans="1:14" x14ac:dyDescent="0.45">
      <c r="A265" s="2">
        <v>45558</v>
      </c>
      <c r="B265" s="3">
        <v>6495.3</v>
      </c>
      <c r="D265" s="2">
        <v>45558</v>
      </c>
      <c r="E265" s="3">
        <v>904.25</v>
      </c>
      <c r="G265" s="3">
        <v>1680000</v>
      </c>
      <c r="H265" s="3">
        <f t="shared" si="12"/>
        <v>10912104000</v>
      </c>
      <c r="J265" s="3">
        <v>37500000</v>
      </c>
      <c r="K265" s="3"/>
      <c r="L265" s="3">
        <f t="shared" si="13"/>
        <v>33909375000</v>
      </c>
      <c r="N265" s="4">
        <f t="shared" si="14"/>
        <v>0.67819802045894395</v>
      </c>
    </row>
    <row r="266" spans="1:14" x14ac:dyDescent="0.45">
      <c r="A266" s="2">
        <v>45555</v>
      </c>
      <c r="B266" s="3">
        <v>6553.2</v>
      </c>
      <c r="D266" s="2">
        <v>45555</v>
      </c>
      <c r="E266" s="3">
        <v>897.25</v>
      </c>
      <c r="G266" s="3">
        <v>1680000</v>
      </c>
      <c r="H266" s="3">
        <f t="shared" si="12"/>
        <v>11009376000</v>
      </c>
      <c r="J266" s="3">
        <v>37500000</v>
      </c>
      <c r="K266" s="3"/>
      <c r="L266" s="3">
        <f t="shared" si="13"/>
        <v>33646875000</v>
      </c>
      <c r="N266" s="4">
        <f t="shared" si="14"/>
        <v>0.67279647812761212</v>
      </c>
    </row>
    <row r="267" spans="1:14" x14ac:dyDescent="0.45">
      <c r="A267" s="2">
        <v>45554</v>
      </c>
      <c r="B267" s="3">
        <v>6608</v>
      </c>
      <c r="D267" s="2">
        <v>45554</v>
      </c>
      <c r="E267" s="3">
        <v>883.05</v>
      </c>
      <c r="G267" s="3">
        <v>1680000</v>
      </c>
      <c r="H267" s="3">
        <f t="shared" si="12"/>
        <v>11101440000</v>
      </c>
      <c r="J267" s="3">
        <v>37500000</v>
      </c>
      <c r="K267" s="3"/>
      <c r="L267" s="3">
        <f t="shared" si="13"/>
        <v>33114375000</v>
      </c>
      <c r="N267" s="4">
        <f t="shared" si="14"/>
        <v>0.66475465715418158</v>
      </c>
    </row>
    <row r="268" spans="1:14" x14ac:dyDescent="0.45">
      <c r="A268" s="2">
        <v>45553</v>
      </c>
      <c r="B268" s="3">
        <v>6597.6</v>
      </c>
      <c r="D268" s="2">
        <v>45553</v>
      </c>
      <c r="E268" s="3">
        <v>887.6</v>
      </c>
      <c r="G268" s="3">
        <v>1680000</v>
      </c>
      <c r="H268" s="3">
        <f t="shared" si="12"/>
        <v>11083968000</v>
      </c>
      <c r="J268" s="3">
        <v>37500000</v>
      </c>
      <c r="K268" s="3"/>
      <c r="L268" s="3">
        <f t="shared" si="13"/>
        <v>33285000000</v>
      </c>
      <c r="N268" s="4">
        <f t="shared" si="14"/>
        <v>0.66699810725552044</v>
      </c>
    </row>
    <row r="269" spans="1:14" x14ac:dyDescent="0.45">
      <c r="A269" s="2">
        <v>45552</v>
      </c>
      <c r="B269" s="3">
        <v>6631.4</v>
      </c>
      <c r="D269" s="2">
        <v>45552</v>
      </c>
      <c r="E269" s="3">
        <v>899.25</v>
      </c>
      <c r="G269" s="3">
        <v>1680000</v>
      </c>
      <c r="H269" s="3">
        <f t="shared" si="12"/>
        <v>11140752000</v>
      </c>
      <c r="J269" s="3">
        <v>37500000</v>
      </c>
      <c r="K269" s="3"/>
      <c r="L269" s="3">
        <f t="shared" si="13"/>
        <v>33721875000</v>
      </c>
      <c r="N269" s="4">
        <f t="shared" si="14"/>
        <v>0.66962833472338057</v>
      </c>
    </row>
    <row r="270" spans="1:14" x14ac:dyDescent="0.45">
      <c r="A270" s="2">
        <v>45551</v>
      </c>
      <c r="B270" s="3">
        <v>6678.9</v>
      </c>
      <c r="D270" s="2">
        <v>45551</v>
      </c>
      <c r="E270" s="3">
        <v>891.4</v>
      </c>
      <c r="G270" s="3">
        <v>1680000</v>
      </c>
      <c r="H270" s="3">
        <f t="shared" si="12"/>
        <v>11220552000</v>
      </c>
      <c r="J270" s="3">
        <v>37500000</v>
      </c>
      <c r="K270" s="3"/>
      <c r="L270" s="3">
        <f t="shared" si="13"/>
        <v>33427500000</v>
      </c>
      <c r="N270" s="4">
        <f t="shared" si="14"/>
        <v>0.66433170293919674</v>
      </c>
    </row>
    <row r="271" spans="1:14" x14ac:dyDescent="0.45">
      <c r="A271" s="2">
        <v>45548</v>
      </c>
      <c r="B271" s="3">
        <v>6600.05</v>
      </c>
      <c r="D271" s="2">
        <v>45548</v>
      </c>
      <c r="E271" s="3">
        <v>890.25</v>
      </c>
      <c r="G271" s="3">
        <v>1680000</v>
      </c>
      <c r="H271" s="3">
        <f t="shared" si="12"/>
        <v>11088084000</v>
      </c>
      <c r="J271" s="3">
        <v>37500000</v>
      </c>
      <c r="K271" s="3"/>
      <c r="L271" s="3">
        <f t="shared" si="13"/>
        <v>33384375000</v>
      </c>
      <c r="N271" s="4">
        <f t="shared" si="14"/>
        <v>0.66786606009547878</v>
      </c>
    </row>
    <row r="272" spans="1:14" x14ac:dyDescent="0.45">
      <c r="A272" s="2">
        <v>45547</v>
      </c>
      <c r="B272" s="3">
        <v>6461.95</v>
      </c>
      <c r="D272" s="2">
        <v>45547</v>
      </c>
      <c r="E272" s="3">
        <v>893.4</v>
      </c>
      <c r="G272" s="3">
        <v>1680000</v>
      </c>
      <c r="H272" s="3">
        <f t="shared" si="12"/>
        <v>10856076000</v>
      </c>
      <c r="J272" s="3">
        <v>37500000</v>
      </c>
      <c r="K272" s="3"/>
      <c r="L272" s="3">
        <f t="shared" si="13"/>
        <v>33502500000</v>
      </c>
      <c r="N272" s="4">
        <f t="shared" si="14"/>
        <v>0.67596221177524063</v>
      </c>
    </row>
    <row r="273" spans="1:14" x14ac:dyDescent="0.45">
      <c r="A273" s="2">
        <v>45546</v>
      </c>
      <c r="B273" s="3">
        <v>6617.55</v>
      </c>
      <c r="D273" s="2">
        <v>45546</v>
      </c>
      <c r="E273" s="3">
        <v>893.1</v>
      </c>
      <c r="G273" s="3">
        <v>1680000</v>
      </c>
      <c r="H273" s="3">
        <f t="shared" si="12"/>
        <v>11117484000</v>
      </c>
      <c r="J273" s="3">
        <v>37500000</v>
      </c>
      <c r="K273" s="3"/>
      <c r="L273" s="3">
        <f t="shared" si="13"/>
        <v>33491250000</v>
      </c>
      <c r="N273" s="4">
        <f t="shared" si="14"/>
        <v>0.66804810211622434</v>
      </c>
    </row>
    <row r="274" spans="1:14" x14ac:dyDescent="0.45">
      <c r="A274" s="2">
        <v>45545</v>
      </c>
      <c r="B274" s="3">
        <v>6615.9</v>
      </c>
      <c r="D274" s="2">
        <v>45545</v>
      </c>
      <c r="E274" s="3">
        <v>884.45</v>
      </c>
      <c r="G274" s="3">
        <v>1680000</v>
      </c>
      <c r="H274" s="3">
        <f t="shared" si="12"/>
        <v>11114712000</v>
      </c>
      <c r="J274" s="3">
        <v>37500000</v>
      </c>
      <c r="K274" s="3"/>
      <c r="L274" s="3">
        <f t="shared" si="13"/>
        <v>33166875000</v>
      </c>
      <c r="N274" s="4">
        <f t="shared" si="14"/>
        <v>0.66488516026909372</v>
      </c>
    </row>
    <row r="275" spans="1:14" x14ac:dyDescent="0.45">
      <c r="A275" s="2">
        <v>45544</v>
      </c>
      <c r="B275" s="3">
        <v>6566.15</v>
      </c>
      <c r="D275" s="2">
        <v>45544</v>
      </c>
      <c r="E275" s="3">
        <v>867.45</v>
      </c>
      <c r="G275" s="3">
        <v>1680000</v>
      </c>
      <c r="H275" s="3">
        <f t="shared" si="12"/>
        <v>11031132000</v>
      </c>
      <c r="J275" s="3">
        <v>37500000</v>
      </c>
      <c r="K275" s="3"/>
      <c r="L275" s="3">
        <f t="shared" si="13"/>
        <v>32529375000</v>
      </c>
      <c r="N275" s="4">
        <f t="shared" si="14"/>
        <v>0.66088705977289752</v>
      </c>
    </row>
    <row r="276" spans="1:14" x14ac:dyDescent="0.45">
      <c r="A276" s="2">
        <v>45541</v>
      </c>
      <c r="B276" s="3">
        <v>6639.15</v>
      </c>
      <c r="D276" s="2">
        <v>45541</v>
      </c>
      <c r="E276" s="3">
        <v>895.95</v>
      </c>
      <c r="G276" s="3">
        <v>1680000</v>
      </c>
      <c r="H276" s="3">
        <f t="shared" si="12"/>
        <v>11153772000</v>
      </c>
      <c r="J276" s="3">
        <v>37500000</v>
      </c>
      <c r="K276" s="3"/>
      <c r="L276" s="3">
        <f t="shared" si="13"/>
        <v>33598125000</v>
      </c>
      <c r="N276" s="4">
        <f t="shared" si="14"/>
        <v>0.66802397455215135</v>
      </c>
    </row>
    <row r="277" spans="1:14" x14ac:dyDescent="0.45">
      <c r="A277" s="2">
        <v>45540</v>
      </c>
      <c r="B277" s="3">
        <v>6699.45</v>
      </c>
      <c r="D277" s="2">
        <v>45540</v>
      </c>
      <c r="E277" s="3">
        <v>890.55</v>
      </c>
      <c r="G277" s="3">
        <v>1680000</v>
      </c>
      <c r="H277" s="3">
        <f t="shared" si="12"/>
        <v>11255076000</v>
      </c>
      <c r="J277" s="3">
        <v>37500000</v>
      </c>
      <c r="K277" s="3"/>
      <c r="L277" s="3">
        <f t="shared" si="13"/>
        <v>33395625000</v>
      </c>
      <c r="N277" s="4">
        <f t="shared" si="14"/>
        <v>0.66297753073943066</v>
      </c>
    </row>
    <row r="278" spans="1:14" x14ac:dyDescent="0.45">
      <c r="A278" s="2">
        <v>45539</v>
      </c>
      <c r="B278" s="3">
        <v>6764.5</v>
      </c>
      <c r="D278" s="2">
        <v>45539</v>
      </c>
      <c r="E278" s="3">
        <v>881.2</v>
      </c>
      <c r="G278" s="3">
        <v>1680000</v>
      </c>
      <c r="H278" s="3">
        <f t="shared" si="12"/>
        <v>11364360000</v>
      </c>
      <c r="J278" s="3">
        <v>37500000</v>
      </c>
      <c r="K278" s="3"/>
      <c r="L278" s="3">
        <f t="shared" si="13"/>
        <v>33045000000</v>
      </c>
      <c r="N278" s="4">
        <f t="shared" si="14"/>
        <v>0.65609441670449387</v>
      </c>
    </row>
    <row r="279" spans="1:14" x14ac:dyDescent="0.45">
      <c r="A279" s="2">
        <v>45538</v>
      </c>
      <c r="B279" s="3">
        <v>6750</v>
      </c>
      <c r="D279" s="2">
        <v>45538</v>
      </c>
      <c r="E279" s="3">
        <v>926.35</v>
      </c>
      <c r="G279" s="3">
        <v>1680000</v>
      </c>
      <c r="H279" s="3">
        <f t="shared" si="12"/>
        <v>11340000000</v>
      </c>
      <c r="J279" s="3">
        <v>37500000</v>
      </c>
      <c r="K279" s="3"/>
      <c r="L279" s="3">
        <f t="shared" si="13"/>
        <v>34738125000</v>
      </c>
      <c r="N279" s="4">
        <f t="shared" si="14"/>
        <v>0.67355751066011771</v>
      </c>
    </row>
    <row r="280" spans="1:14" x14ac:dyDescent="0.45">
      <c r="A280" s="2">
        <v>45537</v>
      </c>
      <c r="B280" s="3">
        <v>6774.1</v>
      </c>
      <c r="D280" s="2">
        <v>45537</v>
      </c>
      <c r="E280" s="3">
        <v>918.3</v>
      </c>
      <c r="G280" s="3">
        <v>1680000</v>
      </c>
      <c r="H280" s="3">
        <f t="shared" si="12"/>
        <v>11380488000</v>
      </c>
      <c r="J280" s="3">
        <v>37500000</v>
      </c>
      <c r="K280" s="3"/>
      <c r="L280" s="3">
        <f t="shared" si="13"/>
        <v>34436250000</v>
      </c>
      <c r="N280" s="4">
        <f t="shared" si="14"/>
        <v>0.66952011325274963</v>
      </c>
    </row>
    <row r="281" spans="1:14" x14ac:dyDescent="0.45">
      <c r="A281" s="2">
        <v>45534</v>
      </c>
      <c r="B281" s="3">
        <v>6664.35</v>
      </c>
      <c r="D281" s="2">
        <v>45534</v>
      </c>
      <c r="E281" s="3">
        <v>923.1</v>
      </c>
      <c r="G281" s="3">
        <v>1680000</v>
      </c>
      <c r="H281" s="3">
        <f t="shared" si="12"/>
        <v>11196108000</v>
      </c>
      <c r="J281" s="3">
        <v>37500000</v>
      </c>
      <c r="K281" s="3"/>
      <c r="L281" s="3">
        <f t="shared" si="13"/>
        <v>34616250000</v>
      </c>
      <c r="N281" s="4">
        <f t="shared" si="14"/>
        <v>0.67656496587585313</v>
      </c>
    </row>
    <row r="282" spans="1:14" x14ac:dyDescent="0.45">
      <c r="A282" s="2">
        <v>45533</v>
      </c>
      <c r="B282" s="3">
        <v>6565.45</v>
      </c>
      <c r="D282" s="2">
        <v>45533</v>
      </c>
      <c r="E282" s="3">
        <v>911.75</v>
      </c>
      <c r="G282" s="3">
        <v>1680000</v>
      </c>
      <c r="H282" s="3">
        <f t="shared" si="12"/>
        <v>11029956000</v>
      </c>
      <c r="J282" s="3">
        <v>37500000</v>
      </c>
      <c r="K282" s="3"/>
      <c r="L282" s="3">
        <f t="shared" si="13"/>
        <v>34190625000</v>
      </c>
      <c r="N282" s="4">
        <f t="shared" si="14"/>
        <v>0.67739823416506717</v>
      </c>
    </row>
    <row r="283" spans="1:14" x14ac:dyDescent="0.45">
      <c r="A283" s="2">
        <v>45532</v>
      </c>
      <c r="B283" s="3">
        <v>6484.35</v>
      </c>
      <c r="D283" s="2">
        <v>45532</v>
      </c>
      <c r="E283" s="3">
        <v>926.85</v>
      </c>
      <c r="G283" s="3">
        <v>1680000</v>
      </c>
      <c r="H283" s="3">
        <f t="shared" si="12"/>
        <v>10893708000</v>
      </c>
      <c r="J283" s="3">
        <v>37500000</v>
      </c>
      <c r="K283" s="3"/>
      <c r="L283" s="3">
        <f t="shared" si="13"/>
        <v>34756875000</v>
      </c>
      <c r="N283" s="4">
        <f t="shared" si="14"/>
        <v>0.68657400873927821</v>
      </c>
    </row>
    <row r="284" spans="1:14" x14ac:dyDescent="0.45">
      <c r="A284" s="2">
        <v>45531</v>
      </c>
      <c r="B284" s="3">
        <v>6467.1</v>
      </c>
      <c r="D284" s="2">
        <v>45531</v>
      </c>
      <c r="E284" s="3">
        <v>906.85</v>
      </c>
      <c r="G284" s="3">
        <v>1680000</v>
      </c>
      <c r="H284" s="3">
        <f t="shared" si="12"/>
        <v>10864728000</v>
      </c>
      <c r="J284" s="3">
        <v>37500000</v>
      </c>
      <c r="K284" s="3"/>
      <c r="L284" s="3">
        <f t="shared" si="13"/>
        <v>34006875000</v>
      </c>
      <c r="N284" s="4">
        <f t="shared" si="14"/>
        <v>0.68051377846391348</v>
      </c>
    </row>
    <row r="285" spans="1:14" x14ac:dyDescent="0.45">
      <c r="A285" s="2">
        <v>45530</v>
      </c>
      <c r="B285" s="3">
        <v>6419.15</v>
      </c>
      <c r="D285" s="2">
        <v>45530</v>
      </c>
      <c r="E285" s="3">
        <v>914.9</v>
      </c>
      <c r="G285" s="3">
        <v>1680000</v>
      </c>
      <c r="H285" s="3">
        <f t="shared" si="12"/>
        <v>10784172000</v>
      </c>
      <c r="J285" s="3">
        <v>37500000</v>
      </c>
      <c r="K285" s="3"/>
      <c r="L285" s="3">
        <f t="shared" si="13"/>
        <v>34308750000</v>
      </c>
      <c r="N285" s="4">
        <f t="shared" si="14"/>
        <v>0.68567283856159145</v>
      </c>
    </row>
    <row r="286" spans="1:14" x14ac:dyDescent="0.45">
      <c r="A286" s="2">
        <v>45527</v>
      </c>
      <c r="B286" s="3">
        <v>6320.4</v>
      </c>
      <c r="D286" s="2">
        <v>45527</v>
      </c>
      <c r="E286" s="3">
        <v>919.4</v>
      </c>
      <c r="G286" s="3">
        <v>1680000</v>
      </c>
      <c r="H286" s="3">
        <f t="shared" si="12"/>
        <v>10618272000</v>
      </c>
      <c r="J286" s="3">
        <v>37500000</v>
      </c>
      <c r="K286" s="3"/>
      <c r="L286" s="3">
        <f t="shared" si="13"/>
        <v>34477500000</v>
      </c>
      <c r="N286" s="4">
        <f t="shared" si="14"/>
        <v>0.69202314552969324</v>
      </c>
    </row>
    <row r="287" spans="1:14" x14ac:dyDescent="0.45">
      <c r="A287" s="2">
        <v>45526</v>
      </c>
      <c r="B287" s="3">
        <v>6280.25</v>
      </c>
      <c r="D287" s="2">
        <v>45526</v>
      </c>
      <c r="E287" s="3">
        <v>926.8</v>
      </c>
      <c r="G287" s="3">
        <v>1680000</v>
      </c>
      <c r="H287" s="3">
        <f t="shared" si="12"/>
        <v>10550820000</v>
      </c>
      <c r="J287" s="3">
        <v>37500000</v>
      </c>
      <c r="K287" s="3"/>
      <c r="L287" s="3">
        <f t="shared" si="13"/>
        <v>34755000000</v>
      </c>
      <c r="N287" s="4">
        <f t="shared" si="14"/>
        <v>0.69642296072507559</v>
      </c>
    </row>
    <row r="288" spans="1:14" x14ac:dyDescent="0.45">
      <c r="A288" s="2">
        <v>45525</v>
      </c>
      <c r="B288" s="3">
        <v>6197.45</v>
      </c>
      <c r="D288" s="2">
        <v>45525</v>
      </c>
      <c r="E288" s="3">
        <v>926.8</v>
      </c>
      <c r="G288" s="3">
        <v>1680000</v>
      </c>
      <c r="H288" s="3">
        <f t="shared" si="12"/>
        <v>10411716000</v>
      </c>
      <c r="J288" s="3">
        <v>37500000</v>
      </c>
      <c r="K288" s="3"/>
      <c r="L288" s="3">
        <f t="shared" si="13"/>
        <v>34755000000</v>
      </c>
      <c r="N288" s="4">
        <f t="shared" si="14"/>
        <v>0.70042537764350454</v>
      </c>
    </row>
    <row r="289" spans="1:14" x14ac:dyDescent="0.45">
      <c r="A289" s="2">
        <v>45524</v>
      </c>
      <c r="B289" s="3">
        <v>6169</v>
      </c>
      <c r="D289" s="2">
        <v>45524</v>
      </c>
      <c r="E289" s="3">
        <v>920.95</v>
      </c>
      <c r="G289" s="3">
        <v>1680000</v>
      </c>
      <c r="H289" s="3">
        <f t="shared" si="12"/>
        <v>10363920000</v>
      </c>
      <c r="J289" s="3">
        <v>37500000</v>
      </c>
      <c r="K289" s="3"/>
      <c r="L289" s="3">
        <f t="shared" si="13"/>
        <v>34535625000</v>
      </c>
      <c r="N289" s="4">
        <f t="shared" si="14"/>
        <v>0.69990640099896839</v>
      </c>
    </row>
    <row r="290" spans="1:14" x14ac:dyDescent="0.45">
      <c r="A290" s="2">
        <v>45523</v>
      </c>
      <c r="B290" s="3">
        <v>6175.5</v>
      </c>
      <c r="D290" s="2">
        <v>45523</v>
      </c>
      <c r="E290" s="3">
        <v>911.1</v>
      </c>
      <c r="G290" s="3">
        <v>1680000</v>
      </c>
      <c r="H290" s="3">
        <f t="shared" si="12"/>
        <v>10374840000</v>
      </c>
      <c r="J290" s="3">
        <v>37500000</v>
      </c>
      <c r="K290" s="3"/>
      <c r="L290" s="3">
        <f t="shared" si="13"/>
        <v>34166250000</v>
      </c>
      <c r="N290" s="4">
        <f t="shared" si="14"/>
        <v>0.69634244320052685</v>
      </c>
    </row>
    <row r="291" spans="1:14" x14ac:dyDescent="0.45">
      <c r="A291" s="2">
        <v>45520</v>
      </c>
      <c r="B291" s="3">
        <v>6205</v>
      </c>
      <c r="D291" s="2">
        <v>45520</v>
      </c>
      <c r="E291" s="3">
        <v>916</v>
      </c>
      <c r="G291" s="3">
        <v>1680000</v>
      </c>
      <c r="H291" s="3">
        <f t="shared" si="12"/>
        <v>10424400000</v>
      </c>
      <c r="J291" s="3">
        <v>37500000</v>
      </c>
      <c r="K291" s="3"/>
      <c r="L291" s="3">
        <f t="shared" si="13"/>
        <v>34350000000</v>
      </c>
      <c r="N291" s="4">
        <f t="shared" si="14"/>
        <v>0.6965240174672489</v>
      </c>
    </row>
    <row r="292" spans="1:14" x14ac:dyDescent="0.45">
      <c r="A292" s="2">
        <v>45518</v>
      </c>
      <c r="B292" s="3">
        <v>6136</v>
      </c>
      <c r="D292" s="2">
        <v>45518</v>
      </c>
      <c r="E292" s="3">
        <v>914.85</v>
      </c>
      <c r="G292" s="3">
        <v>1680000</v>
      </c>
      <c r="H292" s="3">
        <f t="shared" si="12"/>
        <v>10308480000</v>
      </c>
      <c r="J292" s="3">
        <v>37500000</v>
      </c>
      <c r="K292" s="3"/>
      <c r="L292" s="3">
        <f t="shared" si="13"/>
        <v>34306875000</v>
      </c>
      <c r="N292" s="4">
        <f t="shared" si="14"/>
        <v>0.69952145160408818</v>
      </c>
    </row>
    <row r="293" spans="1:14" x14ac:dyDescent="0.45">
      <c r="A293" s="2">
        <v>45517</v>
      </c>
      <c r="B293" s="3">
        <v>6225</v>
      </c>
      <c r="D293" s="2">
        <v>45517</v>
      </c>
      <c r="E293" s="3">
        <v>917.6</v>
      </c>
      <c r="G293" s="3">
        <v>1680000</v>
      </c>
      <c r="H293" s="3">
        <f t="shared" si="12"/>
        <v>10458000000</v>
      </c>
      <c r="J293" s="3">
        <v>37500000</v>
      </c>
      <c r="K293" s="3"/>
      <c r="L293" s="3">
        <f t="shared" si="13"/>
        <v>34410000000</v>
      </c>
      <c r="N293" s="4">
        <f t="shared" si="14"/>
        <v>0.69607672188317349</v>
      </c>
    </row>
    <row r="294" spans="1:14" x14ac:dyDescent="0.45">
      <c r="A294" s="2">
        <v>45516</v>
      </c>
      <c r="B294" s="3">
        <v>6111.1</v>
      </c>
      <c r="D294" s="2">
        <v>45516</v>
      </c>
      <c r="E294" s="3">
        <v>920.6</v>
      </c>
      <c r="G294" s="3">
        <v>1680000</v>
      </c>
      <c r="H294" s="3">
        <f t="shared" si="12"/>
        <v>10266648000</v>
      </c>
      <c r="J294" s="3">
        <v>37500000</v>
      </c>
      <c r="K294" s="3"/>
      <c r="L294" s="3">
        <f t="shared" si="13"/>
        <v>34522500000</v>
      </c>
      <c r="N294" s="4">
        <f t="shared" si="14"/>
        <v>0.70260995003258742</v>
      </c>
    </row>
    <row r="295" spans="1:14" x14ac:dyDescent="0.45">
      <c r="A295" s="2">
        <v>45513</v>
      </c>
      <c r="B295" s="3">
        <v>5984.65</v>
      </c>
      <c r="D295" s="2">
        <v>45513</v>
      </c>
      <c r="E295" s="3">
        <v>924.85</v>
      </c>
      <c r="G295" s="3">
        <v>1680000</v>
      </c>
      <c r="H295" s="3">
        <f t="shared" si="12"/>
        <v>10054212000</v>
      </c>
      <c r="J295" s="3">
        <v>37500000</v>
      </c>
      <c r="K295" s="3"/>
      <c r="L295" s="3">
        <f t="shared" si="13"/>
        <v>34681875000</v>
      </c>
      <c r="N295" s="4">
        <f t="shared" si="14"/>
        <v>0.71010183272963179</v>
      </c>
    </row>
    <row r="296" spans="1:14" x14ac:dyDescent="0.45">
      <c r="A296" s="2">
        <v>45512</v>
      </c>
      <c r="B296" s="3">
        <v>6334.5</v>
      </c>
      <c r="D296" s="2">
        <v>45512</v>
      </c>
      <c r="E296" s="3">
        <v>924</v>
      </c>
      <c r="G296" s="3">
        <v>1680000</v>
      </c>
      <c r="H296" s="3">
        <f t="shared" si="12"/>
        <v>10641960000</v>
      </c>
      <c r="J296" s="3">
        <v>37500000</v>
      </c>
      <c r="K296" s="3"/>
      <c r="L296" s="3">
        <f t="shared" si="13"/>
        <v>34650000000</v>
      </c>
      <c r="N296" s="4">
        <f t="shared" si="14"/>
        <v>0.69287272727272731</v>
      </c>
    </row>
    <row r="297" spans="1:14" x14ac:dyDescent="0.45">
      <c r="A297" s="2">
        <v>45511</v>
      </c>
      <c r="B297" s="3">
        <v>6398.45</v>
      </c>
      <c r="D297" s="2">
        <v>45511</v>
      </c>
      <c r="E297" s="3">
        <v>924.9</v>
      </c>
      <c r="G297" s="3">
        <v>1680000</v>
      </c>
      <c r="H297" s="3">
        <f t="shared" si="12"/>
        <v>10749396000</v>
      </c>
      <c r="J297" s="3">
        <v>37500000</v>
      </c>
      <c r="K297" s="3"/>
      <c r="L297" s="3">
        <f t="shared" si="13"/>
        <v>34683750000</v>
      </c>
      <c r="N297" s="4">
        <f t="shared" si="14"/>
        <v>0.69007399718888529</v>
      </c>
    </row>
    <row r="298" spans="1:14" x14ac:dyDescent="0.45">
      <c r="A298" s="2">
        <v>45510</v>
      </c>
      <c r="B298" s="3">
        <v>6411.8</v>
      </c>
      <c r="D298" s="2">
        <v>45510</v>
      </c>
      <c r="E298" s="3">
        <v>935.25</v>
      </c>
      <c r="G298" s="3">
        <v>1680000</v>
      </c>
      <c r="H298" s="3">
        <f t="shared" si="12"/>
        <v>10771824000</v>
      </c>
      <c r="J298" s="3">
        <v>37500000</v>
      </c>
      <c r="K298" s="3"/>
      <c r="L298" s="3">
        <f t="shared" si="13"/>
        <v>35071875000</v>
      </c>
      <c r="N298" s="4">
        <f t="shared" si="14"/>
        <v>0.69286432504677897</v>
      </c>
    </row>
    <row r="299" spans="1:14" x14ac:dyDescent="0.45">
      <c r="A299" s="2">
        <v>45509</v>
      </c>
      <c r="B299" s="3">
        <v>6396.1</v>
      </c>
      <c r="D299" s="2">
        <v>45509</v>
      </c>
      <c r="E299" s="3">
        <v>939.4</v>
      </c>
      <c r="G299" s="3">
        <v>1680000</v>
      </c>
      <c r="H299" s="3">
        <f t="shared" si="12"/>
        <v>10745448000</v>
      </c>
      <c r="J299" s="3">
        <v>37500000</v>
      </c>
      <c r="K299" s="3"/>
      <c r="L299" s="3">
        <f t="shared" si="13"/>
        <v>35227500000</v>
      </c>
      <c r="N299" s="4">
        <f t="shared" si="14"/>
        <v>0.69496989567809242</v>
      </c>
    </row>
    <row r="300" spans="1:14" x14ac:dyDescent="0.45">
      <c r="A300" s="2">
        <v>45506</v>
      </c>
      <c r="B300" s="3">
        <v>6382.7</v>
      </c>
      <c r="D300" s="2">
        <v>45506</v>
      </c>
      <c r="E300" s="3">
        <v>947.05</v>
      </c>
      <c r="G300" s="3">
        <v>1680000</v>
      </c>
      <c r="H300" s="3">
        <f t="shared" si="12"/>
        <v>10722936000</v>
      </c>
      <c r="J300" s="3">
        <v>37500000</v>
      </c>
      <c r="K300" s="3"/>
      <c r="L300" s="3">
        <f t="shared" si="13"/>
        <v>35514375000</v>
      </c>
      <c r="N300" s="4">
        <f t="shared" si="14"/>
        <v>0.69806772609682699</v>
      </c>
    </row>
    <row r="301" spans="1:14" x14ac:dyDescent="0.45">
      <c r="A301" s="2">
        <v>45505</v>
      </c>
      <c r="B301" s="3">
        <v>6429</v>
      </c>
      <c r="D301" s="2">
        <v>45505</v>
      </c>
      <c r="E301" s="3">
        <v>971.3</v>
      </c>
      <c r="G301" s="3">
        <v>1680000</v>
      </c>
      <c r="H301" s="3">
        <f t="shared" si="12"/>
        <v>10800720000</v>
      </c>
      <c r="J301" s="3">
        <v>37500000</v>
      </c>
      <c r="K301" s="3"/>
      <c r="L301" s="3">
        <f t="shared" si="13"/>
        <v>36423750000</v>
      </c>
      <c r="N301" s="4">
        <f t="shared" si="14"/>
        <v>0.70347040049418308</v>
      </c>
    </row>
    <row r="302" spans="1:14" x14ac:dyDescent="0.45">
      <c r="A302" s="2">
        <v>45504</v>
      </c>
      <c r="B302" s="3">
        <v>6465</v>
      </c>
      <c r="D302" s="2">
        <v>45504</v>
      </c>
      <c r="E302" s="3">
        <v>963.5</v>
      </c>
      <c r="G302" s="3">
        <v>1680000</v>
      </c>
      <c r="H302" s="3">
        <f t="shared" si="12"/>
        <v>10861200000</v>
      </c>
      <c r="J302" s="3">
        <v>37500000</v>
      </c>
      <c r="K302" s="3"/>
      <c r="L302" s="3">
        <f t="shared" si="13"/>
        <v>36131250000</v>
      </c>
      <c r="N302" s="4">
        <f t="shared" si="14"/>
        <v>0.69939595225739493</v>
      </c>
    </row>
    <row r="303" spans="1:14" x14ac:dyDescent="0.45">
      <c r="A303" s="2">
        <v>45503</v>
      </c>
      <c r="B303" s="3">
        <v>6437.55</v>
      </c>
      <c r="D303" s="2">
        <v>45503</v>
      </c>
      <c r="E303" s="3">
        <v>964.85</v>
      </c>
      <c r="G303" s="3">
        <v>1680000</v>
      </c>
      <c r="H303" s="3">
        <f t="shared" si="12"/>
        <v>10815084000</v>
      </c>
      <c r="J303" s="3">
        <v>37500000</v>
      </c>
      <c r="K303" s="3"/>
      <c r="L303" s="3">
        <f t="shared" si="13"/>
        <v>36181875000</v>
      </c>
      <c r="N303" s="4">
        <f t="shared" si="14"/>
        <v>0.70109111260817736</v>
      </c>
    </row>
    <row r="304" spans="1:14" x14ac:dyDescent="0.45">
      <c r="A304" s="2">
        <v>45502</v>
      </c>
      <c r="B304" s="3">
        <v>6425</v>
      </c>
      <c r="D304" s="2">
        <v>45502</v>
      </c>
      <c r="E304" s="3">
        <v>979.2</v>
      </c>
      <c r="G304" s="3">
        <v>1680000</v>
      </c>
      <c r="H304" s="3">
        <f t="shared" si="12"/>
        <v>10794000000</v>
      </c>
      <c r="J304" s="3">
        <v>37500000</v>
      </c>
      <c r="K304" s="3"/>
      <c r="L304" s="3">
        <f t="shared" si="13"/>
        <v>36720000000</v>
      </c>
      <c r="N304" s="4">
        <f t="shared" si="14"/>
        <v>0.70604575163398686</v>
      </c>
    </row>
    <row r="305" spans="1:14" x14ac:dyDescent="0.45">
      <c r="A305" s="2">
        <v>45499</v>
      </c>
      <c r="B305" s="3">
        <v>6416.1</v>
      </c>
      <c r="D305" s="2">
        <v>45499</v>
      </c>
      <c r="E305" s="3">
        <v>1001.7</v>
      </c>
      <c r="G305" s="3">
        <v>1680000</v>
      </c>
      <c r="H305" s="3">
        <f t="shared" si="12"/>
        <v>10779048000</v>
      </c>
      <c r="J305" s="3">
        <v>37500000</v>
      </c>
      <c r="K305" s="3"/>
      <c r="L305" s="3">
        <f t="shared" si="13"/>
        <v>37563750000</v>
      </c>
      <c r="N305" s="4">
        <f t="shared" si="14"/>
        <v>0.71304654088050312</v>
      </c>
    </row>
    <row r="306" spans="1:14" x14ac:dyDescent="0.45">
      <c r="A306" s="2">
        <v>45498</v>
      </c>
      <c r="B306" s="3">
        <v>6311</v>
      </c>
      <c r="D306" s="2">
        <v>45498</v>
      </c>
      <c r="E306" s="3">
        <v>996.45</v>
      </c>
      <c r="G306" s="3">
        <v>1680000</v>
      </c>
      <c r="H306" s="3">
        <f t="shared" si="12"/>
        <v>10602480000</v>
      </c>
      <c r="J306" s="3">
        <v>37500000</v>
      </c>
      <c r="K306" s="3"/>
      <c r="L306" s="3">
        <f t="shared" si="13"/>
        <v>37366875000</v>
      </c>
      <c r="N306" s="4">
        <f t="shared" si="14"/>
        <v>0.71625992272567607</v>
      </c>
    </row>
    <row r="307" spans="1:14" x14ac:dyDescent="0.45">
      <c r="A307" s="2">
        <v>45497</v>
      </c>
      <c r="B307" s="3">
        <v>6405.55</v>
      </c>
      <c r="D307" s="2">
        <v>45497</v>
      </c>
      <c r="E307" s="3">
        <v>4982.95</v>
      </c>
      <c r="G307" s="3">
        <v>1680000</v>
      </c>
      <c r="H307" s="3">
        <f t="shared" si="12"/>
        <v>10761324000</v>
      </c>
      <c r="J307" s="3">
        <v>7500000</v>
      </c>
      <c r="K307" s="3"/>
      <c r="L307" s="3">
        <f t="shared" si="13"/>
        <v>37372125000</v>
      </c>
      <c r="N307" s="4">
        <f t="shared" si="14"/>
        <v>0.71204944861979347</v>
      </c>
    </row>
    <row r="308" spans="1:14" x14ac:dyDescent="0.45">
      <c r="A308" s="2">
        <v>45496</v>
      </c>
      <c r="B308" s="3">
        <v>6469</v>
      </c>
      <c r="D308" s="2">
        <v>45496</v>
      </c>
      <c r="E308" s="3">
        <v>4786.75</v>
      </c>
      <c r="G308" s="3">
        <v>1680000</v>
      </c>
      <c r="H308" s="3">
        <f t="shared" si="12"/>
        <v>10867920000</v>
      </c>
      <c r="J308" s="3">
        <v>7500000</v>
      </c>
      <c r="K308" s="3"/>
      <c r="L308" s="3">
        <f t="shared" si="13"/>
        <v>35900625000</v>
      </c>
      <c r="N308" s="4">
        <f t="shared" si="14"/>
        <v>0.69727769363346737</v>
      </c>
    </row>
    <row r="309" spans="1:14" x14ac:dyDescent="0.45">
      <c r="A309" s="2">
        <v>45495</v>
      </c>
      <c r="B309" s="3">
        <v>6489.5</v>
      </c>
      <c r="D309" s="2">
        <v>45495</v>
      </c>
      <c r="E309" s="3">
        <v>4798.3999999999996</v>
      </c>
      <c r="G309" s="3">
        <v>1680000</v>
      </c>
      <c r="H309" s="3">
        <f t="shared" si="12"/>
        <v>10902360000</v>
      </c>
      <c r="J309" s="3">
        <v>7500000</v>
      </c>
      <c r="K309" s="3"/>
      <c r="L309" s="3">
        <f t="shared" si="13"/>
        <v>35988000000</v>
      </c>
      <c r="N309" s="4">
        <f t="shared" si="14"/>
        <v>0.69705568522840955</v>
      </c>
    </row>
    <row r="310" spans="1:14" x14ac:dyDescent="0.45">
      <c r="A310" s="2">
        <v>45492</v>
      </c>
      <c r="B310" s="3">
        <v>6279.4</v>
      </c>
      <c r="D310" s="2">
        <v>45492</v>
      </c>
      <c r="E310" s="3">
        <v>4738</v>
      </c>
      <c r="G310" s="3">
        <v>1680000</v>
      </c>
      <c r="H310" s="3">
        <f t="shared" si="12"/>
        <v>10549392000</v>
      </c>
      <c r="J310" s="3">
        <v>7500000</v>
      </c>
      <c r="K310" s="3"/>
      <c r="L310" s="3">
        <f t="shared" si="13"/>
        <v>35535000000</v>
      </c>
      <c r="N310" s="4">
        <f t="shared" si="14"/>
        <v>0.70312672013507815</v>
      </c>
    </row>
    <row r="311" spans="1:14" x14ac:dyDescent="0.45">
      <c r="A311" s="2">
        <v>45491</v>
      </c>
      <c r="B311" s="3">
        <v>6398</v>
      </c>
      <c r="D311" s="2">
        <v>45491</v>
      </c>
      <c r="E311" s="3">
        <v>4901.3999999999996</v>
      </c>
      <c r="G311" s="3">
        <v>1680000</v>
      </c>
      <c r="H311" s="3">
        <f t="shared" si="12"/>
        <v>10748640000</v>
      </c>
      <c r="J311" s="3">
        <v>7500000</v>
      </c>
      <c r="K311" s="3"/>
      <c r="L311" s="3">
        <f t="shared" si="13"/>
        <v>36760500000</v>
      </c>
      <c r="N311" s="4">
        <f t="shared" si="14"/>
        <v>0.70760354184518715</v>
      </c>
    </row>
    <row r="312" spans="1:14" x14ac:dyDescent="0.45">
      <c r="A312" s="2">
        <v>45489</v>
      </c>
      <c r="B312" s="3">
        <v>6383.15</v>
      </c>
      <c r="D312" s="2">
        <v>45489</v>
      </c>
      <c r="E312" s="3">
        <v>4950.8999999999996</v>
      </c>
      <c r="G312" s="3">
        <v>1680000</v>
      </c>
      <c r="H312" s="3">
        <f t="shared" si="12"/>
        <v>10723692000</v>
      </c>
      <c r="J312" s="3">
        <v>7500000</v>
      </c>
      <c r="K312" s="3"/>
      <c r="L312" s="3">
        <f t="shared" si="13"/>
        <v>37131750000</v>
      </c>
      <c r="N312" s="4">
        <f t="shared" si="14"/>
        <v>0.71119885273384642</v>
      </c>
    </row>
    <row r="313" spans="1:14" x14ac:dyDescent="0.45">
      <c r="A313" s="2">
        <v>45488</v>
      </c>
      <c r="B313" s="3">
        <v>6534</v>
      </c>
      <c r="D313" s="2">
        <v>45488</v>
      </c>
      <c r="E313" s="3">
        <v>5016.8999999999996</v>
      </c>
      <c r="G313" s="3">
        <v>1680000</v>
      </c>
      <c r="H313" s="3">
        <f t="shared" si="12"/>
        <v>10977120000</v>
      </c>
      <c r="J313" s="3">
        <v>7500000</v>
      </c>
      <c r="K313" s="3"/>
      <c r="L313" s="3">
        <f t="shared" si="13"/>
        <v>37626750000</v>
      </c>
      <c r="N313" s="4">
        <f t="shared" si="14"/>
        <v>0.70826287149434908</v>
      </c>
    </row>
    <row r="314" spans="1:14" x14ac:dyDescent="0.45">
      <c r="A314" s="2">
        <v>45485</v>
      </c>
      <c r="B314" s="3">
        <v>6446</v>
      </c>
      <c r="D314" s="2">
        <v>45485</v>
      </c>
      <c r="E314" s="3">
        <v>4718.25</v>
      </c>
      <c r="G314" s="3">
        <v>1680000</v>
      </c>
      <c r="H314" s="3">
        <f t="shared" si="12"/>
        <v>10829280000</v>
      </c>
      <c r="J314" s="3">
        <v>7500000</v>
      </c>
      <c r="K314" s="3"/>
      <c r="L314" s="3">
        <f t="shared" si="13"/>
        <v>35386875000</v>
      </c>
      <c r="N314" s="4">
        <f t="shared" si="14"/>
        <v>0.69397467281301328</v>
      </c>
    </row>
    <row r="315" spans="1:14" x14ac:dyDescent="0.45">
      <c r="A315" s="2">
        <v>45484</v>
      </c>
      <c r="B315" s="3">
        <v>6458.1</v>
      </c>
      <c r="D315" s="2">
        <v>45484</v>
      </c>
      <c r="E315" s="3">
        <v>4792.3</v>
      </c>
      <c r="G315" s="3">
        <v>1680000</v>
      </c>
      <c r="H315" s="3">
        <f t="shared" si="12"/>
        <v>10849608000</v>
      </c>
      <c r="J315" s="3">
        <v>7500000</v>
      </c>
      <c r="K315" s="3"/>
      <c r="L315" s="3">
        <f t="shared" si="13"/>
        <v>35942250000</v>
      </c>
      <c r="N315" s="4">
        <f t="shared" si="14"/>
        <v>0.6981377626609353</v>
      </c>
    </row>
    <row r="316" spans="1:14" x14ac:dyDescent="0.45">
      <c r="A316" s="2">
        <v>45483</v>
      </c>
      <c r="B316" s="3">
        <v>6549.3</v>
      </c>
      <c r="D316" s="2">
        <v>45483</v>
      </c>
      <c r="E316" s="3">
        <v>4850.3999999999996</v>
      </c>
      <c r="G316" s="3">
        <v>1680000</v>
      </c>
      <c r="H316" s="3">
        <f t="shared" si="12"/>
        <v>11002824000</v>
      </c>
      <c r="J316" s="3">
        <v>7500000</v>
      </c>
      <c r="K316" s="3"/>
      <c r="L316" s="3">
        <f t="shared" si="13"/>
        <v>36378000000</v>
      </c>
      <c r="N316" s="4">
        <f t="shared" si="14"/>
        <v>0.69754181098466106</v>
      </c>
    </row>
    <row r="317" spans="1:14" x14ac:dyDescent="0.45">
      <c r="A317" s="2">
        <v>45482</v>
      </c>
      <c r="B317" s="3">
        <v>6529.05</v>
      </c>
      <c r="D317" s="2">
        <v>45482</v>
      </c>
      <c r="E317" s="3">
        <v>4953.55</v>
      </c>
      <c r="G317" s="3">
        <v>1680000</v>
      </c>
      <c r="H317" s="3">
        <f t="shared" si="12"/>
        <v>10968804000</v>
      </c>
      <c r="J317" s="3">
        <v>7500000</v>
      </c>
      <c r="K317" s="3"/>
      <c r="L317" s="3">
        <f t="shared" si="13"/>
        <v>37151625000</v>
      </c>
      <c r="N317" s="4">
        <f t="shared" si="14"/>
        <v>0.70475574083233239</v>
      </c>
    </row>
    <row r="318" spans="1:14" x14ac:dyDescent="0.45">
      <c r="A318" s="2">
        <v>45481</v>
      </c>
      <c r="B318" s="3">
        <v>6343.2</v>
      </c>
      <c r="D318" s="2">
        <v>45481</v>
      </c>
      <c r="E318" s="3">
        <v>4867.3500000000004</v>
      </c>
      <c r="G318" s="3">
        <v>1680000</v>
      </c>
      <c r="H318" s="3">
        <f t="shared" si="12"/>
        <v>10656576000</v>
      </c>
      <c r="J318" s="3">
        <v>7500000</v>
      </c>
      <c r="K318" s="3"/>
      <c r="L318" s="3">
        <f t="shared" si="13"/>
        <v>36505125000</v>
      </c>
      <c r="N318" s="4">
        <f t="shared" si="14"/>
        <v>0.70808000246540725</v>
      </c>
    </row>
    <row r="319" spans="1:14" x14ac:dyDescent="0.45">
      <c r="A319" s="2">
        <v>45478</v>
      </c>
      <c r="B319" s="3">
        <v>6576.6</v>
      </c>
      <c r="D319" s="2">
        <v>45478</v>
      </c>
      <c r="E319" s="3">
        <v>4925.7</v>
      </c>
      <c r="G319" s="3">
        <v>1680000</v>
      </c>
      <c r="H319" s="3">
        <f t="shared" si="12"/>
        <v>11048688000</v>
      </c>
      <c r="J319" s="3">
        <v>7500000</v>
      </c>
      <c r="K319" s="3"/>
      <c r="L319" s="3">
        <f t="shared" si="13"/>
        <v>36942750000</v>
      </c>
      <c r="N319" s="4">
        <f t="shared" si="14"/>
        <v>0.70092405140386138</v>
      </c>
    </row>
    <row r="320" spans="1:14" x14ac:dyDescent="0.45">
      <c r="A320" s="2">
        <v>45477</v>
      </c>
      <c r="B320" s="3">
        <v>6585.25</v>
      </c>
      <c r="D320" s="2">
        <v>45477</v>
      </c>
      <c r="E320" s="3">
        <v>5037.3</v>
      </c>
      <c r="G320" s="3">
        <v>1680000</v>
      </c>
      <c r="H320" s="3">
        <f t="shared" si="12"/>
        <v>11063220000</v>
      </c>
      <c r="J320" s="3">
        <v>7500000</v>
      </c>
      <c r="K320" s="3"/>
      <c r="L320" s="3">
        <f t="shared" si="13"/>
        <v>37779750000</v>
      </c>
      <c r="N320" s="4">
        <f t="shared" si="14"/>
        <v>0.70716534651499807</v>
      </c>
    </row>
    <row r="321" spans="1:14" x14ac:dyDescent="0.45">
      <c r="A321" s="2">
        <v>45476</v>
      </c>
      <c r="B321" s="3">
        <v>5690</v>
      </c>
      <c r="D321" s="2">
        <v>45476</v>
      </c>
      <c r="E321" s="3">
        <v>4934.6000000000004</v>
      </c>
      <c r="G321" s="3">
        <v>1680000</v>
      </c>
      <c r="H321" s="3">
        <f t="shared" si="12"/>
        <v>9559200000</v>
      </c>
      <c r="J321" s="3">
        <v>7500000</v>
      </c>
      <c r="K321" s="3"/>
      <c r="L321" s="3">
        <f t="shared" si="13"/>
        <v>37009500000</v>
      </c>
      <c r="N321" s="4">
        <f t="shared" si="14"/>
        <v>0.74170956105864705</v>
      </c>
    </row>
    <row r="322" spans="1:14" x14ac:dyDescent="0.45">
      <c r="A322" s="2">
        <v>45475</v>
      </c>
      <c r="B322" s="3">
        <v>5645.9</v>
      </c>
      <c r="D322" s="2">
        <v>45475</v>
      </c>
      <c r="E322" s="3">
        <v>4905.45</v>
      </c>
      <c r="G322" s="3">
        <v>1680000</v>
      </c>
      <c r="H322" s="3">
        <f t="shared" si="12"/>
        <v>9485112000</v>
      </c>
      <c r="J322" s="3">
        <v>7500000</v>
      </c>
      <c r="K322" s="3"/>
      <c r="L322" s="3">
        <f t="shared" si="13"/>
        <v>36790875000</v>
      </c>
      <c r="N322" s="4">
        <f t="shared" si="14"/>
        <v>0.74218846385143056</v>
      </c>
    </row>
    <row r="323" spans="1:14" x14ac:dyDescent="0.45">
      <c r="A323" s="2">
        <v>45474</v>
      </c>
      <c r="B323" s="3">
        <v>5601.2</v>
      </c>
      <c r="D323" s="2">
        <v>45474</v>
      </c>
      <c r="E323" s="3">
        <v>4861.55</v>
      </c>
      <c r="G323" s="3">
        <v>1680000</v>
      </c>
      <c r="H323" s="3">
        <f t="shared" ref="H323:H386" si="15">+G323*B323</f>
        <v>9410016000</v>
      </c>
      <c r="J323" s="3">
        <v>7500000</v>
      </c>
      <c r="K323" s="3"/>
      <c r="L323" s="3">
        <f t="shared" ref="L323:L386" si="16">+(J323*E323)</f>
        <v>36461625000</v>
      </c>
      <c r="N323" s="4">
        <f t="shared" ref="N323:N386" si="17">1- (H323/L323)</f>
        <v>0.74192000493669719</v>
      </c>
    </row>
    <row r="324" spans="1:14" x14ac:dyDescent="0.45">
      <c r="A324" s="2">
        <v>45471</v>
      </c>
      <c r="B324" s="3">
        <v>5868.65</v>
      </c>
      <c r="D324" s="2">
        <v>45471</v>
      </c>
      <c r="E324" s="3">
        <v>4674.95</v>
      </c>
      <c r="G324" s="3">
        <v>1680000</v>
      </c>
      <c r="H324" s="3">
        <f t="shared" si="15"/>
        <v>9859332000</v>
      </c>
      <c r="J324" s="3">
        <v>7500000</v>
      </c>
      <c r="K324" s="3"/>
      <c r="L324" s="3">
        <f t="shared" si="16"/>
        <v>35062125000</v>
      </c>
      <c r="N324" s="4">
        <f t="shared" si="17"/>
        <v>0.71880392303661</v>
      </c>
    </row>
    <row r="325" spans="1:14" x14ac:dyDescent="0.45">
      <c r="A325" s="2">
        <v>45470</v>
      </c>
      <c r="B325" s="3">
        <v>5279.8</v>
      </c>
      <c r="D325" s="2">
        <v>45470</v>
      </c>
      <c r="E325" s="3">
        <v>4688.8999999999996</v>
      </c>
      <c r="G325" s="3">
        <v>1680000</v>
      </c>
      <c r="H325" s="3">
        <f t="shared" si="15"/>
        <v>8870064000</v>
      </c>
      <c r="J325" s="3">
        <v>7500000</v>
      </c>
      <c r="K325" s="3"/>
      <c r="L325" s="3">
        <f t="shared" si="16"/>
        <v>35166750000</v>
      </c>
      <c r="N325" s="4">
        <f t="shared" si="17"/>
        <v>0.74777128964149375</v>
      </c>
    </row>
    <row r="326" spans="1:14" x14ac:dyDescent="0.45">
      <c r="A326" s="2">
        <v>45469</v>
      </c>
      <c r="B326" s="3">
        <v>5211</v>
      </c>
      <c r="D326" s="2">
        <v>45469</v>
      </c>
      <c r="E326" s="3">
        <v>4745.45</v>
      </c>
      <c r="G326" s="3">
        <v>1680000</v>
      </c>
      <c r="H326" s="3">
        <f t="shared" si="15"/>
        <v>8754480000</v>
      </c>
      <c r="J326" s="3">
        <v>7500000</v>
      </c>
      <c r="K326" s="3"/>
      <c r="L326" s="3">
        <f t="shared" si="16"/>
        <v>35590875000</v>
      </c>
      <c r="N326" s="4">
        <f t="shared" si="17"/>
        <v>0.75402459197757854</v>
      </c>
    </row>
    <row r="327" spans="1:14" x14ac:dyDescent="0.45">
      <c r="A327" s="2">
        <v>45468</v>
      </c>
      <c r="B327" s="3">
        <v>5275</v>
      </c>
      <c r="D327" s="2">
        <v>45468</v>
      </c>
      <c r="E327" s="3">
        <v>4802.55</v>
      </c>
      <c r="G327" s="3">
        <v>1680000</v>
      </c>
      <c r="H327" s="3">
        <f t="shared" si="15"/>
        <v>8862000000</v>
      </c>
      <c r="J327" s="3">
        <v>7500000</v>
      </c>
      <c r="K327" s="3"/>
      <c r="L327" s="3">
        <f t="shared" si="16"/>
        <v>36019125000</v>
      </c>
      <c r="N327" s="4">
        <f t="shared" si="17"/>
        <v>0.7539640399371168</v>
      </c>
    </row>
    <row r="328" spans="1:14" x14ac:dyDescent="0.45">
      <c r="A328" s="2">
        <v>45467</v>
      </c>
      <c r="B328" s="3">
        <v>5328</v>
      </c>
      <c r="D328" s="2">
        <v>45467</v>
      </c>
      <c r="E328" s="3">
        <v>4775.95</v>
      </c>
      <c r="G328" s="3">
        <v>1680000</v>
      </c>
      <c r="H328" s="3">
        <f t="shared" si="15"/>
        <v>8951040000</v>
      </c>
      <c r="J328" s="3">
        <v>7500000</v>
      </c>
      <c r="K328" s="3"/>
      <c r="L328" s="3">
        <f t="shared" si="16"/>
        <v>35819625000</v>
      </c>
      <c r="N328" s="4">
        <f t="shared" si="17"/>
        <v>0.75010793664087771</v>
      </c>
    </row>
    <row r="329" spans="1:14" x14ac:dyDescent="0.45">
      <c r="A329" s="2">
        <v>45464</v>
      </c>
      <c r="B329" s="3">
        <v>5300</v>
      </c>
      <c r="D329" s="2">
        <v>45464</v>
      </c>
      <c r="E329" s="3">
        <v>4776.3500000000004</v>
      </c>
      <c r="G329" s="3">
        <v>1680000</v>
      </c>
      <c r="H329" s="3">
        <f t="shared" si="15"/>
        <v>8904000000</v>
      </c>
      <c r="J329" s="3">
        <v>7500000</v>
      </c>
      <c r="K329" s="3"/>
      <c r="L329" s="3">
        <f t="shared" si="16"/>
        <v>35822625000</v>
      </c>
      <c r="N329" s="4">
        <f t="shared" si="17"/>
        <v>0.75144200069090417</v>
      </c>
    </row>
    <row r="330" spans="1:14" x14ac:dyDescent="0.45">
      <c r="A330" s="2">
        <v>45463</v>
      </c>
      <c r="B330" s="3">
        <v>5217.6000000000004</v>
      </c>
      <c r="D330" s="2">
        <v>45463</v>
      </c>
      <c r="E330" s="3">
        <v>4640.25</v>
      </c>
      <c r="G330" s="3">
        <v>1680000</v>
      </c>
      <c r="H330" s="3">
        <f t="shared" si="15"/>
        <v>8765568000</v>
      </c>
      <c r="J330" s="3">
        <v>7500000</v>
      </c>
      <c r="K330" s="3"/>
      <c r="L330" s="3">
        <f t="shared" si="16"/>
        <v>34801875000</v>
      </c>
      <c r="N330" s="4">
        <f t="shared" si="17"/>
        <v>0.74812943268142873</v>
      </c>
    </row>
    <row r="331" spans="1:14" x14ac:dyDescent="0.45">
      <c r="A331" s="2">
        <v>45462</v>
      </c>
      <c r="B331" s="3">
        <v>5300</v>
      </c>
      <c r="D331" s="2">
        <v>45462</v>
      </c>
      <c r="E331" s="3">
        <v>4614.45</v>
      </c>
      <c r="G331" s="3">
        <v>1680000</v>
      </c>
      <c r="H331" s="3">
        <f t="shared" si="15"/>
        <v>8904000000</v>
      </c>
      <c r="J331" s="3">
        <v>7500000</v>
      </c>
      <c r="K331" s="3"/>
      <c r="L331" s="3">
        <f t="shared" si="16"/>
        <v>34608375000</v>
      </c>
      <c r="N331" s="4">
        <f t="shared" si="17"/>
        <v>0.74272123438329596</v>
      </c>
    </row>
    <row r="332" spans="1:14" x14ac:dyDescent="0.45">
      <c r="A332" s="2">
        <v>45461</v>
      </c>
      <c r="B332" s="3">
        <v>5299.9</v>
      </c>
      <c r="D332" s="2">
        <v>45461</v>
      </c>
      <c r="E332" s="3">
        <v>4700.55</v>
      </c>
      <c r="G332" s="3">
        <v>1680000</v>
      </c>
      <c r="H332" s="3">
        <f t="shared" si="15"/>
        <v>8903832000</v>
      </c>
      <c r="J332" s="3">
        <v>7500000</v>
      </c>
      <c r="K332" s="3"/>
      <c r="L332" s="3">
        <f t="shared" si="16"/>
        <v>35254125000</v>
      </c>
      <c r="N332" s="4">
        <f t="shared" si="17"/>
        <v>0.74743857633681166</v>
      </c>
    </row>
    <row r="333" spans="1:14" x14ac:dyDescent="0.45">
      <c r="A333" s="2">
        <v>45457</v>
      </c>
      <c r="B333" s="3">
        <v>5180.3500000000004</v>
      </c>
      <c r="D333" s="2">
        <v>45457</v>
      </c>
      <c r="E333" s="3">
        <v>4744</v>
      </c>
      <c r="G333" s="3">
        <v>1680000</v>
      </c>
      <c r="H333" s="3">
        <f t="shared" si="15"/>
        <v>8702988000</v>
      </c>
      <c r="J333" s="3">
        <v>7500000</v>
      </c>
      <c r="K333" s="3"/>
      <c r="L333" s="3">
        <f t="shared" si="16"/>
        <v>35580000000</v>
      </c>
      <c r="N333" s="4">
        <f t="shared" si="17"/>
        <v>0.75539662731871837</v>
      </c>
    </row>
    <row r="334" spans="1:14" x14ac:dyDescent="0.45">
      <c r="A334" s="2">
        <v>45456</v>
      </c>
      <c r="B334" s="3">
        <v>5142.3999999999996</v>
      </c>
      <c r="D334" s="2">
        <v>45456</v>
      </c>
      <c r="E334" s="3">
        <v>4696.8500000000004</v>
      </c>
      <c r="G334" s="3">
        <v>1680000</v>
      </c>
      <c r="H334" s="3">
        <f t="shared" si="15"/>
        <v>8639232000</v>
      </c>
      <c r="J334" s="3">
        <v>7500000</v>
      </c>
      <c r="K334" s="3"/>
      <c r="L334" s="3">
        <f t="shared" si="16"/>
        <v>35226375000</v>
      </c>
      <c r="N334" s="4">
        <f t="shared" si="17"/>
        <v>0.7547510352683181</v>
      </c>
    </row>
    <row r="335" spans="1:14" x14ac:dyDescent="0.45">
      <c r="A335" s="2">
        <v>45455</v>
      </c>
      <c r="B335" s="3">
        <v>4992.8</v>
      </c>
      <c r="D335" s="2">
        <v>45455</v>
      </c>
      <c r="E335" s="3">
        <v>4688.5</v>
      </c>
      <c r="G335" s="3">
        <v>1680000</v>
      </c>
      <c r="H335" s="3">
        <f t="shared" si="15"/>
        <v>8387904000</v>
      </c>
      <c r="J335" s="3">
        <v>7500000</v>
      </c>
      <c r="K335" s="3"/>
      <c r="L335" s="3">
        <f t="shared" si="16"/>
        <v>35163750000</v>
      </c>
      <c r="N335" s="4">
        <f t="shared" si="17"/>
        <v>0.76146161885464436</v>
      </c>
    </row>
    <row r="336" spans="1:14" x14ac:dyDescent="0.45">
      <c r="A336" s="2">
        <v>45454</v>
      </c>
      <c r="B336" s="3">
        <v>4852.8</v>
      </c>
      <c r="D336" s="2">
        <v>45454</v>
      </c>
      <c r="E336" s="3">
        <v>4679.7</v>
      </c>
      <c r="G336" s="3">
        <v>1680000</v>
      </c>
      <c r="H336" s="3">
        <f t="shared" si="15"/>
        <v>8152704000</v>
      </c>
      <c r="J336" s="3">
        <v>7500000</v>
      </c>
      <c r="K336" s="3"/>
      <c r="L336" s="3">
        <f t="shared" si="16"/>
        <v>35097750000</v>
      </c>
      <c r="N336" s="4">
        <f t="shared" si="17"/>
        <v>0.76771434066286304</v>
      </c>
    </row>
    <row r="337" spans="1:14" x14ac:dyDescent="0.45">
      <c r="A337" s="2">
        <v>45453</v>
      </c>
      <c r="B337" s="3">
        <v>4819.7</v>
      </c>
      <c r="D337" s="2">
        <v>45453</v>
      </c>
      <c r="E337" s="3">
        <v>4625.1499999999996</v>
      </c>
      <c r="G337" s="3">
        <v>1680000</v>
      </c>
      <c r="H337" s="3">
        <f t="shared" si="15"/>
        <v>8097096000</v>
      </c>
      <c r="J337" s="3">
        <v>7500000</v>
      </c>
      <c r="K337" s="3"/>
      <c r="L337" s="3">
        <f t="shared" si="16"/>
        <v>34688625000</v>
      </c>
      <c r="N337" s="4">
        <f t="shared" si="17"/>
        <v>0.76657777585591824</v>
      </c>
    </row>
    <row r="338" spans="1:14" x14ac:dyDescent="0.45">
      <c r="A338" s="2">
        <v>45450</v>
      </c>
      <c r="B338" s="3">
        <v>5300</v>
      </c>
      <c r="D338" s="2">
        <v>45450</v>
      </c>
      <c r="E338" s="3">
        <v>4586.3</v>
      </c>
      <c r="G338" s="3">
        <v>1680000</v>
      </c>
      <c r="H338" s="3">
        <f t="shared" si="15"/>
        <v>8904000000</v>
      </c>
      <c r="J338" s="3">
        <v>7500000</v>
      </c>
      <c r="K338" s="3"/>
      <c r="L338" s="3">
        <f t="shared" si="16"/>
        <v>34397250000</v>
      </c>
      <c r="N338" s="4">
        <f t="shared" si="17"/>
        <v>0.74114209711532175</v>
      </c>
    </row>
    <row r="339" spans="1:14" x14ac:dyDescent="0.45">
      <c r="A339" s="2">
        <v>45449</v>
      </c>
      <c r="B339" s="3">
        <v>5330</v>
      </c>
      <c r="D339" s="2">
        <v>45449</v>
      </c>
      <c r="E339" s="3">
        <v>4507.3500000000004</v>
      </c>
      <c r="G339" s="3">
        <v>1680000</v>
      </c>
      <c r="H339" s="3">
        <f t="shared" si="15"/>
        <v>8954400000</v>
      </c>
      <c r="J339" s="3">
        <v>7500000</v>
      </c>
      <c r="K339" s="3"/>
      <c r="L339" s="3">
        <f t="shared" si="16"/>
        <v>33805125000.000004</v>
      </c>
      <c r="N339" s="4">
        <f t="shared" si="17"/>
        <v>0.73511708653643493</v>
      </c>
    </row>
    <row r="340" spans="1:14" x14ac:dyDescent="0.45">
      <c r="A340" s="2">
        <v>45448</v>
      </c>
      <c r="B340" s="3">
        <v>5363</v>
      </c>
      <c r="D340" s="2">
        <v>45448</v>
      </c>
      <c r="E340" s="3">
        <v>4435.8999999999996</v>
      </c>
      <c r="G340" s="3">
        <v>1680000</v>
      </c>
      <c r="H340" s="3">
        <f t="shared" si="15"/>
        <v>9009840000</v>
      </c>
      <c r="J340" s="3">
        <v>7500000</v>
      </c>
      <c r="K340" s="3"/>
      <c r="L340" s="3">
        <f t="shared" si="16"/>
        <v>33269249999.999996</v>
      </c>
      <c r="N340" s="4">
        <f t="shared" si="17"/>
        <v>0.72918415654094992</v>
      </c>
    </row>
    <row r="341" spans="1:14" x14ac:dyDescent="0.45">
      <c r="A341" s="2">
        <v>45447</v>
      </c>
      <c r="B341" s="3">
        <v>5255</v>
      </c>
      <c r="D341" s="2">
        <v>45447</v>
      </c>
      <c r="E341" s="3">
        <v>4406.6000000000004</v>
      </c>
      <c r="G341" s="3">
        <v>1680000</v>
      </c>
      <c r="H341" s="3">
        <f t="shared" si="15"/>
        <v>8828400000</v>
      </c>
      <c r="J341" s="3">
        <v>7500000</v>
      </c>
      <c r="K341" s="3"/>
      <c r="L341" s="3">
        <f t="shared" si="16"/>
        <v>33049500000.000004</v>
      </c>
      <c r="N341" s="4">
        <f t="shared" si="17"/>
        <v>0.73287341714700682</v>
      </c>
    </row>
    <row r="342" spans="1:14" x14ac:dyDescent="0.45">
      <c r="A342" s="2">
        <v>45446</v>
      </c>
      <c r="B342" s="3">
        <v>5221.8999999999996</v>
      </c>
      <c r="D342" s="2">
        <v>45446</v>
      </c>
      <c r="E342" s="3">
        <v>4789.3</v>
      </c>
      <c r="G342" s="3">
        <v>1680000</v>
      </c>
      <c r="H342" s="3">
        <f t="shared" si="15"/>
        <v>8772792000</v>
      </c>
      <c r="J342" s="3">
        <v>7500000</v>
      </c>
      <c r="K342" s="3"/>
      <c r="L342" s="3">
        <f t="shared" si="16"/>
        <v>35919750000</v>
      </c>
      <c r="N342" s="4">
        <f t="shared" si="17"/>
        <v>0.75576689704132127</v>
      </c>
    </row>
    <row r="343" spans="1:14" x14ac:dyDescent="0.45">
      <c r="A343" s="2">
        <v>45443</v>
      </c>
      <c r="B343" s="3">
        <v>5250</v>
      </c>
      <c r="D343" s="2">
        <v>45443</v>
      </c>
      <c r="E343" s="3">
        <v>4715.8</v>
      </c>
      <c r="G343" s="3">
        <v>1680000</v>
      </c>
      <c r="H343" s="3">
        <f t="shared" si="15"/>
        <v>8820000000</v>
      </c>
      <c r="J343" s="3">
        <v>7500000</v>
      </c>
      <c r="K343" s="3"/>
      <c r="L343" s="3">
        <f t="shared" si="16"/>
        <v>35368500000</v>
      </c>
      <c r="N343" s="4">
        <f t="shared" si="17"/>
        <v>0.75062555663938246</v>
      </c>
    </row>
    <row r="344" spans="1:14" x14ac:dyDescent="0.45">
      <c r="A344" s="2">
        <v>45442</v>
      </c>
      <c r="B344" s="3">
        <v>5251.35</v>
      </c>
      <c r="D344" s="2">
        <v>45442</v>
      </c>
      <c r="E344" s="3">
        <v>4449.3500000000004</v>
      </c>
      <c r="G344" s="3">
        <v>1680000</v>
      </c>
      <c r="H344" s="3">
        <f t="shared" si="15"/>
        <v>8822268000</v>
      </c>
      <c r="J344" s="3">
        <v>7500000</v>
      </c>
      <c r="K344" s="3"/>
      <c r="L344" s="3">
        <f t="shared" si="16"/>
        <v>33370125000.000004</v>
      </c>
      <c r="N344" s="4">
        <f t="shared" si="17"/>
        <v>0.73562376526908424</v>
      </c>
    </row>
    <row r="345" spans="1:14" x14ac:dyDescent="0.45">
      <c r="A345" s="2">
        <v>45441</v>
      </c>
      <c r="B345" s="3">
        <v>5253.85</v>
      </c>
      <c r="D345" s="2">
        <v>45441</v>
      </c>
      <c r="E345" s="3">
        <v>4474.45</v>
      </c>
      <c r="G345" s="3">
        <v>1680000</v>
      </c>
      <c r="H345" s="3">
        <f t="shared" si="15"/>
        <v>8826468000</v>
      </c>
      <c r="J345" s="3">
        <v>7500000</v>
      </c>
      <c r="K345" s="3"/>
      <c r="L345" s="3">
        <f t="shared" si="16"/>
        <v>33558375000</v>
      </c>
      <c r="N345" s="4">
        <f t="shared" si="17"/>
        <v>0.73698166255070463</v>
      </c>
    </row>
    <row r="346" spans="1:14" x14ac:dyDescent="0.45">
      <c r="A346" s="2">
        <v>45440</v>
      </c>
      <c r="B346" s="3">
        <v>5350</v>
      </c>
      <c r="D346" s="2">
        <v>45440</v>
      </c>
      <c r="E346" s="3">
        <v>4536.95</v>
      </c>
      <c r="G346" s="3">
        <v>1680000</v>
      </c>
      <c r="H346" s="3">
        <f t="shared" si="15"/>
        <v>8988000000</v>
      </c>
      <c r="J346" s="3">
        <v>7500000</v>
      </c>
      <c r="K346" s="3"/>
      <c r="L346" s="3">
        <f t="shared" si="16"/>
        <v>34027125000</v>
      </c>
      <c r="N346" s="4">
        <f t="shared" si="17"/>
        <v>0.73585778992494966</v>
      </c>
    </row>
    <row r="347" spans="1:14" x14ac:dyDescent="0.45">
      <c r="A347" s="2">
        <v>45439</v>
      </c>
      <c r="B347" s="3">
        <v>5440</v>
      </c>
      <c r="D347" s="2">
        <v>45439</v>
      </c>
      <c r="E347" s="3">
        <v>4475.1000000000004</v>
      </c>
      <c r="G347" s="3">
        <v>1680000</v>
      </c>
      <c r="H347" s="3">
        <f t="shared" si="15"/>
        <v>9139200000</v>
      </c>
      <c r="J347" s="3">
        <v>7500000</v>
      </c>
      <c r="K347" s="3"/>
      <c r="L347" s="3">
        <f t="shared" si="16"/>
        <v>33563250000.000004</v>
      </c>
      <c r="N347" s="4">
        <f t="shared" si="17"/>
        <v>0.72770217425308936</v>
      </c>
    </row>
    <row r="348" spans="1:14" x14ac:dyDescent="0.45">
      <c r="A348" s="2">
        <v>45436</v>
      </c>
      <c r="B348" s="3">
        <v>5350</v>
      </c>
      <c r="D348" s="2">
        <v>45436</v>
      </c>
      <c r="E348" s="3">
        <v>4564.3</v>
      </c>
      <c r="G348" s="3">
        <v>1680000</v>
      </c>
      <c r="H348" s="3">
        <f t="shared" si="15"/>
        <v>8988000000</v>
      </c>
      <c r="J348" s="3">
        <v>7500000</v>
      </c>
      <c r="K348" s="3"/>
      <c r="L348" s="3">
        <f t="shared" si="16"/>
        <v>34232250000</v>
      </c>
      <c r="N348" s="4">
        <f t="shared" si="17"/>
        <v>0.73744057139101282</v>
      </c>
    </row>
    <row r="349" spans="1:14" x14ac:dyDescent="0.45">
      <c r="A349" s="2">
        <v>45435</v>
      </c>
      <c r="B349" s="3">
        <v>5350</v>
      </c>
      <c r="D349" s="2">
        <v>45435</v>
      </c>
      <c r="E349" s="3">
        <v>4556.3999999999996</v>
      </c>
      <c r="G349" s="3">
        <v>1680000</v>
      </c>
      <c r="H349" s="3">
        <f t="shared" si="15"/>
        <v>8988000000</v>
      </c>
      <c r="J349" s="3">
        <v>7500000</v>
      </c>
      <c r="K349" s="3"/>
      <c r="L349" s="3">
        <f t="shared" si="16"/>
        <v>34172999999.999996</v>
      </c>
      <c r="N349" s="4">
        <f t="shared" si="17"/>
        <v>0.7369853393029584</v>
      </c>
    </row>
    <row r="350" spans="1:14" x14ac:dyDescent="0.45">
      <c r="A350" s="2">
        <v>45434</v>
      </c>
      <c r="B350" s="3">
        <v>5325</v>
      </c>
      <c r="D350" s="2">
        <v>45434</v>
      </c>
      <c r="E350" s="3">
        <v>4635.6000000000004</v>
      </c>
      <c r="G350" s="3">
        <v>1680000</v>
      </c>
      <c r="H350" s="3">
        <f t="shared" si="15"/>
        <v>8946000000</v>
      </c>
      <c r="J350" s="3">
        <v>7500000</v>
      </c>
      <c r="K350" s="3"/>
      <c r="L350" s="3">
        <f t="shared" si="16"/>
        <v>34767000000</v>
      </c>
      <c r="N350" s="4">
        <f t="shared" si="17"/>
        <v>0.7426870308050737</v>
      </c>
    </row>
    <row r="351" spans="1:14" x14ac:dyDescent="0.45">
      <c r="A351" s="2">
        <v>45433</v>
      </c>
      <c r="B351" s="3">
        <v>5340</v>
      </c>
      <c r="D351" s="2">
        <v>45433</v>
      </c>
      <c r="E351" s="3">
        <v>4672</v>
      </c>
      <c r="G351" s="3">
        <v>1680000</v>
      </c>
      <c r="H351" s="3">
        <f t="shared" si="15"/>
        <v>8971200000</v>
      </c>
      <c r="J351" s="3">
        <v>7500000</v>
      </c>
      <c r="K351" s="3"/>
      <c r="L351" s="3">
        <f t="shared" si="16"/>
        <v>35040000000</v>
      </c>
      <c r="N351" s="4">
        <f t="shared" si="17"/>
        <v>0.74397260273972599</v>
      </c>
    </row>
    <row r="352" spans="1:14" x14ac:dyDescent="0.45">
      <c r="A352" s="2">
        <v>45430</v>
      </c>
      <c r="B352" s="3">
        <v>5183</v>
      </c>
      <c r="D352" s="2">
        <v>45430</v>
      </c>
      <c r="E352" s="3">
        <v>4818.75</v>
      </c>
      <c r="G352" s="3">
        <v>1680000</v>
      </c>
      <c r="H352" s="3">
        <f t="shared" si="15"/>
        <v>8707440000</v>
      </c>
      <c r="J352" s="3">
        <v>7500000</v>
      </c>
      <c r="K352" s="3"/>
      <c r="L352" s="3">
        <f t="shared" si="16"/>
        <v>36140625000</v>
      </c>
      <c r="N352" s="4">
        <f t="shared" si="17"/>
        <v>0.75906780804150453</v>
      </c>
    </row>
    <row r="353" spans="1:14" x14ac:dyDescent="0.45">
      <c r="A353" s="2">
        <v>45429</v>
      </c>
      <c r="B353" s="3">
        <v>5299.95</v>
      </c>
      <c r="D353" s="2">
        <v>45429</v>
      </c>
      <c r="E353" s="3">
        <v>4809.75</v>
      </c>
      <c r="G353" s="3">
        <v>1680000</v>
      </c>
      <c r="H353" s="3">
        <f t="shared" si="15"/>
        <v>8903916000</v>
      </c>
      <c r="J353" s="3">
        <v>7500000</v>
      </c>
      <c r="K353" s="3"/>
      <c r="L353" s="3">
        <f t="shared" si="16"/>
        <v>36073125000</v>
      </c>
      <c r="N353" s="4">
        <f t="shared" si="17"/>
        <v>0.75317037268049281</v>
      </c>
    </row>
    <row r="354" spans="1:14" x14ac:dyDescent="0.45">
      <c r="A354" s="2">
        <v>45428</v>
      </c>
      <c r="B354" s="3">
        <v>5216.3500000000004</v>
      </c>
      <c r="D354" s="2">
        <v>45428</v>
      </c>
      <c r="E354" s="3">
        <v>4806.8</v>
      </c>
      <c r="G354" s="3">
        <v>1680000</v>
      </c>
      <c r="H354" s="3">
        <f t="shared" si="15"/>
        <v>8763468000</v>
      </c>
      <c r="J354" s="3">
        <v>7500000</v>
      </c>
      <c r="K354" s="3"/>
      <c r="L354" s="3">
        <f t="shared" si="16"/>
        <v>36051000000</v>
      </c>
      <c r="N354" s="4">
        <f t="shared" si="17"/>
        <v>0.75691470416909379</v>
      </c>
    </row>
    <row r="355" spans="1:14" x14ac:dyDescent="0.45">
      <c r="A355" s="2">
        <v>45427</v>
      </c>
      <c r="B355" s="3">
        <v>5331</v>
      </c>
      <c r="D355" s="2">
        <v>45427</v>
      </c>
      <c r="E355" s="3">
        <v>4824.25</v>
      </c>
      <c r="G355" s="3">
        <v>1680000</v>
      </c>
      <c r="H355" s="3">
        <f t="shared" si="15"/>
        <v>8956080000</v>
      </c>
      <c r="J355" s="3">
        <v>7500000</v>
      </c>
      <c r="K355" s="3"/>
      <c r="L355" s="3">
        <f t="shared" si="16"/>
        <v>36181875000</v>
      </c>
      <c r="N355" s="4">
        <f t="shared" si="17"/>
        <v>0.75247053946209252</v>
      </c>
    </row>
    <row r="356" spans="1:14" x14ac:dyDescent="0.45">
      <c r="A356" s="2">
        <v>45426</v>
      </c>
      <c r="B356" s="3">
        <v>5150</v>
      </c>
      <c r="D356" s="2">
        <v>45426</v>
      </c>
      <c r="E356" s="3">
        <v>4573.95</v>
      </c>
      <c r="G356" s="3">
        <v>1680000</v>
      </c>
      <c r="H356" s="3">
        <f t="shared" si="15"/>
        <v>8652000000</v>
      </c>
      <c r="J356" s="3">
        <v>7500000</v>
      </c>
      <c r="K356" s="3"/>
      <c r="L356" s="3">
        <f t="shared" si="16"/>
        <v>34304625000</v>
      </c>
      <c r="N356" s="4">
        <f t="shared" si="17"/>
        <v>0.74778911006897753</v>
      </c>
    </row>
    <row r="357" spans="1:14" x14ac:dyDescent="0.45">
      <c r="A357" s="2">
        <v>45425</v>
      </c>
      <c r="B357" s="3">
        <v>5279.05</v>
      </c>
      <c r="D357" s="2">
        <v>45425</v>
      </c>
      <c r="E357" s="3">
        <v>4552.8</v>
      </c>
      <c r="G357" s="3">
        <v>1680000</v>
      </c>
      <c r="H357" s="3">
        <f t="shared" si="15"/>
        <v>8868804000</v>
      </c>
      <c r="J357" s="3">
        <v>7500000</v>
      </c>
      <c r="K357" s="3"/>
      <c r="L357" s="3">
        <f t="shared" si="16"/>
        <v>34146000000</v>
      </c>
      <c r="N357" s="4">
        <f t="shared" si="17"/>
        <v>0.74026814268142682</v>
      </c>
    </row>
    <row r="358" spans="1:14" x14ac:dyDescent="0.45">
      <c r="A358" s="2">
        <v>45422</v>
      </c>
      <c r="B358" s="3">
        <v>5545</v>
      </c>
      <c r="D358" s="2">
        <v>45422</v>
      </c>
      <c r="E358" s="3">
        <v>4568.05</v>
      </c>
      <c r="G358" s="3">
        <v>1680000</v>
      </c>
      <c r="H358" s="3">
        <f t="shared" si="15"/>
        <v>9315600000</v>
      </c>
      <c r="J358" s="3">
        <v>7500000</v>
      </c>
      <c r="K358" s="3"/>
      <c r="L358" s="3">
        <f t="shared" si="16"/>
        <v>34260375000</v>
      </c>
      <c r="N358" s="4">
        <f t="shared" si="17"/>
        <v>0.72809404450476678</v>
      </c>
    </row>
    <row r="359" spans="1:14" x14ac:dyDescent="0.45">
      <c r="A359" s="2">
        <v>45421</v>
      </c>
      <c r="B359" s="3">
        <v>5676.25</v>
      </c>
      <c r="D359" s="2">
        <v>45421</v>
      </c>
      <c r="E359" s="3">
        <v>4496.8500000000004</v>
      </c>
      <c r="G359" s="3">
        <v>1680000</v>
      </c>
      <c r="H359" s="3">
        <f t="shared" si="15"/>
        <v>9536100000</v>
      </c>
      <c r="J359" s="3">
        <v>7500000</v>
      </c>
      <c r="K359" s="3"/>
      <c r="L359" s="3">
        <f t="shared" si="16"/>
        <v>33726375000.000004</v>
      </c>
      <c r="N359" s="4">
        <f t="shared" si="17"/>
        <v>0.71725096456408377</v>
      </c>
    </row>
    <row r="360" spans="1:14" x14ac:dyDescent="0.45">
      <c r="A360" s="2">
        <v>45420</v>
      </c>
      <c r="B360" s="3">
        <v>5490</v>
      </c>
      <c r="D360" s="2">
        <v>45420</v>
      </c>
      <c r="E360" s="3">
        <v>4609.25</v>
      </c>
      <c r="G360" s="3">
        <v>1680000</v>
      </c>
      <c r="H360" s="3">
        <f t="shared" si="15"/>
        <v>9223200000</v>
      </c>
      <c r="J360" s="3">
        <v>7500000</v>
      </c>
      <c r="K360" s="3"/>
      <c r="L360" s="3">
        <f t="shared" si="16"/>
        <v>34569375000</v>
      </c>
      <c r="N360" s="4">
        <f t="shared" si="17"/>
        <v>0.73319737484406355</v>
      </c>
    </row>
    <row r="361" spans="1:14" x14ac:dyDescent="0.45">
      <c r="A361" s="2">
        <v>45419</v>
      </c>
      <c r="B361" s="3">
        <v>5364.6</v>
      </c>
      <c r="D361" s="2">
        <v>45419</v>
      </c>
      <c r="E361" s="3">
        <v>4349.2</v>
      </c>
      <c r="G361" s="3">
        <v>1680000</v>
      </c>
      <c r="H361" s="3">
        <f t="shared" si="15"/>
        <v>9012528000</v>
      </c>
      <c r="J361" s="3">
        <v>7500000</v>
      </c>
      <c r="K361" s="3"/>
      <c r="L361" s="3">
        <f t="shared" si="16"/>
        <v>32619000000</v>
      </c>
      <c r="N361" s="4">
        <f t="shared" si="17"/>
        <v>0.72370311781477059</v>
      </c>
    </row>
    <row r="362" spans="1:14" x14ac:dyDescent="0.45">
      <c r="A362" s="2">
        <v>45418</v>
      </c>
      <c r="B362" s="3">
        <v>5273.1</v>
      </c>
      <c r="D362" s="2">
        <v>45418</v>
      </c>
      <c r="E362" s="3">
        <v>4525.45</v>
      </c>
      <c r="G362" s="3">
        <v>1680000</v>
      </c>
      <c r="H362" s="3">
        <f t="shared" si="15"/>
        <v>8858808000</v>
      </c>
      <c r="J362" s="3">
        <v>7500000</v>
      </c>
      <c r="K362" s="3"/>
      <c r="L362" s="3">
        <f t="shared" si="16"/>
        <v>33940875000</v>
      </c>
      <c r="N362" s="4">
        <f t="shared" si="17"/>
        <v>0.73899293992862591</v>
      </c>
    </row>
    <row r="363" spans="1:14" x14ac:dyDescent="0.45">
      <c r="A363" s="2">
        <v>45415</v>
      </c>
      <c r="B363" s="3">
        <v>5504.8</v>
      </c>
      <c r="D363" s="2">
        <v>45415</v>
      </c>
      <c r="E363" s="3">
        <v>4658.8999999999996</v>
      </c>
      <c r="G363" s="3">
        <v>1680000</v>
      </c>
      <c r="H363" s="3">
        <f t="shared" si="15"/>
        <v>9248064000</v>
      </c>
      <c r="J363" s="3">
        <v>7500000</v>
      </c>
      <c r="K363" s="3"/>
      <c r="L363" s="3">
        <f t="shared" si="16"/>
        <v>34941750000</v>
      </c>
      <c r="N363" s="4">
        <f t="shared" si="17"/>
        <v>0.73532911202215123</v>
      </c>
    </row>
    <row r="364" spans="1:14" x14ac:dyDescent="0.45">
      <c r="A364" s="2">
        <v>45414</v>
      </c>
      <c r="B364" s="3">
        <v>5358.85</v>
      </c>
      <c r="D364" s="2">
        <v>45414</v>
      </c>
      <c r="E364" s="3">
        <v>4609.8500000000004</v>
      </c>
      <c r="G364" s="3">
        <v>1680000</v>
      </c>
      <c r="H364" s="3">
        <f t="shared" si="15"/>
        <v>9002868000</v>
      </c>
      <c r="J364" s="3">
        <v>7500000</v>
      </c>
      <c r="K364" s="3"/>
      <c r="L364" s="3">
        <f t="shared" si="16"/>
        <v>34573875000</v>
      </c>
      <c r="N364" s="4">
        <f t="shared" si="17"/>
        <v>0.73960488953002801</v>
      </c>
    </row>
    <row r="365" spans="1:14" x14ac:dyDescent="0.45">
      <c r="A365" s="2">
        <v>45412</v>
      </c>
      <c r="B365" s="3">
        <v>5403</v>
      </c>
      <c r="D365" s="2">
        <v>45412</v>
      </c>
      <c r="E365" s="3">
        <v>4510.3</v>
      </c>
      <c r="G365" s="3">
        <v>1680000</v>
      </c>
      <c r="H365" s="3">
        <f t="shared" si="15"/>
        <v>9077040000</v>
      </c>
      <c r="J365" s="3">
        <v>7500000</v>
      </c>
      <c r="K365" s="3"/>
      <c r="L365" s="3">
        <f t="shared" si="16"/>
        <v>33827250000</v>
      </c>
      <c r="N365" s="4">
        <f t="shared" si="17"/>
        <v>0.73166485599627518</v>
      </c>
    </row>
    <row r="366" spans="1:14" x14ac:dyDescent="0.45">
      <c r="A366" s="2">
        <v>45411</v>
      </c>
      <c r="B366" s="3">
        <v>5700</v>
      </c>
      <c r="D366" s="2">
        <v>45411</v>
      </c>
      <c r="E366" s="3">
        <v>4605.3</v>
      </c>
      <c r="G366" s="3">
        <v>1680000</v>
      </c>
      <c r="H366" s="3">
        <f t="shared" si="15"/>
        <v>9576000000</v>
      </c>
      <c r="J366" s="3">
        <v>7500000</v>
      </c>
      <c r="K366" s="3"/>
      <c r="L366" s="3">
        <f t="shared" si="16"/>
        <v>34539750000</v>
      </c>
      <c r="N366" s="4">
        <f t="shared" si="17"/>
        <v>0.72275421796625627</v>
      </c>
    </row>
    <row r="367" spans="1:14" x14ac:dyDescent="0.45">
      <c r="A367" s="2">
        <v>45408</v>
      </c>
      <c r="B367" s="3">
        <v>5473.05</v>
      </c>
      <c r="D367" s="2">
        <v>45408</v>
      </c>
      <c r="E367" s="3">
        <v>4678.1499999999996</v>
      </c>
      <c r="G367" s="3">
        <v>1680000</v>
      </c>
      <c r="H367" s="3">
        <f t="shared" si="15"/>
        <v>9194724000</v>
      </c>
      <c r="J367" s="3">
        <v>7500000</v>
      </c>
      <c r="K367" s="3"/>
      <c r="L367" s="3">
        <f t="shared" si="16"/>
        <v>35086125000</v>
      </c>
      <c r="N367" s="4">
        <f t="shared" si="17"/>
        <v>0.73793845857871165</v>
      </c>
    </row>
    <row r="368" spans="1:14" x14ac:dyDescent="0.45">
      <c r="A368" s="2">
        <v>45407</v>
      </c>
      <c r="B368" s="3">
        <v>5500</v>
      </c>
      <c r="D368" s="2">
        <v>45407</v>
      </c>
      <c r="E368" s="3">
        <v>4930.3999999999996</v>
      </c>
      <c r="G368" s="3">
        <v>1680000</v>
      </c>
      <c r="H368" s="3">
        <f t="shared" si="15"/>
        <v>9240000000</v>
      </c>
      <c r="J368" s="3">
        <v>7500000</v>
      </c>
      <c r="K368" s="3"/>
      <c r="L368" s="3">
        <f t="shared" si="16"/>
        <v>36978000000</v>
      </c>
      <c r="N368" s="4">
        <f t="shared" si="17"/>
        <v>0.75012169398020445</v>
      </c>
    </row>
    <row r="369" spans="1:14" x14ac:dyDescent="0.45">
      <c r="A369" s="2">
        <v>45406</v>
      </c>
      <c r="B369" s="3">
        <v>5306.1</v>
      </c>
      <c r="D369" s="2">
        <v>45406</v>
      </c>
      <c r="E369" s="3">
        <v>4674.7</v>
      </c>
      <c r="G369" s="3">
        <v>1680000</v>
      </c>
      <c r="H369" s="3">
        <f t="shared" si="15"/>
        <v>8914248000</v>
      </c>
      <c r="J369" s="3">
        <v>7500000</v>
      </c>
      <c r="K369" s="3"/>
      <c r="L369" s="3">
        <f t="shared" si="16"/>
        <v>35060250000</v>
      </c>
      <c r="N369" s="4">
        <f t="shared" si="17"/>
        <v>0.74574488202451494</v>
      </c>
    </row>
    <row r="370" spans="1:14" x14ac:dyDescent="0.45">
      <c r="A370" s="2">
        <v>45405</v>
      </c>
      <c r="B370" s="3">
        <v>5313.2</v>
      </c>
      <c r="D370" s="2">
        <v>45405</v>
      </c>
      <c r="E370" s="3">
        <v>4661</v>
      </c>
      <c r="G370" s="3">
        <v>1680000</v>
      </c>
      <c r="H370" s="3">
        <f t="shared" si="15"/>
        <v>8926176000</v>
      </c>
      <c r="J370" s="3">
        <v>7500000</v>
      </c>
      <c r="K370" s="3"/>
      <c r="L370" s="3">
        <f t="shared" si="16"/>
        <v>34957500000</v>
      </c>
      <c r="N370" s="4">
        <f t="shared" si="17"/>
        <v>0.7446563398412358</v>
      </c>
    </row>
    <row r="371" spans="1:14" x14ac:dyDescent="0.45">
      <c r="A371" s="2">
        <v>45404</v>
      </c>
      <c r="B371" s="3">
        <v>5408.65</v>
      </c>
      <c r="D371" s="2">
        <v>45404</v>
      </c>
      <c r="E371" s="3">
        <v>4634.75</v>
      </c>
      <c r="G371" s="3">
        <v>1680000</v>
      </c>
      <c r="H371" s="3">
        <f t="shared" si="15"/>
        <v>9086532000</v>
      </c>
      <c r="J371" s="3">
        <v>7500000</v>
      </c>
      <c r="K371" s="3"/>
      <c r="L371" s="3">
        <f t="shared" si="16"/>
        <v>34760625000</v>
      </c>
      <c r="N371" s="4">
        <f t="shared" si="17"/>
        <v>0.73859699012891744</v>
      </c>
    </row>
    <row r="372" spans="1:14" x14ac:dyDescent="0.45">
      <c r="A372" s="2">
        <v>45401</v>
      </c>
      <c r="B372" s="3">
        <v>5472.85</v>
      </c>
      <c r="D372" s="2">
        <v>45401</v>
      </c>
      <c r="E372" s="3">
        <v>4660.7</v>
      </c>
      <c r="G372" s="3">
        <v>1680000</v>
      </c>
      <c r="H372" s="3">
        <f t="shared" si="15"/>
        <v>9194388000</v>
      </c>
      <c r="J372" s="3">
        <v>7500000</v>
      </c>
      <c r="K372" s="3"/>
      <c r="L372" s="3">
        <f t="shared" si="16"/>
        <v>34955250000</v>
      </c>
      <c r="N372" s="4">
        <f t="shared" si="17"/>
        <v>0.7369668933851139</v>
      </c>
    </row>
    <row r="373" spans="1:14" x14ac:dyDescent="0.45">
      <c r="A373" s="2">
        <v>45400</v>
      </c>
      <c r="B373" s="3">
        <v>5400</v>
      </c>
      <c r="D373" s="2">
        <v>45400</v>
      </c>
      <c r="E373" s="3">
        <v>4480.3</v>
      </c>
      <c r="G373" s="3">
        <v>1680000</v>
      </c>
      <c r="H373" s="3">
        <f t="shared" si="15"/>
        <v>9072000000</v>
      </c>
      <c r="J373" s="3">
        <v>7500000</v>
      </c>
      <c r="K373" s="3"/>
      <c r="L373" s="3">
        <f t="shared" si="16"/>
        <v>33602250000</v>
      </c>
      <c r="N373" s="4">
        <f t="shared" si="17"/>
        <v>0.73001807914648564</v>
      </c>
    </row>
    <row r="374" spans="1:14" x14ac:dyDescent="0.45">
      <c r="A374" s="2">
        <v>45398</v>
      </c>
      <c r="B374" s="3">
        <v>5256</v>
      </c>
      <c r="D374" s="2">
        <v>45398</v>
      </c>
      <c r="E374" s="3">
        <v>4295.55</v>
      </c>
      <c r="G374" s="3">
        <v>1680000</v>
      </c>
      <c r="H374" s="3">
        <f t="shared" si="15"/>
        <v>8830080000</v>
      </c>
      <c r="J374" s="3">
        <v>7500000</v>
      </c>
      <c r="K374" s="3"/>
      <c r="L374" s="3">
        <f t="shared" si="16"/>
        <v>32216625000</v>
      </c>
      <c r="N374" s="4">
        <f t="shared" si="17"/>
        <v>0.72591542410168663</v>
      </c>
    </row>
    <row r="375" spans="1:14" x14ac:dyDescent="0.45">
      <c r="A375" s="2">
        <v>45397</v>
      </c>
      <c r="B375" s="3">
        <v>5260</v>
      </c>
      <c r="D375" s="2">
        <v>45397</v>
      </c>
      <c r="E375" s="3">
        <v>4270.25</v>
      </c>
      <c r="G375" s="3">
        <v>1680000</v>
      </c>
      <c r="H375" s="3">
        <f t="shared" si="15"/>
        <v>8836800000</v>
      </c>
      <c r="J375" s="3">
        <v>7500000</v>
      </c>
      <c r="K375" s="3"/>
      <c r="L375" s="3">
        <f t="shared" si="16"/>
        <v>32026875000</v>
      </c>
      <c r="N375" s="4">
        <f t="shared" si="17"/>
        <v>0.72408172823605177</v>
      </c>
    </row>
    <row r="376" spans="1:14" x14ac:dyDescent="0.45">
      <c r="A376" s="2">
        <v>45394</v>
      </c>
      <c r="B376" s="3">
        <v>5251.25</v>
      </c>
      <c r="D376" s="2">
        <v>45394</v>
      </c>
      <c r="E376" s="3">
        <v>4346.7</v>
      </c>
      <c r="G376" s="3">
        <v>1680000</v>
      </c>
      <c r="H376" s="3">
        <f t="shared" si="15"/>
        <v>8822100000</v>
      </c>
      <c r="J376" s="3">
        <v>7500000</v>
      </c>
      <c r="K376" s="3"/>
      <c r="L376" s="3">
        <f t="shared" si="16"/>
        <v>32600250000</v>
      </c>
      <c r="N376" s="4">
        <f t="shared" si="17"/>
        <v>0.72938551084730952</v>
      </c>
    </row>
    <row r="377" spans="1:14" x14ac:dyDescent="0.45">
      <c r="A377" s="2">
        <v>45392</v>
      </c>
      <c r="B377" s="3">
        <v>5025.8500000000004</v>
      </c>
      <c r="D377" s="2">
        <v>45392</v>
      </c>
      <c r="E377" s="3">
        <v>4392.5</v>
      </c>
      <c r="G377" s="3">
        <v>1680000</v>
      </c>
      <c r="H377" s="3">
        <f t="shared" si="15"/>
        <v>8443428000.000001</v>
      </c>
      <c r="J377" s="3">
        <v>7500000</v>
      </c>
      <c r="K377" s="3"/>
      <c r="L377" s="3">
        <f t="shared" si="16"/>
        <v>32943750000</v>
      </c>
      <c r="N377" s="4">
        <f t="shared" si="17"/>
        <v>0.74370167330677295</v>
      </c>
    </row>
    <row r="378" spans="1:14" x14ac:dyDescent="0.45">
      <c r="A378" s="2">
        <v>45391</v>
      </c>
      <c r="B378" s="3">
        <v>4984.3</v>
      </c>
      <c r="D378" s="2">
        <v>45391</v>
      </c>
      <c r="E378" s="3">
        <v>4132.5</v>
      </c>
      <c r="G378" s="3">
        <v>1680000</v>
      </c>
      <c r="H378" s="3">
        <f t="shared" si="15"/>
        <v>8373624000</v>
      </c>
      <c r="J378" s="3">
        <v>7500000</v>
      </c>
      <c r="K378" s="3"/>
      <c r="L378" s="3">
        <f t="shared" si="16"/>
        <v>30993750000</v>
      </c>
      <c r="N378" s="4">
        <f t="shared" si="17"/>
        <v>0.72982862673926197</v>
      </c>
    </row>
    <row r="379" spans="1:14" x14ac:dyDescent="0.45">
      <c r="A379" s="2">
        <v>45390</v>
      </c>
      <c r="B379" s="3">
        <v>4950</v>
      </c>
      <c r="D379" s="2">
        <v>45390</v>
      </c>
      <c r="E379" s="3">
        <v>3972.4</v>
      </c>
      <c r="G379" s="3">
        <v>1680000</v>
      </c>
      <c r="H379" s="3">
        <f t="shared" si="15"/>
        <v>8316000000</v>
      </c>
      <c r="J379" s="3">
        <v>7500000</v>
      </c>
      <c r="K379" s="3"/>
      <c r="L379" s="3">
        <f t="shared" si="16"/>
        <v>29793000000</v>
      </c>
      <c r="N379" s="4">
        <f t="shared" si="17"/>
        <v>0.72087403081260693</v>
      </c>
    </row>
    <row r="380" spans="1:14" x14ac:dyDescent="0.45">
      <c r="A380" s="2">
        <v>45387</v>
      </c>
      <c r="B380" s="3">
        <v>4852</v>
      </c>
      <c r="D380" s="2">
        <v>45387</v>
      </c>
      <c r="E380" s="3">
        <v>3911.45</v>
      </c>
      <c r="G380" s="3">
        <v>1680000</v>
      </c>
      <c r="H380" s="3">
        <f t="shared" si="15"/>
        <v>8151360000</v>
      </c>
      <c r="J380" s="3">
        <v>7500000</v>
      </c>
      <c r="K380" s="3"/>
      <c r="L380" s="3">
        <f t="shared" si="16"/>
        <v>29335875000</v>
      </c>
      <c r="N380" s="4">
        <f t="shared" si="17"/>
        <v>0.72213680348719778</v>
      </c>
    </row>
    <row r="381" spans="1:14" x14ac:dyDescent="0.45">
      <c r="A381" s="2">
        <v>45386</v>
      </c>
      <c r="B381" s="3">
        <v>4900</v>
      </c>
      <c r="D381" s="2">
        <v>45386</v>
      </c>
      <c r="E381" s="3">
        <v>3939.4</v>
      </c>
      <c r="G381" s="3">
        <v>1680000</v>
      </c>
      <c r="H381" s="3">
        <f t="shared" si="15"/>
        <v>8232000000</v>
      </c>
      <c r="J381" s="3">
        <v>7500000</v>
      </c>
      <c r="K381" s="3"/>
      <c r="L381" s="3">
        <f t="shared" si="16"/>
        <v>29545500000</v>
      </c>
      <c r="N381" s="4">
        <f t="shared" si="17"/>
        <v>0.72137889018632273</v>
      </c>
    </row>
    <row r="382" spans="1:14" x14ac:dyDescent="0.45">
      <c r="A382" s="2">
        <v>45385</v>
      </c>
      <c r="B382" s="3">
        <v>4923.8</v>
      </c>
      <c r="D382" s="2">
        <v>45385</v>
      </c>
      <c r="E382" s="3">
        <v>3923.85</v>
      </c>
      <c r="G382" s="3">
        <v>1680000</v>
      </c>
      <c r="H382" s="3">
        <f t="shared" si="15"/>
        <v>8271984000</v>
      </c>
      <c r="J382" s="3">
        <v>7500000</v>
      </c>
      <c r="K382" s="3"/>
      <c r="L382" s="3">
        <f t="shared" si="16"/>
        <v>29428875000</v>
      </c>
      <c r="N382" s="4">
        <f t="shared" si="17"/>
        <v>0.71891606457943091</v>
      </c>
    </row>
    <row r="383" spans="1:14" x14ac:dyDescent="0.45">
      <c r="A383" s="2">
        <v>45384</v>
      </c>
      <c r="B383" s="3">
        <v>4900</v>
      </c>
      <c r="D383" s="2">
        <v>45384</v>
      </c>
      <c r="E383" s="3">
        <v>3905.5</v>
      </c>
      <c r="G383" s="3">
        <v>1680000</v>
      </c>
      <c r="H383" s="3">
        <f t="shared" si="15"/>
        <v>8232000000</v>
      </c>
      <c r="J383" s="3">
        <v>7500000</v>
      </c>
      <c r="K383" s="3"/>
      <c r="L383" s="3">
        <f t="shared" si="16"/>
        <v>29291250000</v>
      </c>
      <c r="N383" s="4">
        <f t="shared" si="17"/>
        <v>0.71896044040455775</v>
      </c>
    </row>
    <row r="384" spans="1:14" x14ac:dyDescent="0.45">
      <c r="A384" s="2">
        <v>45383</v>
      </c>
      <c r="B384" s="3">
        <v>4872.8</v>
      </c>
      <c r="D384" s="2">
        <v>45383</v>
      </c>
      <c r="E384" s="3">
        <v>3891.7</v>
      </c>
      <c r="G384" s="3">
        <v>1680000</v>
      </c>
      <c r="H384" s="3">
        <f t="shared" si="15"/>
        <v>8186304000</v>
      </c>
      <c r="J384" s="3">
        <v>7500000</v>
      </c>
      <c r="K384" s="3"/>
      <c r="L384" s="3">
        <f t="shared" si="16"/>
        <v>29187750000</v>
      </c>
      <c r="N384" s="4">
        <f t="shared" si="17"/>
        <v>0.7195294601331037</v>
      </c>
    </row>
    <row r="385" spans="1:14" x14ac:dyDescent="0.45">
      <c r="A385" s="2">
        <v>45379</v>
      </c>
      <c r="B385" s="3">
        <v>4836.45</v>
      </c>
      <c r="D385" s="2">
        <v>45379</v>
      </c>
      <c r="E385" s="3">
        <v>3854.6</v>
      </c>
      <c r="G385" s="3">
        <v>1680000</v>
      </c>
      <c r="H385" s="3">
        <f t="shared" si="15"/>
        <v>8125236000</v>
      </c>
      <c r="J385" s="3">
        <v>7500000</v>
      </c>
      <c r="K385" s="3"/>
      <c r="L385" s="3">
        <f t="shared" si="16"/>
        <v>28909500000</v>
      </c>
      <c r="N385" s="4">
        <f t="shared" si="17"/>
        <v>0.71894235458932187</v>
      </c>
    </row>
    <row r="386" spans="1:14" x14ac:dyDescent="0.45">
      <c r="A386" s="2">
        <v>45378</v>
      </c>
      <c r="B386" s="3">
        <v>4801.1000000000004</v>
      </c>
      <c r="D386" s="2">
        <v>45378</v>
      </c>
      <c r="E386" s="3">
        <v>3739.3</v>
      </c>
      <c r="G386" s="3">
        <v>1680000</v>
      </c>
      <c r="H386" s="3">
        <f t="shared" si="15"/>
        <v>8065848000.000001</v>
      </c>
      <c r="J386" s="3">
        <v>7500000</v>
      </c>
      <c r="K386" s="3"/>
      <c r="L386" s="3">
        <f t="shared" si="16"/>
        <v>28044750000</v>
      </c>
      <c r="N386" s="4">
        <f t="shared" si="17"/>
        <v>0.71239365656673703</v>
      </c>
    </row>
    <row r="387" spans="1:14" x14ac:dyDescent="0.45">
      <c r="A387" s="2">
        <v>45377</v>
      </c>
      <c r="B387" s="3">
        <v>4901.1000000000004</v>
      </c>
      <c r="D387" s="2">
        <v>45377</v>
      </c>
      <c r="E387" s="3">
        <v>3703.7</v>
      </c>
      <c r="G387" s="3">
        <v>1680000</v>
      </c>
      <c r="H387" s="3">
        <f t="shared" ref="H387:H450" si="18">+G387*B387</f>
        <v>8233848000.000001</v>
      </c>
      <c r="J387" s="3">
        <v>7500000</v>
      </c>
      <c r="K387" s="3"/>
      <c r="L387" s="3">
        <f t="shared" ref="L387:L450" si="19">+(J387*E387)</f>
        <v>27777750000</v>
      </c>
      <c r="N387" s="4">
        <f t="shared" ref="N387:N450" si="20">1- (H387/L387)</f>
        <v>0.70358117558117561</v>
      </c>
    </row>
    <row r="388" spans="1:14" x14ac:dyDescent="0.45">
      <c r="A388" s="2">
        <v>45373</v>
      </c>
      <c r="B388" s="3">
        <v>4924.5</v>
      </c>
      <c r="D388" s="2">
        <v>45373</v>
      </c>
      <c r="E388" s="3">
        <v>3724.05</v>
      </c>
      <c r="G388" s="3">
        <v>1680000</v>
      </c>
      <c r="H388" s="3">
        <f t="shared" si="18"/>
        <v>8273160000</v>
      </c>
      <c r="J388" s="3">
        <v>7500000</v>
      </c>
      <c r="K388" s="3"/>
      <c r="L388" s="3">
        <f t="shared" si="19"/>
        <v>27930375000</v>
      </c>
      <c r="N388" s="4">
        <f t="shared" si="20"/>
        <v>0.70379345067869659</v>
      </c>
    </row>
    <row r="389" spans="1:14" x14ac:dyDescent="0.45">
      <c r="A389" s="2">
        <v>45372</v>
      </c>
      <c r="B389" s="3">
        <v>5004</v>
      </c>
      <c r="D389" s="2">
        <v>45372</v>
      </c>
      <c r="E389" s="3">
        <v>3736.65</v>
      </c>
      <c r="G389" s="3">
        <v>1680000</v>
      </c>
      <c r="H389" s="3">
        <f t="shared" si="18"/>
        <v>8406720000</v>
      </c>
      <c r="J389" s="3">
        <v>7500000</v>
      </c>
      <c r="K389" s="3"/>
      <c r="L389" s="3">
        <f t="shared" si="19"/>
        <v>28024875000</v>
      </c>
      <c r="N389" s="4">
        <f t="shared" si="20"/>
        <v>0.70002649431977848</v>
      </c>
    </row>
    <row r="390" spans="1:14" x14ac:dyDescent="0.45">
      <c r="A390" s="2">
        <v>45371</v>
      </c>
      <c r="B390" s="3">
        <v>4890</v>
      </c>
      <c r="D390" s="2">
        <v>45371</v>
      </c>
      <c r="E390" s="3">
        <v>3740.1</v>
      </c>
      <c r="G390" s="3">
        <v>1680000</v>
      </c>
      <c r="H390" s="3">
        <f t="shared" si="18"/>
        <v>8215200000</v>
      </c>
      <c r="J390" s="3">
        <v>7500000</v>
      </c>
      <c r="K390" s="3"/>
      <c r="L390" s="3">
        <f t="shared" si="19"/>
        <v>28050750000</v>
      </c>
      <c r="N390" s="4">
        <f t="shared" si="20"/>
        <v>0.70713082537900052</v>
      </c>
    </row>
    <row r="391" spans="1:14" x14ac:dyDescent="0.45">
      <c r="A391" s="2">
        <v>45370</v>
      </c>
      <c r="B391" s="3">
        <v>4860</v>
      </c>
      <c r="D391" s="2">
        <v>45370</v>
      </c>
      <c r="E391" s="3">
        <v>3680.65</v>
      </c>
      <c r="G391" s="3">
        <v>1680000</v>
      </c>
      <c r="H391" s="3">
        <f t="shared" si="18"/>
        <v>8164800000</v>
      </c>
      <c r="J391" s="3">
        <v>7500000</v>
      </c>
      <c r="K391" s="3"/>
      <c r="L391" s="3">
        <f t="shared" si="19"/>
        <v>27604875000</v>
      </c>
      <c r="N391" s="4">
        <f t="shared" si="20"/>
        <v>0.70422615570619318</v>
      </c>
    </row>
    <row r="392" spans="1:14" x14ac:dyDescent="0.45">
      <c r="A392" s="2">
        <v>45369</v>
      </c>
      <c r="B392" s="3">
        <v>4950</v>
      </c>
      <c r="D392" s="2">
        <v>45369</v>
      </c>
      <c r="E392" s="3">
        <v>3714.15</v>
      </c>
      <c r="G392" s="3">
        <v>1680000</v>
      </c>
      <c r="H392" s="3">
        <f t="shared" si="18"/>
        <v>8316000000</v>
      </c>
      <c r="J392" s="3">
        <v>7500000</v>
      </c>
      <c r="K392" s="3"/>
      <c r="L392" s="3">
        <f t="shared" si="19"/>
        <v>27856125000</v>
      </c>
      <c r="N392" s="4">
        <f t="shared" si="20"/>
        <v>0.7014660151043981</v>
      </c>
    </row>
    <row r="393" spans="1:14" x14ac:dyDescent="0.45">
      <c r="A393" s="2">
        <v>45366</v>
      </c>
      <c r="B393" s="3">
        <v>5202.3500000000004</v>
      </c>
      <c r="D393" s="2">
        <v>45366</v>
      </c>
      <c r="E393" s="3">
        <v>3619.15</v>
      </c>
      <c r="G393" s="3">
        <v>1680000</v>
      </c>
      <c r="H393" s="3">
        <f t="shared" si="18"/>
        <v>8739948000</v>
      </c>
      <c r="J393" s="3">
        <v>7500000</v>
      </c>
      <c r="K393" s="3"/>
      <c r="L393" s="3">
        <f t="shared" si="19"/>
        <v>27143625000</v>
      </c>
      <c r="N393" s="4">
        <f t="shared" si="20"/>
        <v>0.67801102468811736</v>
      </c>
    </row>
    <row r="394" spans="1:14" x14ac:dyDescent="0.45">
      <c r="A394" s="2">
        <v>45365</v>
      </c>
      <c r="B394" s="3">
        <v>5289.85</v>
      </c>
      <c r="D394" s="2">
        <v>45365</v>
      </c>
      <c r="E394" s="3">
        <v>3474.75</v>
      </c>
      <c r="G394" s="3">
        <v>1680000</v>
      </c>
      <c r="H394" s="3">
        <f t="shared" si="18"/>
        <v>8886948000</v>
      </c>
      <c r="J394" s="3">
        <v>7500000</v>
      </c>
      <c r="K394" s="3"/>
      <c r="L394" s="3">
        <f t="shared" si="19"/>
        <v>26060625000</v>
      </c>
      <c r="N394" s="4">
        <f t="shared" si="20"/>
        <v>0.65898945247859553</v>
      </c>
    </row>
    <row r="395" spans="1:14" x14ac:dyDescent="0.45">
      <c r="A395" s="2">
        <v>45364</v>
      </c>
      <c r="B395" s="3">
        <v>5375</v>
      </c>
      <c r="D395" s="2">
        <v>45364</v>
      </c>
      <c r="E395" s="3">
        <v>3563.7</v>
      </c>
      <c r="G395" s="3">
        <v>1680000</v>
      </c>
      <c r="H395" s="3">
        <f t="shared" si="18"/>
        <v>9030000000</v>
      </c>
      <c r="J395" s="3">
        <v>7500000</v>
      </c>
      <c r="K395" s="3"/>
      <c r="L395" s="3">
        <f t="shared" si="19"/>
        <v>26727750000</v>
      </c>
      <c r="N395" s="4">
        <f t="shared" si="20"/>
        <v>0.66214889019838929</v>
      </c>
    </row>
    <row r="396" spans="1:14" x14ac:dyDescent="0.45">
      <c r="A396" s="2">
        <v>45363</v>
      </c>
      <c r="B396" s="3">
        <v>5353.5</v>
      </c>
      <c r="D396" s="2">
        <v>45363</v>
      </c>
      <c r="E396" s="3">
        <v>3604</v>
      </c>
      <c r="G396" s="3">
        <v>1680000</v>
      </c>
      <c r="H396" s="3">
        <f t="shared" si="18"/>
        <v>8993880000</v>
      </c>
      <c r="J396" s="3">
        <v>7500000</v>
      </c>
      <c r="K396" s="3"/>
      <c r="L396" s="3">
        <f t="shared" si="19"/>
        <v>27030000000</v>
      </c>
      <c r="N396" s="4">
        <f t="shared" si="20"/>
        <v>0.66726304106548273</v>
      </c>
    </row>
    <row r="397" spans="1:14" x14ac:dyDescent="0.45">
      <c r="A397" s="2">
        <v>45362</v>
      </c>
      <c r="B397" s="3">
        <v>5379</v>
      </c>
      <c r="D397" s="2">
        <v>45362</v>
      </c>
      <c r="E397" s="3">
        <v>3614.25</v>
      </c>
      <c r="G397" s="3">
        <v>1680000</v>
      </c>
      <c r="H397" s="3">
        <f t="shared" si="18"/>
        <v>9036720000</v>
      </c>
      <c r="J397" s="3">
        <v>7500000</v>
      </c>
      <c r="K397" s="3"/>
      <c r="L397" s="3">
        <f t="shared" si="19"/>
        <v>27106875000</v>
      </c>
      <c r="N397" s="4">
        <f t="shared" si="20"/>
        <v>0.66662627101058303</v>
      </c>
    </row>
    <row r="398" spans="1:14" x14ac:dyDescent="0.45">
      <c r="A398" s="2">
        <v>45358</v>
      </c>
      <c r="B398" s="3">
        <v>5350</v>
      </c>
      <c r="D398" s="2">
        <v>45358</v>
      </c>
      <c r="E398" s="3">
        <v>3809.95</v>
      </c>
      <c r="G398" s="3">
        <v>1680000</v>
      </c>
      <c r="H398" s="3">
        <f t="shared" si="18"/>
        <v>8988000000</v>
      </c>
      <c r="J398" s="3">
        <v>7500000</v>
      </c>
      <c r="K398" s="3"/>
      <c r="L398" s="3">
        <f t="shared" si="19"/>
        <v>28574625000</v>
      </c>
      <c r="N398" s="4">
        <f t="shared" si="20"/>
        <v>0.68545518970065222</v>
      </c>
    </row>
    <row r="399" spans="1:14" x14ac:dyDescent="0.45">
      <c r="A399" s="2">
        <v>45357</v>
      </c>
      <c r="B399" s="3">
        <v>5300</v>
      </c>
      <c r="D399" s="2">
        <v>45357</v>
      </c>
      <c r="E399" s="3">
        <v>3697.9</v>
      </c>
      <c r="G399" s="3">
        <v>1680000</v>
      </c>
      <c r="H399" s="3">
        <f t="shared" si="18"/>
        <v>8904000000</v>
      </c>
      <c r="J399" s="3">
        <v>7500000</v>
      </c>
      <c r="K399" s="3"/>
      <c r="L399" s="3">
        <f t="shared" si="19"/>
        <v>27734250000</v>
      </c>
      <c r="N399" s="4">
        <f t="shared" si="20"/>
        <v>0.67895291922442469</v>
      </c>
    </row>
    <row r="400" spans="1:14" x14ac:dyDescent="0.45">
      <c r="A400" s="2">
        <v>45356</v>
      </c>
      <c r="B400" s="3">
        <v>5575</v>
      </c>
      <c r="D400" s="2">
        <v>45356</v>
      </c>
      <c r="E400" s="3">
        <v>3812.5</v>
      </c>
      <c r="G400" s="3">
        <v>1680000</v>
      </c>
      <c r="H400" s="3">
        <f t="shared" si="18"/>
        <v>9366000000</v>
      </c>
      <c r="J400" s="3">
        <v>7500000</v>
      </c>
      <c r="K400" s="3"/>
      <c r="L400" s="3">
        <f t="shared" si="19"/>
        <v>28593750000</v>
      </c>
      <c r="N400" s="4">
        <f t="shared" si="20"/>
        <v>0.67244590163934426</v>
      </c>
    </row>
    <row r="401" spans="1:14" x14ac:dyDescent="0.45">
      <c r="A401" s="2">
        <v>45355</v>
      </c>
      <c r="B401" s="3">
        <v>5590</v>
      </c>
      <c r="D401" s="2">
        <v>45355</v>
      </c>
      <c r="E401" s="3">
        <v>3767.05</v>
      </c>
      <c r="G401" s="3">
        <v>1680000</v>
      </c>
      <c r="H401" s="3">
        <f t="shared" si="18"/>
        <v>9391200000</v>
      </c>
      <c r="J401" s="3">
        <v>7500000</v>
      </c>
      <c r="K401" s="3"/>
      <c r="L401" s="3">
        <f t="shared" si="19"/>
        <v>28252875000</v>
      </c>
      <c r="N401" s="4">
        <f t="shared" si="20"/>
        <v>0.66760196971104713</v>
      </c>
    </row>
    <row r="402" spans="1:14" x14ac:dyDescent="0.45">
      <c r="A402" s="2">
        <v>45353</v>
      </c>
      <c r="B402" s="3">
        <v>5600</v>
      </c>
      <c r="D402" s="2">
        <v>45353</v>
      </c>
      <c r="E402" s="3">
        <v>3832.95</v>
      </c>
      <c r="G402" s="3">
        <v>1680000</v>
      </c>
      <c r="H402" s="3">
        <f t="shared" si="18"/>
        <v>9408000000</v>
      </c>
      <c r="J402" s="3">
        <v>7500000</v>
      </c>
      <c r="K402" s="3"/>
      <c r="L402" s="3">
        <f t="shared" si="19"/>
        <v>28747125000</v>
      </c>
      <c r="N402" s="4">
        <f t="shared" si="20"/>
        <v>0.67273249064036844</v>
      </c>
    </row>
    <row r="403" spans="1:14" x14ac:dyDescent="0.45">
      <c r="A403" s="2">
        <v>45352</v>
      </c>
      <c r="B403" s="3">
        <v>5607.7</v>
      </c>
      <c r="D403" s="2">
        <v>45352</v>
      </c>
      <c r="E403" s="3">
        <v>3787.85</v>
      </c>
      <c r="G403" s="3">
        <v>1680000</v>
      </c>
      <c r="H403" s="3">
        <f t="shared" si="18"/>
        <v>9420936000</v>
      </c>
      <c r="J403" s="3">
        <v>7500000</v>
      </c>
      <c r="K403" s="3"/>
      <c r="L403" s="3">
        <f t="shared" si="19"/>
        <v>28408875000</v>
      </c>
      <c r="N403" s="4">
        <f t="shared" si="20"/>
        <v>0.66838053249204687</v>
      </c>
    </row>
    <row r="404" spans="1:14" x14ac:dyDescent="0.45">
      <c r="A404" s="2">
        <v>45351</v>
      </c>
      <c r="B404" s="3">
        <v>5500.1</v>
      </c>
      <c r="D404" s="2">
        <v>45351</v>
      </c>
      <c r="E404" s="3">
        <v>3658.75</v>
      </c>
      <c r="G404" s="3">
        <v>1680000</v>
      </c>
      <c r="H404" s="3">
        <f t="shared" si="18"/>
        <v>9240168000</v>
      </c>
      <c r="J404" s="3">
        <v>7500000</v>
      </c>
      <c r="K404" s="3"/>
      <c r="L404" s="3">
        <f t="shared" si="19"/>
        <v>27440625000</v>
      </c>
      <c r="N404" s="4">
        <f t="shared" si="20"/>
        <v>0.66326685343354974</v>
      </c>
    </row>
    <row r="405" spans="1:14" x14ac:dyDescent="0.45">
      <c r="A405" s="2">
        <v>45350</v>
      </c>
      <c r="B405" s="3">
        <v>5600</v>
      </c>
      <c r="D405" s="2">
        <v>45350</v>
      </c>
      <c r="E405" s="3">
        <v>3927.6</v>
      </c>
      <c r="G405" s="3">
        <v>1680000</v>
      </c>
      <c r="H405" s="3">
        <f t="shared" si="18"/>
        <v>9408000000</v>
      </c>
      <c r="J405" s="3">
        <v>7500000</v>
      </c>
      <c r="K405" s="3"/>
      <c r="L405" s="3">
        <f t="shared" si="19"/>
        <v>29457000000</v>
      </c>
      <c r="N405" s="4">
        <f t="shared" si="20"/>
        <v>0.68061920765862105</v>
      </c>
    </row>
    <row r="406" spans="1:14" x14ac:dyDescent="0.45">
      <c r="A406" s="2">
        <v>45349</v>
      </c>
      <c r="B406" s="3">
        <v>5550</v>
      </c>
      <c r="D406" s="2">
        <v>45349</v>
      </c>
      <c r="E406" s="3">
        <v>3987.45</v>
      </c>
      <c r="G406" s="3">
        <v>1680000</v>
      </c>
      <c r="H406" s="3">
        <f t="shared" si="18"/>
        <v>9324000000</v>
      </c>
      <c r="J406" s="3">
        <v>7500000</v>
      </c>
      <c r="K406" s="3"/>
      <c r="L406" s="3">
        <f t="shared" si="19"/>
        <v>29905875000</v>
      </c>
      <c r="N406" s="4">
        <f t="shared" si="20"/>
        <v>0.68822179588458787</v>
      </c>
    </row>
    <row r="407" spans="1:14" x14ac:dyDescent="0.45">
      <c r="A407" s="2">
        <v>45348</v>
      </c>
      <c r="B407" s="3">
        <v>5597.25</v>
      </c>
      <c r="D407" s="2">
        <v>45348</v>
      </c>
      <c r="E407" s="3">
        <v>3968.95</v>
      </c>
      <c r="G407" s="3">
        <v>1680000</v>
      </c>
      <c r="H407" s="3">
        <f t="shared" si="18"/>
        <v>9403380000</v>
      </c>
      <c r="J407" s="3">
        <v>7500000</v>
      </c>
      <c r="K407" s="3"/>
      <c r="L407" s="3">
        <f t="shared" si="19"/>
        <v>29767125000</v>
      </c>
      <c r="N407" s="4">
        <f t="shared" si="20"/>
        <v>0.68410184053716971</v>
      </c>
    </row>
    <row r="408" spans="1:14" x14ac:dyDescent="0.45">
      <c r="A408" s="2">
        <v>45345</v>
      </c>
      <c r="B408" s="3">
        <v>5487</v>
      </c>
      <c r="D408" s="2">
        <v>45345</v>
      </c>
      <c r="E408" s="3">
        <v>3947.65</v>
      </c>
      <c r="G408" s="3">
        <v>1680000</v>
      </c>
      <c r="H408" s="3">
        <f t="shared" si="18"/>
        <v>9218160000</v>
      </c>
      <c r="J408" s="3">
        <v>7500000</v>
      </c>
      <c r="K408" s="3"/>
      <c r="L408" s="3">
        <f t="shared" si="19"/>
        <v>29607375000</v>
      </c>
      <c r="N408" s="4">
        <f t="shared" si="20"/>
        <v>0.68865324940154271</v>
      </c>
    </row>
    <row r="409" spans="1:14" x14ac:dyDescent="0.45">
      <c r="A409" s="2">
        <v>45344</v>
      </c>
      <c r="B409" s="3">
        <v>5310</v>
      </c>
      <c r="D409" s="2">
        <v>45344</v>
      </c>
      <c r="E409" s="3">
        <v>3920.2</v>
      </c>
      <c r="G409" s="3">
        <v>1680000</v>
      </c>
      <c r="H409" s="3">
        <f t="shared" si="18"/>
        <v>8920800000</v>
      </c>
      <c r="J409" s="3">
        <v>7500000</v>
      </c>
      <c r="K409" s="3"/>
      <c r="L409" s="3">
        <f t="shared" si="19"/>
        <v>29401500000</v>
      </c>
      <c r="N409" s="4">
        <f t="shared" si="20"/>
        <v>0.69658690883118202</v>
      </c>
    </row>
    <row r="410" spans="1:14" x14ac:dyDescent="0.45">
      <c r="A410" s="2">
        <v>45343</v>
      </c>
      <c r="B410" s="3">
        <v>5249.65</v>
      </c>
      <c r="D410" s="2">
        <v>45343</v>
      </c>
      <c r="E410" s="3">
        <v>3936.5</v>
      </c>
      <c r="G410" s="3">
        <v>1680000</v>
      </c>
      <c r="H410" s="3">
        <f t="shared" si="18"/>
        <v>8819412000</v>
      </c>
      <c r="J410" s="3">
        <v>7500000</v>
      </c>
      <c r="K410" s="3"/>
      <c r="L410" s="3">
        <f t="shared" si="19"/>
        <v>29523750000</v>
      </c>
      <c r="N410" s="4">
        <f t="shared" si="20"/>
        <v>0.70127737838181126</v>
      </c>
    </row>
    <row r="411" spans="1:14" x14ac:dyDescent="0.45">
      <c r="A411" s="2">
        <v>45342</v>
      </c>
      <c r="B411" s="3">
        <v>5103.1499999999996</v>
      </c>
      <c r="D411" s="2">
        <v>45342</v>
      </c>
      <c r="E411" s="3">
        <v>4052.55</v>
      </c>
      <c r="G411" s="3">
        <v>1680000</v>
      </c>
      <c r="H411" s="3">
        <f t="shared" si="18"/>
        <v>8573291999.999999</v>
      </c>
      <c r="J411" s="3">
        <v>7500000</v>
      </c>
      <c r="K411" s="3"/>
      <c r="L411" s="3">
        <f t="shared" si="19"/>
        <v>30394125000</v>
      </c>
      <c r="N411" s="4">
        <f t="shared" si="20"/>
        <v>0.71792930377169939</v>
      </c>
    </row>
    <row r="412" spans="1:14" x14ac:dyDescent="0.45">
      <c r="A412" s="2">
        <v>45341</v>
      </c>
      <c r="B412" s="3">
        <v>4959.6499999999996</v>
      </c>
      <c r="D412" s="2">
        <v>45341</v>
      </c>
      <c r="E412" s="3">
        <v>4082.65</v>
      </c>
      <c r="G412" s="3">
        <v>1680000</v>
      </c>
      <c r="H412" s="3">
        <f t="shared" si="18"/>
        <v>8332211999.999999</v>
      </c>
      <c r="J412" s="3">
        <v>7500000</v>
      </c>
      <c r="K412" s="3"/>
      <c r="L412" s="3">
        <f t="shared" si="19"/>
        <v>30619875000</v>
      </c>
      <c r="N412" s="4">
        <f t="shared" si="20"/>
        <v>0.72788223335333679</v>
      </c>
    </row>
    <row r="413" spans="1:14" x14ac:dyDescent="0.45">
      <c r="A413" s="2">
        <v>45338</v>
      </c>
      <c r="B413" s="3">
        <v>5214.5</v>
      </c>
      <c r="D413" s="2">
        <v>45338</v>
      </c>
      <c r="E413" s="3">
        <v>4084.65</v>
      </c>
      <c r="G413" s="3">
        <v>1680000</v>
      </c>
      <c r="H413" s="3">
        <f t="shared" si="18"/>
        <v>8760360000</v>
      </c>
      <c r="J413" s="3">
        <v>7500000</v>
      </c>
      <c r="K413" s="3"/>
      <c r="L413" s="3">
        <f t="shared" si="19"/>
        <v>30634875000</v>
      </c>
      <c r="N413" s="4">
        <f t="shared" si="20"/>
        <v>0.71403963619893995</v>
      </c>
    </row>
    <row r="414" spans="1:14" x14ac:dyDescent="0.45">
      <c r="A414" s="2">
        <v>45337</v>
      </c>
      <c r="B414" s="3">
        <v>5340</v>
      </c>
      <c r="D414" s="2">
        <v>45337</v>
      </c>
      <c r="E414" s="3">
        <v>3902.2</v>
      </c>
      <c r="G414" s="3">
        <v>1680000</v>
      </c>
      <c r="H414" s="3">
        <f t="shared" si="18"/>
        <v>8971200000</v>
      </c>
      <c r="J414" s="3">
        <v>7500000</v>
      </c>
      <c r="K414" s="3"/>
      <c r="L414" s="3">
        <f t="shared" si="19"/>
        <v>29266500000</v>
      </c>
      <c r="N414" s="4">
        <f t="shared" si="20"/>
        <v>0.69346522474501571</v>
      </c>
    </row>
    <row r="415" spans="1:14" x14ac:dyDescent="0.45">
      <c r="A415" s="2">
        <v>45336</v>
      </c>
      <c r="B415" s="3">
        <v>5390</v>
      </c>
      <c r="D415" s="2">
        <v>45336</v>
      </c>
      <c r="E415" s="3">
        <v>3863.1</v>
      </c>
      <c r="G415" s="3">
        <v>1680000</v>
      </c>
      <c r="H415" s="3">
        <f t="shared" si="18"/>
        <v>9055200000</v>
      </c>
      <c r="J415" s="3">
        <v>7500000</v>
      </c>
      <c r="K415" s="3"/>
      <c r="L415" s="3">
        <f t="shared" si="19"/>
        <v>28973250000</v>
      </c>
      <c r="N415" s="4">
        <f t="shared" si="20"/>
        <v>0.68746343610054095</v>
      </c>
    </row>
    <row r="416" spans="1:14" x14ac:dyDescent="0.45">
      <c r="A416" s="2">
        <v>45335</v>
      </c>
      <c r="B416" s="3">
        <v>5520.4</v>
      </c>
      <c r="D416" s="2">
        <v>45335</v>
      </c>
      <c r="E416" s="3">
        <v>3768.7</v>
      </c>
      <c r="G416" s="3">
        <v>1680000</v>
      </c>
      <c r="H416" s="3">
        <f t="shared" si="18"/>
        <v>9274272000</v>
      </c>
      <c r="J416" s="3">
        <v>7500000</v>
      </c>
      <c r="K416" s="3"/>
      <c r="L416" s="3">
        <f t="shared" si="19"/>
        <v>28265250000</v>
      </c>
      <c r="N416" s="4">
        <f t="shared" si="20"/>
        <v>0.67188431023960515</v>
      </c>
    </row>
    <row r="417" spans="1:14" x14ac:dyDescent="0.45">
      <c r="A417" s="2">
        <v>45334</v>
      </c>
      <c r="B417" s="3">
        <v>5010</v>
      </c>
      <c r="D417" s="2">
        <v>45334</v>
      </c>
      <c r="E417" s="3">
        <v>3580.8</v>
      </c>
      <c r="G417" s="3">
        <v>1680000</v>
      </c>
      <c r="H417" s="3">
        <f t="shared" si="18"/>
        <v>8416800000</v>
      </c>
      <c r="J417" s="3">
        <v>7500000</v>
      </c>
      <c r="K417" s="3"/>
      <c r="L417" s="3">
        <f t="shared" si="19"/>
        <v>26856000000</v>
      </c>
      <c r="N417" s="4">
        <f t="shared" si="20"/>
        <v>0.68659517426273453</v>
      </c>
    </row>
    <row r="418" spans="1:14" x14ac:dyDescent="0.45">
      <c r="A418" s="2">
        <v>45331</v>
      </c>
      <c r="B418" s="3">
        <v>4847.3500000000004</v>
      </c>
      <c r="D418" s="2">
        <v>45331</v>
      </c>
      <c r="E418" s="3">
        <v>4006.15</v>
      </c>
      <c r="G418" s="3">
        <v>1680000</v>
      </c>
      <c r="H418" s="3">
        <f t="shared" si="18"/>
        <v>8143548000.000001</v>
      </c>
      <c r="J418" s="3">
        <v>7500000</v>
      </c>
      <c r="K418" s="3"/>
      <c r="L418" s="3">
        <f t="shared" si="19"/>
        <v>30046125000</v>
      </c>
      <c r="N418" s="4">
        <f t="shared" si="20"/>
        <v>0.7289651161339441</v>
      </c>
    </row>
    <row r="419" spans="1:14" x14ac:dyDescent="0.45">
      <c r="A419" s="2">
        <v>45330</v>
      </c>
      <c r="B419" s="3">
        <v>4793.3</v>
      </c>
      <c r="D419" s="2">
        <v>45330</v>
      </c>
      <c r="E419" s="3">
        <v>3931.2</v>
      </c>
      <c r="G419" s="3">
        <v>1680000</v>
      </c>
      <c r="H419" s="3">
        <f t="shared" si="18"/>
        <v>8052744000</v>
      </c>
      <c r="J419" s="3">
        <v>7500000</v>
      </c>
      <c r="K419" s="3"/>
      <c r="L419" s="3">
        <f t="shared" si="19"/>
        <v>29484000000</v>
      </c>
      <c r="N419" s="4">
        <f t="shared" si="20"/>
        <v>0.72687749287749281</v>
      </c>
    </row>
    <row r="420" spans="1:14" x14ac:dyDescent="0.45">
      <c r="A420" s="2">
        <v>45329</v>
      </c>
      <c r="B420" s="3">
        <v>4674.95</v>
      </c>
      <c r="D420" s="2">
        <v>45329</v>
      </c>
      <c r="E420" s="3">
        <v>3957</v>
      </c>
      <c r="G420" s="3">
        <v>1680000</v>
      </c>
      <c r="H420" s="3">
        <f t="shared" si="18"/>
        <v>7853916000</v>
      </c>
      <c r="J420" s="3">
        <v>7500000</v>
      </c>
      <c r="K420" s="3"/>
      <c r="L420" s="3">
        <f t="shared" si="19"/>
        <v>29677500000</v>
      </c>
      <c r="N420" s="4">
        <f t="shared" si="20"/>
        <v>0.73535789739701796</v>
      </c>
    </row>
    <row r="421" spans="1:14" x14ac:dyDescent="0.45">
      <c r="A421" s="2">
        <v>45328</v>
      </c>
      <c r="B421" s="3">
        <v>4598.95</v>
      </c>
      <c r="D421" s="2">
        <v>45328</v>
      </c>
      <c r="E421" s="3">
        <v>3808.25</v>
      </c>
      <c r="G421" s="3">
        <v>1680000</v>
      </c>
      <c r="H421" s="3">
        <f t="shared" si="18"/>
        <v>7726236000</v>
      </c>
      <c r="J421" s="3">
        <v>7500000</v>
      </c>
      <c r="K421" s="3"/>
      <c r="L421" s="3">
        <f t="shared" si="19"/>
        <v>28561875000</v>
      </c>
      <c r="N421" s="4">
        <f t="shared" si="20"/>
        <v>0.7294912886496423</v>
      </c>
    </row>
    <row r="422" spans="1:14" x14ac:dyDescent="0.45">
      <c r="A422" s="2">
        <v>45327</v>
      </c>
      <c r="B422" s="3">
        <v>4434.6499999999996</v>
      </c>
      <c r="D422" s="2">
        <v>45327</v>
      </c>
      <c r="E422" s="3">
        <v>3682.7</v>
      </c>
      <c r="G422" s="3">
        <v>1680000</v>
      </c>
      <c r="H422" s="3">
        <f t="shared" si="18"/>
        <v>7450211999.999999</v>
      </c>
      <c r="J422" s="3">
        <v>7500000</v>
      </c>
      <c r="K422" s="3"/>
      <c r="L422" s="3">
        <f t="shared" si="19"/>
        <v>27620250000</v>
      </c>
      <c r="N422" s="4">
        <f t="shared" si="20"/>
        <v>0.73026268770195779</v>
      </c>
    </row>
    <row r="423" spans="1:14" x14ac:dyDescent="0.45">
      <c r="A423" s="2">
        <v>45324</v>
      </c>
      <c r="B423" s="3">
        <v>4352.5</v>
      </c>
      <c r="D423" s="2">
        <v>45324</v>
      </c>
      <c r="E423" s="3">
        <v>3632.1</v>
      </c>
      <c r="G423" s="3">
        <v>1680000</v>
      </c>
      <c r="H423" s="3">
        <f t="shared" si="18"/>
        <v>7312200000</v>
      </c>
      <c r="J423" s="3">
        <v>7500000</v>
      </c>
      <c r="K423" s="3"/>
      <c r="L423" s="3">
        <f t="shared" si="19"/>
        <v>27240750000</v>
      </c>
      <c r="N423" s="4">
        <f t="shared" si="20"/>
        <v>0.73157126731092204</v>
      </c>
    </row>
    <row r="424" spans="1:14" x14ac:dyDescent="0.45">
      <c r="A424" s="2">
        <v>45323</v>
      </c>
      <c r="B424" s="3">
        <v>4390.45</v>
      </c>
      <c r="D424" s="2">
        <v>45323</v>
      </c>
      <c r="E424" s="3">
        <v>3620.3</v>
      </c>
      <c r="G424" s="3">
        <v>1680000</v>
      </c>
      <c r="H424" s="3">
        <f t="shared" si="18"/>
        <v>7375956000</v>
      </c>
      <c r="J424" s="3">
        <v>7500000</v>
      </c>
      <c r="K424" s="3"/>
      <c r="L424" s="3">
        <f t="shared" si="19"/>
        <v>27152250000</v>
      </c>
      <c r="N424" s="4">
        <f t="shared" si="20"/>
        <v>0.72834825843162165</v>
      </c>
    </row>
    <row r="425" spans="1:14" x14ac:dyDescent="0.45">
      <c r="A425" s="2">
        <v>45322</v>
      </c>
      <c r="B425" s="3">
        <v>4269.8</v>
      </c>
      <c r="D425" s="2">
        <v>45322</v>
      </c>
      <c r="E425" s="3">
        <v>3645.3</v>
      </c>
      <c r="G425" s="3">
        <v>1680000</v>
      </c>
      <c r="H425" s="3">
        <f t="shared" si="18"/>
        <v>7173264000</v>
      </c>
      <c r="J425" s="3">
        <v>7500000</v>
      </c>
      <c r="K425" s="3"/>
      <c r="L425" s="3">
        <f t="shared" si="19"/>
        <v>27339750000</v>
      </c>
      <c r="N425" s="4">
        <f t="shared" si="20"/>
        <v>0.73762510630126465</v>
      </c>
    </row>
    <row r="426" spans="1:14" x14ac:dyDescent="0.45">
      <c r="A426" s="2">
        <v>45321</v>
      </c>
      <c r="B426" s="3">
        <v>4397</v>
      </c>
      <c r="D426" s="2">
        <v>45321</v>
      </c>
      <c r="E426" s="3">
        <v>3580.6</v>
      </c>
      <c r="G426" s="3">
        <v>1680000</v>
      </c>
      <c r="H426" s="3">
        <f t="shared" si="18"/>
        <v>7386960000</v>
      </c>
      <c r="J426" s="3">
        <v>7500000</v>
      </c>
      <c r="K426" s="3"/>
      <c r="L426" s="3">
        <f t="shared" si="19"/>
        <v>26854500000</v>
      </c>
      <c r="N426" s="4">
        <f t="shared" si="20"/>
        <v>0.72492654862313577</v>
      </c>
    </row>
    <row r="427" spans="1:14" x14ac:dyDescent="0.45">
      <c r="A427" s="2">
        <v>45320</v>
      </c>
      <c r="B427" s="3">
        <v>4379.95</v>
      </c>
      <c r="D427" s="2">
        <v>45320</v>
      </c>
      <c r="E427" s="3">
        <v>3535.15</v>
      </c>
      <c r="G427" s="3">
        <v>1680000</v>
      </c>
      <c r="H427" s="3">
        <f t="shared" si="18"/>
        <v>7358316000</v>
      </c>
      <c r="J427" s="3">
        <v>7500000</v>
      </c>
      <c r="K427" s="3"/>
      <c r="L427" s="3">
        <f t="shared" si="19"/>
        <v>26513625000</v>
      </c>
      <c r="N427" s="4">
        <f t="shared" si="20"/>
        <v>0.72247039022389425</v>
      </c>
    </row>
    <row r="428" spans="1:14" x14ac:dyDescent="0.45">
      <c r="A428" s="2">
        <v>45316</v>
      </c>
      <c r="B428" s="3">
        <v>4402.3500000000004</v>
      </c>
      <c r="D428" s="2">
        <v>45316</v>
      </c>
      <c r="E428" s="3">
        <v>3448.35</v>
      </c>
      <c r="G428" s="3">
        <v>1680000</v>
      </c>
      <c r="H428" s="3">
        <f t="shared" si="18"/>
        <v>7395948000.000001</v>
      </c>
      <c r="J428" s="3">
        <v>7500000</v>
      </c>
      <c r="K428" s="3"/>
      <c r="L428" s="3">
        <f t="shared" si="19"/>
        <v>25862625000</v>
      </c>
      <c r="N428" s="4">
        <f t="shared" si="20"/>
        <v>0.71402949236591406</v>
      </c>
    </row>
    <row r="429" spans="1:14" x14ac:dyDescent="0.45">
      <c r="A429" s="2">
        <v>45315</v>
      </c>
      <c r="B429" s="3">
        <v>4345</v>
      </c>
      <c r="D429" s="2">
        <v>45315</v>
      </c>
      <c r="E429" s="3">
        <v>3276.55</v>
      </c>
      <c r="G429" s="3">
        <v>1680000</v>
      </c>
      <c r="H429" s="3">
        <f t="shared" si="18"/>
        <v>7299600000</v>
      </c>
      <c r="J429" s="3">
        <v>7500000</v>
      </c>
      <c r="K429" s="3"/>
      <c r="L429" s="3">
        <f t="shared" si="19"/>
        <v>24574125000</v>
      </c>
      <c r="N429" s="4">
        <f t="shared" si="20"/>
        <v>0.70295585295508989</v>
      </c>
    </row>
    <row r="430" spans="1:14" x14ac:dyDescent="0.45">
      <c r="A430" s="2">
        <v>45314</v>
      </c>
      <c r="B430" s="3">
        <v>4305</v>
      </c>
      <c r="D430" s="2">
        <v>45314</v>
      </c>
      <c r="E430" s="3">
        <v>3220.55</v>
      </c>
      <c r="G430" s="3">
        <v>1680000</v>
      </c>
      <c r="H430" s="3">
        <f t="shared" si="18"/>
        <v>7232400000</v>
      </c>
      <c r="J430" s="3">
        <v>7500000</v>
      </c>
      <c r="K430" s="3"/>
      <c r="L430" s="3">
        <f t="shared" si="19"/>
        <v>24154125000</v>
      </c>
      <c r="N430" s="4">
        <f t="shared" si="20"/>
        <v>0.70057288351368552</v>
      </c>
    </row>
    <row r="431" spans="1:14" x14ac:dyDescent="0.45">
      <c r="A431" s="2">
        <v>45311</v>
      </c>
      <c r="B431" s="3">
        <v>4372</v>
      </c>
      <c r="D431" s="2">
        <v>45311</v>
      </c>
      <c r="E431" s="3">
        <v>3260.95</v>
      </c>
      <c r="G431" s="3">
        <v>1680000</v>
      </c>
      <c r="H431" s="3">
        <f t="shared" si="18"/>
        <v>7344960000</v>
      </c>
      <c r="J431" s="3">
        <v>7500000</v>
      </c>
      <c r="K431" s="3"/>
      <c r="L431" s="3">
        <f t="shared" si="19"/>
        <v>24457125000</v>
      </c>
      <c r="N431" s="4">
        <f t="shared" si="20"/>
        <v>0.69968015455618759</v>
      </c>
    </row>
    <row r="432" spans="1:14" x14ac:dyDescent="0.45">
      <c r="A432" s="2">
        <v>45310</v>
      </c>
      <c r="B432" s="3">
        <v>4418.55</v>
      </c>
      <c r="D432" s="2">
        <v>45310</v>
      </c>
      <c r="E432" s="3">
        <v>3298.9</v>
      </c>
      <c r="G432" s="3">
        <v>1680000</v>
      </c>
      <c r="H432" s="3">
        <f t="shared" si="18"/>
        <v>7423164000</v>
      </c>
      <c r="J432" s="3">
        <v>7500000</v>
      </c>
      <c r="K432" s="3"/>
      <c r="L432" s="3">
        <f t="shared" si="19"/>
        <v>24741750000</v>
      </c>
      <c r="N432" s="4">
        <f t="shared" si="20"/>
        <v>0.69997417320925159</v>
      </c>
    </row>
    <row r="433" spans="1:14" x14ac:dyDescent="0.45">
      <c r="A433" s="2">
        <v>45309</v>
      </c>
      <c r="B433" s="3">
        <v>4440</v>
      </c>
      <c r="D433" s="2">
        <v>45309</v>
      </c>
      <c r="E433" s="3">
        <v>3250.15</v>
      </c>
      <c r="G433" s="3">
        <v>1680000</v>
      </c>
      <c r="H433" s="3">
        <f t="shared" si="18"/>
        <v>7459200000</v>
      </c>
      <c r="J433" s="3">
        <v>7500000</v>
      </c>
      <c r="K433" s="3"/>
      <c r="L433" s="3">
        <f t="shared" si="19"/>
        <v>24376125000</v>
      </c>
      <c r="N433" s="4">
        <f t="shared" si="20"/>
        <v>0.69399566173868898</v>
      </c>
    </row>
    <row r="434" spans="1:14" x14ac:dyDescent="0.45">
      <c r="A434" s="2">
        <v>45308</v>
      </c>
      <c r="B434" s="3">
        <v>4431.6499999999996</v>
      </c>
      <c r="D434" s="2">
        <v>45308</v>
      </c>
      <c r="E434" s="3">
        <v>3365.6</v>
      </c>
      <c r="G434" s="3">
        <v>1680000</v>
      </c>
      <c r="H434" s="3">
        <f t="shared" si="18"/>
        <v>7445171999.999999</v>
      </c>
      <c r="J434" s="3">
        <v>7500000</v>
      </c>
      <c r="K434" s="3"/>
      <c r="L434" s="3">
        <f t="shared" si="19"/>
        <v>25242000000</v>
      </c>
      <c r="N434" s="4">
        <f t="shared" si="20"/>
        <v>0.70504825291181361</v>
      </c>
    </row>
    <row r="435" spans="1:14" x14ac:dyDescent="0.45">
      <c r="A435" s="2">
        <v>45307</v>
      </c>
      <c r="B435" s="3">
        <v>4439.3999999999996</v>
      </c>
      <c r="D435" s="2">
        <v>45307</v>
      </c>
      <c r="E435" s="3">
        <v>3380.6</v>
      </c>
      <c r="G435" s="3">
        <v>1680000</v>
      </c>
      <c r="H435" s="3">
        <f t="shared" si="18"/>
        <v>7458191999.999999</v>
      </c>
      <c r="J435" s="3">
        <v>7500000</v>
      </c>
      <c r="K435" s="3"/>
      <c r="L435" s="3">
        <f t="shared" si="19"/>
        <v>25354500000</v>
      </c>
      <c r="N435" s="4">
        <f t="shared" si="20"/>
        <v>0.70584345974087448</v>
      </c>
    </row>
    <row r="436" spans="1:14" x14ac:dyDescent="0.45">
      <c r="A436" s="2">
        <v>45306</v>
      </c>
      <c r="B436" s="3">
        <v>4411</v>
      </c>
      <c r="D436" s="2">
        <v>45306</v>
      </c>
      <c r="E436" s="3">
        <v>3423.75</v>
      </c>
      <c r="G436" s="3">
        <v>1680000</v>
      </c>
      <c r="H436" s="3">
        <f t="shared" si="18"/>
        <v>7410480000</v>
      </c>
      <c r="J436" s="3">
        <v>7500000</v>
      </c>
      <c r="K436" s="3"/>
      <c r="L436" s="3">
        <f t="shared" si="19"/>
        <v>25678125000</v>
      </c>
      <c r="N436" s="4">
        <f t="shared" si="20"/>
        <v>0.71140883534136545</v>
      </c>
    </row>
    <row r="437" spans="1:14" x14ac:dyDescent="0.45">
      <c r="A437" s="2">
        <v>45303</v>
      </c>
      <c r="B437" s="3">
        <v>4392.3999999999996</v>
      </c>
      <c r="D437" s="2">
        <v>45303</v>
      </c>
      <c r="E437" s="3">
        <v>3488.1</v>
      </c>
      <c r="G437" s="3">
        <v>1680000</v>
      </c>
      <c r="H437" s="3">
        <f t="shared" si="18"/>
        <v>7379231999.999999</v>
      </c>
      <c r="J437" s="3">
        <v>7500000</v>
      </c>
      <c r="K437" s="3"/>
      <c r="L437" s="3">
        <f t="shared" si="19"/>
        <v>26160750000</v>
      </c>
      <c r="N437" s="4">
        <f t="shared" si="20"/>
        <v>0.71792735300020072</v>
      </c>
    </row>
    <row r="438" spans="1:14" x14ac:dyDescent="0.45">
      <c r="A438" s="2">
        <v>45302</v>
      </c>
      <c r="B438" s="3">
        <v>4390.6499999999996</v>
      </c>
      <c r="D438" s="2">
        <v>45302</v>
      </c>
      <c r="E438" s="3">
        <v>3427.9</v>
      </c>
      <c r="G438" s="3">
        <v>1680000</v>
      </c>
      <c r="H438" s="3">
        <f t="shared" si="18"/>
        <v>7376291999.999999</v>
      </c>
      <c r="J438" s="3">
        <v>7500000</v>
      </c>
      <c r="K438" s="3"/>
      <c r="L438" s="3">
        <f t="shared" si="19"/>
        <v>25709250000</v>
      </c>
      <c r="N438" s="4">
        <f t="shared" si="20"/>
        <v>0.71308801306922609</v>
      </c>
    </row>
    <row r="439" spans="1:14" x14ac:dyDescent="0.45">
      <c r="A439" s="2">
        <v>45301</v>
      </c>
      <c r="B439" s="3">
        <v>4390</v>
      </c>
      <c r="D439" s="2">
        <v>45301</v>
      </c>
      <c r="E439" s="3">
        <v>3396.9</v>
      </c>
      <c r="G439" s="3">
        <v>1680000</v>
      </c>
      <c r="H439" s="3">
        <f t="shared" si="18"/>
        <v>7375200000</v>
      </c>
      <c r="J439" s="3">
        <v>7500000</v>
      </c>
      <c r="K439" s="3"/>
      <c r="L439" s="3">
        <f t="shared" si="19"/>
        <v>25476750000</v>
      </c>
      <c r="N439" s="4">
        <f t="shared" si="20"/>
        <v>0.71051252612676263</v>
      </c>
    </row>
    <row r="440" spans="1:14" x14ac:dyDescent="0.45">
      <c r="A440" s="2">
        <v>45300</v>
      </c>
      <c r="B440" s="3">
        <v>4244</v>
      </c>
      <c r="D440" s="2">
        <v>45300</v>
      </c>
      <c r="E440" s="3">
        <v>3380.35</v>
      </c>
      <c r="G440" s="3">
        <v>1680000</v>
      </c>
      <c r="H440" s="3">
        <f t="shared" si="18"/>
        <v>7129920000</v>
      </c>
      <c r="J440" s="3">
        <v>7500000</v>
      </c>
      <c r="K440" s="3"/>
      <c r="L440" s="3">
        <f t="shared" si="19"/>
        <v>25352625000</v>
      </c>
      <c r="N440" s="4">
        <f t="shared" si="20"/>
        <v>0.71876994985726328</v>
      </c>
    </row>
    <row r="441" spans="1:14" x14ac:dyDescent="0.45">
      <c r="A441" s="2">
        <v>45299</v>
      </c>
      <c r="B441" s="3">
        <v>4365.55</v>
      </c>
      <c r="D441" s="2">
        <v>45299</v>
      </c>
      <c r="E441" s="3">
        <v>3467.8</v>
      </c>
      <c r="G441" s="3">
        <v>1680000</v>
      </c>
      <c r="H441" s="3">
        <f t="shared" si="18"/>
        <v>7334124000</v>
      </c>
      <c r="J441" s="3">
        <v>7500000</v>
      </c>
      <c r="K441" s="3"/>
      <c r="L441" s="3">
        <f t="shared" si="19"/>
        <v>26008500000</v>
      </c>
      <c r="N441" s="4">
        <f t="shared" si="20"/>
        <v>0.71801049656842952</v>
      </c>
    </row>
    <row r="442" spans="1:14" x14ac:dyDescent="0.45">
      <c r="A442" s="2">
        <v>45296</v>
      </c>
      <c r="B442" s="3">
        <v>4337.3999999999996</v>
      </c>
      <c r="D442" s="2">
        <v>45296</v>
      </c>
      <c r="E442" s="3">
        <v>3533.6</v>
      </c>
      <c r="G442" s="3">
        <v>1680000</v>
      </c>
      <c r="H442" s="3">
        <f t="shared" si="18"/>
        <v>7286831999.999999</v>
      </c>
      <c r="J442" s="3">
        <v>7500000</v>
      </c>
      <c r="K442" s="3"/>
      <c r="L442" s="3">
        <f t="shared" si="19"/>
        <v>26502000000</v>
      </c>
      <c r="N442" s="4">
        <f t="shared" si="20"/>
        <v>0.72504595879556266</v>
      </c>
    </row>
    <row r="443" spans="1:14" x14ac:dyDescent="0.45">
      <c r="A443" s="2">
        <v>45295</v>
      </c>
      <c r="B443" s="3">
        <v>4329</v>
      </c>
      <c r="D443" s="2">
        <v>45295</v>
      </c>
      <c r="E443" s="3">
        <v>3490.55</v>
      </c>
      <c r="G443" s="3">
        <v>1680000</v>
      </c>
      <c r="H443" s="3">
        <f t="shared" si="18"/>
        <v>7272720000</v>
      </c>
      <c r="J443" s="3">
        <v>7500000</v>
      </c>
      <c r="K443" s="3"/>
      <c r="L443" s="3">
        <f t="shared" si="19"/>
        <v>26179125000</v>
      </c>
      <c r="N443" s="4">
        <f t="shared" si="20"/>
        <v>0.72219392359370294</v>
      </c>
    </row>
    <row r="444" spans="1:14" x14ac:dyDescent="0.45">
      <c r="A444" s="2">
        <v>45294</v>
      </c>
      <c r="B444" s="3">
        <v>4315.6000000000004</v>
      </c>
      <c r="D444" s="2">
        <v>45294</v>
      </c>
      <c r="E444" s="3">
        <v>3494.35</v>
      </c>
      <c r="G444" s="3">
        <v>1680000</v>
      </c>
      <c r="H444" s="3">
        <f t="shared" si="18"/>
        <v>7250208000.000001</v>
      </c>
      <c r="J444" s="3">
        <v>7500000</v>
      </c>
      <c r="K444" s="3"/>
      <c r="L444" s="3">
        <f t="shared" si="19"/>
        <v>26207625000</v>
      </c>
      <c r="N444" s="4">
        <f t="shared" si="20"/>
        <v>0.72335501595432627</v>
      </c>
    </row>
    <row r="445" spans="1:14" x14ac:dyDescent="0.45">
      <c r="A445" s="2">
        <v>45293</v>
      </c>
      <c r="B445" s="3">
        <v>4291.05</v>
      </c>
      <c r="D445" s="2">
        <v>45293</v>
      </c>
      <c r="E445" s="3">
        <v>3506.65</v>
      </c>
      <c r="G445" s="3">
        <v>1680000</v>
      </c>
      <c r="H445" s="3">
        <f t="shared" si="18"/>
        <v>7208964000</v>
      </c>
      <c r="J445" s="3">
        <v>7500000</v>
      </c>
      <c r="K445" s="3"/>
      <c r="L445" s="3">
        <f t="shared" si="19"/>
        <v>26299875000</v>
      </c>
      <c r="N445" s="4">
        <f t="shared" si="20"/>
        <v>0.72589360215590371</v>
      </c>
    </row>
    <row r="446" spans="1:14" x14ac:dyDescent="0.45">
      <c r="A446" s="2">
        <v>45292</v>
      </c>
      <c r="B446" s="3">
        <v>4287.2</v>
      </c>
      <c r="D446" s="2">
        <v>45292</v>
      </c>
      <c r="E446" s="3">
        <v>3463.95</v>
      </c>
      <c r="G446" s="3">
        <v>1680000</v>
      </c>
      <c r="H446" s="3">
        <f t="shared" si="18"/>
        <v>7202496000</v>
      </c>
      <c r="J446" s="3">
        <v>7500000</v>
      </c>
      <c r="K446" s="3"/>
      <c r="L446" s="3">
        <f t="shared" si="19"/>
        <v>25979625000</v>
      </c>
      <c r="N446" s="4">
        <f t="shared" si="20"/>
        <v>0.72276366575730022</v>
      </c>
    </row>
    <row r="447" spans="1:14" x14ac:dyDescent="0.45">
      <c r="A447" s="2">
        <v>45289</v>
      </c>
      <c r="B447" s="3">
        <v>4263</v>
      </c>
      <c r="D447" s="2">
        <v>45289</v>
      </c>
      <c r="E447" s="3">
        <v>3464.15</v>
      </c>
      <c r="G447" s="3">
        <v>1680000</v>
      </c>
      <c r="H447" s="3">
        <f t="shared" si="18"/>
        <v>7161840000</v>
      </c>
      <c r="J447" s="3">
        <v>7500000</v>
      </c>
      <c r="K447" s="3"/>
      <c r="L447" s="3">
        <f t="shared" si="19"/>
        <v>25981125000</v>
      </c>
      <c r="N447" s="4">
        <f t="shared" si="20"/>
        <v>0.72434450009381812</v>
      </c>
    </row>
    <row r="448" spans="1:14" x14ac:dyDescent="0.45">
      <c r="A448" s="2">
        <v>45288</v>
      </c>
      <c r="B448" s="3">
        <v>4202</v>
      </c>
      <c r="D448" s="2">
        <v>45288</v>
      </c>
      <c r="E448" s="3">
        <v>3488</v>
      </c>
      <c r="G448" s="3">
        <v>1680000</v>
      </c>
      <c r="H448" s="3">
        <f t="shared" si="18"/>
        <v>7059360000</v>
      </c>
      <c r="J448" s="3">
        <v>7500000</v>
      </c>
      <c r="K448" s="3"/>
      <c r="L448" s="3">
        <f t="shared" si="19"/>
        <v>26160000000</v>
      </c>
      <c r="N448" s="4">
        <f t="shared" si="20"/>
        <v>0.73014678899082575</v>
      </c>
    </row>
    <row r="449" spans="1:14" x14ac:dyDescent="0.45">
      <c r="A449" s="2">
        <v>45287</v>
      </c>
      <c r="B449" s="3">
        <v>4340</v>
      </c>
      <c r="D449" s="2">
        <v>45287</v>
      </c>
      <c r="E449" s="3">
        <v>3398.35</v>
      </c>
      <c r="G449" s="3">
        <v>1680000</v>
      </c>
      <c r="H449" s="3">
        <f t="shared" si="18"/>
        <v>7291200000</v>
      </c>
      <c r="J449" s="3">
        <v>7500000</v>
      </c>
      <c r="K449" s="3"/>
      <c r="L449" s="3">
        <f t="shared" si="19"/>
        <v>25487625000</v>
      </c>
      <c r="N449" s="4">
        <f t="shared" si="20"/>
        <v>0.71393176100166256</v>
      </c>
    </row>
    <row r="450" spans="1:14" x14ac:dyDescent="0.45">
      <c r="A450" s="2">
        <v>45286</v>
      </c>
      <c r="B450" s="3">
        <v>4376</v>
      </c>
      <c r="D450" s="2">
        <v>45286</v>
      </c>
      <c r="E450" s="3">
        <v>3442.8</v>
      </c>
      <c r="G450" s="3">
        <v>1680000</v>
      </c>
      <c r="H450" s="3">
        <f t="shared" si="18"/>
        <v>7351680000</v>
      </c>
      <c r="J450" s="3">
        <v>7500000</v>
      </c>
      <c r="K450" s="3"/>
      <c r="L450" s="3">
        <f t="shared" si="19"/>
        <v>25821000000</v>
      </c>
      <c r="N450" s="4">
        <f t="shared" si="20"/>
        <v>0.71528290925990468</v>
      </c>
    </row>
    <row r="451" spans="1:14" x14ac:dyDescent="0.45">
      <c r="A451" s="2">
        <v>45282</v>
      </c>
      <c r="B451" s="3">
        <v>4329.6000000000004</v>
      </c>
      <c r="D451" s="2">
        <v>45282</v>
      </c>
      <c r="E451" s="3">
        <v>3463.2</v>
      </c>
      <c r="G451" s="3">
        <v>1680000</v>
      </c>
      <c r="H451" s="3">
        <f t="shared" ref="H451:H514" si="21">+G451*B451</f>
        <v>7273728000.000001</v>
      </c>
      <c r="J451" s="3">
        <v>7500000</v>
      </c>
      <c r="K451" s="3"/>
      <c r="L451" s="3">
        <f t="shared" ref="L451:L514" si="22">+(J451*E451)</f>
        <v>25974000000</v>
      </c>
      <c r="N451" s="4">
        <f t="shared" ref="N451:N514" si="23">1- (H451/L451)</f>
        <v>0.7199611919611919</v>
      </c>
    </row>
    <row r="452" spans="1:14" x14ac:dyDescent="0.45">
      <c r="A452" s="2">
        <v>45281</v>
      </c>
      <c r="B452" s="3">
        <v>4259.2</v>
      </c>
      <c r="D452" s="2">
        <v>45281</v>
      </c>
      <c r="E452" s="3">
        <v>3444.05</v>
      </c>
      <c r="G452" s="3">
        <v>1680000</v>
      </c>
      <c r="H452" s="3">
        <f t="shared" si="21"/>
        <v>7155456000</v>
      </c>
      <c r="J452" s="3">
        <v>7500000</v>
      </c>
      <c r="K452" s="3"/>
      <c r="L452" s="3">
        <f t="shared" si="22"/>
        <v>25830375000</v>
      </c>
      <c r="N452" s="4">
        <f t="shared" si="23"/>
        <v>0.72298288352375839</v>
      </c>
    </row>
    <row r="453" spans="1:14" x14ac:dyDescent="0.45">
      <c r="A453" s="2">
        <v>45280</v>
      </c>
      <c r="B453" s="3">
        <v>4242.6499999999996</v>
      </c>
      <c r="D453" s="2">
        <v>45280</v>
      </c>
      <c r="E453" s="3">
        <v>3366.65</v>
      </c>
      <c r="G453" s="3">
        <v>1680000</v>
      </c>
      <c r="H453" s="3">
        <f t="shared" si="21"/>
        <v>7127651999.999999</v>
      </c>
      <c r="J453" s="3">
        <v>7500000</v>
      </c>
      <c r="K453" s="3"/>
      <c r="L453" s="3">
        <f t="shared" si="22"/>
        <v>25249875000</v>
      </c>
      <c r="N453" s="4">
        <f t="shared" si="23"/>
        <v>0.71771535502651007</v>
      </c>
    </row>
    <row r="454" spans="1:14" x14ac:dyDescent="0.45">
      <c r="A454" s="2">
        <v>45279</v>
      </c>
      <c r="B454" s="3">
        <v>4294.3999999999996</v>
      </c>
      <c r="D454" s="2">
        <v>45279</v>
      </c>
      <c r="E454" s="3">
        <v>3417.7</v>
      </c>
      <c r="G454" s="3">
        <v>1680000</v>
      </c>
      <c r="H454" s="3">
        <f t="shared" si="21"/>
        <v>7214591999.999999</v>
      </c>
      <c r="J454" s="3">
        <v>7500000</v>
      </c>
      <c r="K454" s="3"/>
      <c r="L454" s="3">
        <f t="shared" si="22"/>
        <v>25632750000</v>
      </c>
      <c r="N454" s="4">
        <f t="shared" si="23"/>
        <v>0.71854007080785331</v>
      </c>
    </row>
    <row r="455" spans="1:14" x14ac:dyDescent="0.45">
      <c r="A455" s="2">
        <v>45278</v>
      </c>
      <c r="B455" s="3">
        <v>4263.3500000000004</v>
      </c>
      <c r="D455" s="2">
        <v>45278</v>
      </c>
      <c r="E455" s="3">
        <v>3339.1</v>
      </c>
      <c r="G455" s="3">
        <v>1680000</v>
      </c>
      <c r="H455" s="3">
        <f t="shared" si="21"/>
        <v>7162428000.000001</v>
      </c>
      <c r="J455" s="3">
        <v>7500000</v>
      </c>
      <c r="K455" s="3"/>
      <c r="L455" s="3">
        <f t="shared" si="22"/>
        <v>25043250000</v>
      </c>
      <c r="N455" s="4">
        <f t="shared" si="23"/>
        <v>0.71399766404120868</v>
      </c>
    </row>
    <row r="456" spans="1:14" x14ac:dyDescent="0.45">
      <c r="A456" s="2">
        <v>45275</v>
      </c>
      <c r="B456" s="3">
        <v>4241.6000000000004</v>
      </c>
      <c r="D456" s="2">
        <v>45275</v>
      </c>
      <c r="E456" s="3">
        <v>3309.25</v>
      </c>
      <c r="G456" s="3">
        <v>1680000</v>
      </c>
      <c r="H456" s="3">
        <f t="shared" si="21"/>
        <v>7125888000.000001</v>
      </c>
      <c r="J456" s="3">
        <v>7500000</v>
      </c>
      <c r="K456" s="3"/>
      <c r="L456" s="3">
        <f t="shared" si="22"/>
        <v>24819375000</v>
      </c>
      <c r="N456" s="4">
        <f t="shared" si="23"/>
        <v>0.71289011105235323</v>
      </c>
    </row>
    <row r="457" spans="1:14" x14ac:dyDescent="0.45">
      <c r="A457" s="2">
        <v>45274</v>
      </c>
      <c r="B457" s="3">
        <v>4215.5</v>
      </c>
      <c r="D457" s="2">
        <v>45274</v>
      </c>
      <c r="E457" s="3">
        <v>3260.55</v>
      </c>
      <c r="G457" s="3">
        <v>1680000</v>
      </c>
      <c r="H457" s="3">
        <f t="shared" si="21"/>
        <v>7082040000</v>
      </c>
      <c r="J457" s="3">
        <v>7500000</v>
      </c>
      <c r="K457" s="3"/>
      <c r="L457" s="3">
        <f t="shared" si="22"/>
        <v>24454125000</v>
      </c>
      <c r="N457" s="4">
        <f t="shared" si="23"/>
        <v>0.71039487203079232</v>
      </c>
    </row>
    <row r="458" spans="1:14" x14ac:dyDescent="0.45">
      <c r="A458" s="2">
        <v>45273</v>
      </c>
      <c r="B458" s="3">
        <v>4128.5</v>
      </c>
      <c r="D458" s="2">
        <v>45273</v>
      </c>
      <c r="E458" s="3">
        <v>3310.85</v>
      </c>
      <c r="G458" s="3">
        <v>1680000</v>
      </c>
      <c r="H458" s="3">
        <f t="shared" si="21"/>
        <v>6935880000</v>
      </c>
      <c r="J458" s="3">
        <v>7500000</v>
      </c>
      <c r="K458" s="3"/>
      <c r="L458" s="3">
        <f t="shared" si="22"/>
        <v>24831375000</v>
      </c>
      <c r="N458" s="4">
        <f t="shared" si="23"/>
        <v>0.72068079194164647</v>
      </c>
    </row>
    <row r="459" spans="1:14" x14ac:dyDescent="0.45">
      <c r="A459" s="2">
        <v>45272</v>
      </c>
      <c r="B459" s="3">
        <v>4256</v>
      </c>
      <c r="D459" s="2">
        <v>45272</v>
      </c>
      <c r="E459" s="3">
        <v>3381.05</v>
      </c>
      <c r="G459" s="3">
        <v>1680000</v>
      </c>
      <c r="H459" s="3">
        <f t="shared" si="21"/>
        <v>7150080000</v>
      </c>
      <c r="J459" s="3">
        <v>7500000</v>
      </c>
      <c r="K459" s="3"/>
      <c r="L459" s="3">
        <f t="shared" si="22"/>
        <v>25357875000</v>
      </c>
      <c r="N459" s="4">
        <f t="shared" si="23"/>
        <v>0.71803315538072487</v>
      </c>
    </row>
    <row r="460" spans="1:14" x14ac:dyDescent="0.45">
      <c r="A460" s="2">
        <v>45271</v>
      </c>
      <c r="B460" s="3">
        <v>4296.95</v>
      </c>
      <c r="D460" s="2">
        <v>45271</v>
      </c>
      <c r="E460" s="3">
        <v>3445.8</v>
      </c>
      <c r="G460" s="3">
        <v>1680000</v>
      </c>
      <c r="H460" s="3">
        <f t="shared" si="21"/>
        <v>7218876000</v>
      </c>
      <c r="J460" s="3">
        <v>7500000</v>
      </c>
      <c r="K460" s="3"/>
      <c r="L460" s="3">
        <f t="shared" si="22"/>
        <v>25843500000</v>
      </c>
      <c r="N460" s="4">
        <f t="shared" si="23"/>
        <v>0.72066956875036281</v>
      </c>
    </row>
    <row r="461" spans="1:14" x14ac:dyDescent="0.45">
      <c r="A461" s="2">
        <v>45268</v>
      </c>
      <c r="B461" s="3">
        <v>4040</v>
      </c>
      <c r="D461" s="2">
        <v>45268</v>
      </c>
      <c r="E461" s="3">
        <v>3427.75</v>
      </c>
      <c r="G461" s="3">
        <v>1680000</v>
      </c>
      <c r="H461" s="3">
        <f t="shared" si="21"/>
        <v>6787200000</v>
      </c>
      <c r="J461" s="3">
        <v>7500000</v>
      </c>
      <c r="K461" s="3"/>
      <c r="L461" s="3">
        <f t="shared" si="22"/>
        <v>25708125000</v>
      </c>
      <c r="N461" s="4">
        <f t="shared" si="23"/>
        <v>0.735990080956896</v>
      </c>
    </row>
    <row r="462" spans="1:14" x14ac:dyDescent="0.45">
      <c r="A462" s="2">
        <v>45267</v>
      </c>
      <c r="B462" s="3">
        <v>4118.3500000000004</v>
      </c>
      <c r="D462" s="2">
        <v>45267</v>
      </c>
      <c r="E462" s="3">
        <v>3459.75</v>
      </c>
      <c r="G462" s="3">
        <v>1680000</v>
      </c>
      <c r="H462" s="3">
        <f t="shared" si="21"/>
        <v>6918828000.000001</v>
      </c>
      <c r="J462" s="3">
        <v>7500000</v>
      </c>
      <c r="K462" s="3"/>
      <c r="L462" s="3">
        <f t="shared" si="22"/>
        <v>25948125000</v>
      </c>
      <c r="N462" s="4">
        <f t="shared" si="23"/>
        <v>0.73335923115832058</v>
      </c>
    </row>
    <row r="463" spans="1:14" x14ac:dyDescent="0.45">
      <c r="A463" s="2">
        <v>45266</v>
      </c>
      <c r="B463" s="3">
        <v>4004</v>
      </c>
      <c r="D463" s="2">
        <v>45266</v>
      </c>
      <c r="E463" s="3">
        <v>3410.1</v>
      </c>
      <c r="G463" s="3">
        <v>1680000</v>
      </c>
      <c r="H463" s="3">
        <f t="shared" si="21"/>
        <v>6726720000</v>
      </c>
      <c r="J463" s="3">
        <v>7500000</v>
      </c>
      <c r="K463" s="3"/>
      <c r="L463" s="3">
        <f t="shared" si="22"/>
        <v>25575750000</v>
      </c>
      <c r="N463" s="4">
        <f t="shared" si="23"/>
        <v>0.73698835811266528</v>
      </c>
    </row>
    <row r="464" spans="1:14" x14ac:dyDescent="0.45">
      <c r="A464" s="2">
        <v>45265</v>
      </c>
      <c r="B464" s="3">
        <v>4075</v>
      </c>
      <c r="D464" s="2">
        <v>45265</v>
      </c>
      <c r="E464" s="3">
        <v>3404.6</v>
      </c>
      <c r="G464" s="3">
        <v>1680000</v>
      </c>
      <c r="H464" s="3">
        <f t="shared" si="21"/>
        <v>6846000000</v>
      </c>
      <c r="J464" s="3">
        <v>7500000</v>
      </c>
      <c r="K464" s="3"/>
      <c r="L464" s="3">
        <f t="shared" si="22"/>
        <v>25534500000</v>
      </c>
      <c r="N464" s="4">
        <f t="shared" si="23"/>
        <v>0.73189214592022556</v>
      </c>
    </row>
    <row r="465" spans="1:14" x14ac:dyDescent="0.45">
      <c r="A465" s="2">
        <v>45264</v>
      </c>
      <c r="B465" s="1">
        <v>4107.5</v>
      </c>
      <c r="D465" s="2">
        <v>45264</v>
      </c>
      <c r="E465" s="3">
        <v>3467.2</v>
      </c>
      <c r="G465" s="3">
        <v>1680000</v>
      </c>
      <c r="H465" s="3">
        <f t="shared" si="21"/>
        <v>6900600000</v>
      </c>
      <c r="J465" s="3">
        <v>7500000</v>
      </c>
      <c r="K465" s="3"/>
      <c r="L465" s="3">
        <f t="shared" si="22"/>
        <v>26004000000</v>
      </c>
      <c r="N465" s="4">
        <f t="shared" si="23"/>
        <v>0.73463313336409786</v>
      </c>
    </row>
    <row r="466" spans="1:14" x14ac:dyDescent="0.45">
      <c r="A466" s="2">
        <v>45261</v>
      </c>
      <c r="B466" s="3">
        <v>4032</v>
      </c>
      <c r="D466" s="2">
        <v>45261</v>
      </c>
      <c r="E466" s="3">
        <v>3433.9</v>
      </c>
      <c r="G466" s="3">
        <v>1680000</v>
      </c>
      <c r="H466" s="3">
        <f t="shared" si="21"/>
        <v>6773760000</v>
      </c>
      <c r="J466" s="3">
        <v>7500000</v>
      </c>
      <c r="K466" s="3"/>
      <c r="L466" s="3">
        <f t="shared" si="22"/>
        <v>25754250000</v>
      </c>
      <c r="N466" s="4">
        <f t="shared" si="23"/>
        <v>0.73698476950406244</v>
      </c>
    </row>
    <row r="467" spans="1:14" x14ac:dyDescent="0.45">
      <c r="A467" s="2">
        <v>45260</v>
      </c>
      <c r="B467" s="3">
        <v>3991.85</v>
      </c>
      <c r="D467" s="2">
        <v>45260</v>
      </c>
      <c r="E467" s="3">
        <v>3408.7</v>
      </c>
      <c r="G467" s="3">
        <v>1680000</v>
      </c>
      <c r="H467" s="3">
        <f t="shared" si="21"/>
        <v>6706308000</v>
      </c>
      <c r="J467" s="3">
        <v>7500000</v>
      </c>
      <c r="K467" s="3"/>
      <c r="L467" s="3">
        <f t="shared" si="22"/>
        <v>25565250000</v>
      </c>
      <c r="N467" s="4">
        <f t="shared" si="23"/>
        <v>0.73767876316484293</v>
      </c>
    </row>
    <row r="468" spans="1:14" x14ac:dyDescent="0.45">
      <c r="A468" s="2">
        <v>45259</v>
      </c>
      <c r="B468" s="3">
        <v>4046.25</v>
      </c>
      <c r="D468" s="2">
        <v>45259</v>
      </c>
      <c r="E468" s="3">
        <v>3283.95</v>
      </c>
      <c r="G468" s="3">
        <v>1680000</v>
      </c>
      <c r="H468" s="3">
        <f t="shared" si="21"/>
        <v>6797700000</v>
      </c>
      <c r="J468" s="3">
        <v>7500000</v>
      </c>
      <c r="K468" s="3"/>
      <c r="L468" s="3">
        <f t="shared" si="22"/>
        <v>24629625000</v>
      </c>
      <c r="N468" s="4">
        <f t="shared" si="23"/>
        <v>0.72400310601562146</v>
      </c>
    </row>
    <row r="469" spans="1:14" x14ac:dyDescent="0.45">
      <c r="A469" s="2">
        <v>45258</v>
      </c>
      <c r="B469" s="3">
        <v>4093</v>
      </c>
      <c r="D469" s="2">
        <v>45258</v>
      </c>
      <c r="E469" s="3">
        <v>3322.05</v>
      </c>
      <c r="G469" s="3">
        <v>1680000</v>
      </c>
      <c r="H469" s="3">
        <f t="shared" si="21"/>
        <v>6876240000</v>
      </c>
      <c r="J469" s="3">
        <v>7500000</v>
      </c>
      <c r="K469" s="3"/>
      <c r="L469" s="3">
        <f t="shared" si="22"/>
        <v>24915375000</v>
      </c>
      <c r="N469" s="4">
        <f t="shared" si="23"/>
        <v>0.72401619481946389</v>
      </c>
    </row>
    <row r="470" spans="1:14" x14ac:dyDescent="0.45">
      <c r="A470" s="2">
        <v>45254</v>
      </c>
      <c r="B470" s="3">
        <v>3801.15</v>
      </c>
      <c r="D470" s="2">
        <v>45254</v>
      </c>
      <c r="E470" s="3">
        <v>3288.95</v>
      </c>
      <c r="G470" s="3">
        <v>1680000</v>
      </c>
      <c r="H470" s="3">
        <f t="shared" si="21"/>
        <v>6385932000</v>
      </c>
      <c r="J470" s="3">
        <v>7500000</v>
      </c>
      <c r="K470" s="3"/>
      <c r="L470" s="3">
        <f t="shared" si="22"/>
        <v>24667125000</v>
      </c>
      <c r="N470" s="4">
        <f t="shared" si="23"/>
        <v>0.74111567521549437</v>
      </c>
    </row>
    <row r="471" spans="1:14" x14ac:dyDescent="0.45">
      <c r="A471" s="2">
        <v>45253</v>
      </c>
      <c r="B471" s="3">
        <v>3815.4</v>
      </c>
      <c r="D471" s="2">
        <v>45253</v>
      </c>
      <c r="E471" s="3">
        <v>3301.95</v>
      </c>
      <c r="G471" s="3">
        <v>1680000</v>
      </c>
      <c r="H471" s="3">
        <f t="shared" si="21"/>
        <v>6409872000</v>
      </c>
      <c r="J471" s="3">
        <v>7500000</v>
      </c>
      <c r="K471" s="3"/>
      <c r="L471" s="3">
        <f t="shared" si="22"/>
        <v>24764625000</v>
      </c>
      <c r="N471" s="4">
        <f t="shared" si="23"/>
        <v>0.74116821877981187</v>
      </c>
    </row>
    <row r="472" spans="1:14" x14ac:dyDescent="0.45">
      <c r="A472" s="2">
        <v>45252</v>
      </c>
      <c r="B472" s="3">
        <v>3750</v>
      </c>
      <c r="D472" s="2">
        <v>45252</v>
      </c>
      <c r="E472" s="3">
        <v>3351.55</v>
      </c>
      <c r="G472" s="3">
        <v>1680000</v>
      </c>
      <c r="H472" s="3">
        <f t="shared" si="21"/>
        <v>6300000000</v>
      </c>
      <c r="J472" s="3">
        <v>7500000</v>
      </c>
      <c r="K472" s="3"/>
      <c r="L472" s="3">
        <f t="shared" si="22"/>
        <v>25136625000</v>
      </c>
      <c r="N472" s="4">
        <f t="shared" si="23"/>
        <v>0.74936969461890768</v>
      </c>
    </row>
    <row r="473" spans="1:14" x14ac:dyDescent="0.45">
      <c r="A473" s="2">
        <v>45251</v>
      </c>
      <c r="B473" s="3">
        <v>3721.5</v>
      </c>
      <c r="D473" s="2">
        <v>45251</v>
      </c>
      <c r="E473" s="3">
        <v>3251.75</v>
      </c>
      <c r="G473" s="3">
        <v>1680000</v>
      </c>
      <c r="H473" s="3">
        <f t="shared" si="21"/>
        <v>6252120000</v>
      </c>
      <c r="J473" s="3">
        <v>7500000</v>
      </c>
      <c r="K473" s="3"/>
      <c r="L473" s="3">
        <f t="shared" si="22"/>
        <v>24388125000</v>
      </c>
      <c r="N473" s="4">
        <f t="shared" si="23"/>
        <v>0.74364080879526406</v>
      </c>
    </row>
    <row r="474" spans="1:14" x14ac:dyDescent="0.45">
      <c r="A474" s="2">
        <v>45250</v>
      </c>
      <c r="B474" s="3">
        <v>3637.95</v>
      </c>
      <c r="D474" s="2">
        <v>45250</v>
      </c>
      <c r="E474" s="3">
        <v>3279.4</v>
      </c>
      <c r="G474" s="3">
        <v>1680000</v>
      </c>
      <c r="H474" s="3">
        <f t="shared" si="21"/>
        <v>6111756000</v>
      </c>
      <c r="J474" s="3">
        <v>7500000</v>
      </c>
      <c r="K474" s="3"/>
      <c r="L474" s="3">
        <f t="shared" si="22"/>
        <v>24595500000</v>
      </c>
      <c r="N474" s="4">
        <f t="shared" si="23"/>
        <v>0.75150917850826371</v>
      </c>
    </row>
    <row r="475" spans="1:14" x14ac:dyDescent="0.45">
      <c r="A475" s="2">
        <v>45247</v>
      </c>
      <c r="B475" s="3">
        <v>3700</v>
      </c>
      <c r="D475" s="2">
        <v>45247</v>
      </c>
      <c r="E475" s="3">
        <v>3286.65</v>
      </c>
      <c r="G475" s="3">
        <v>1680000</v>
      </c>
      <c r="H475" s="3">
        <f t="shared" si="21"/>
        <v>6216000000</v>
      </c>
      <c r="J475" s="3">
        <v>7500000</v>
      </c>
      <c r="K475" s="3"/>
      <c r="L475" s="3">
        <f t="shared" si="22"/>
        <v>24649875000</v>
      </c>
      <c r="N475" s="4">
        <f t="shared" si="23"/>
        <v>0.74782833584348807</v>
      </c>
    </row>
    <row r="476" spans="1:14" x14ac:dyDescent="0.45">
      <c r="A476" s="2">
        <v>45246</v>
      </c>
      <c r="B476" s="3">
        <v>3675</v>
      </c>
      <c r="D476" s="2">
        <v>45246</v>
      </c>
      <c r="E476" s="3">
        <v>3180.65</v>
      </c>
      <c r="G476" s="3">
        <v>1680000</v>
      </c>
      <c r="H476" s="3">
        <f t="shared" si="21"/>
        <v>6174000000</v>
      </c>
      <c r="J476" s="3">
        <v>7500000</v>
      </c>
      <c r="K476" s="3"/>
      <c r="L476" s="3">
        <f t="shared" si="22"/>
        <v>23854875000</v>
      </c>
      <c r="N476" s="4">
        <f t="shared" si="23"/>
        <v>0.74118497791331961</v>
      </c>
    </row>
    <row r="477" spans="1:14" x14ac:dyDescent="0.45">
      <c r="A477" s="2">
        <v>45245</v>
      </c>
      <c r="B477" s="3">
        <v>3705.85</v>
      </c>
      <c r="D477" s="2">
        <v>45245</v>
      </c>
      <c r="E477" s="3">
        <v>3162.35</v>
      </c>
      <c r="G477" s="3">
        <v>1680000</v>
      </c>
      <c r="H477" s="3">
        <f t="shared" si="21"/>
        <v>6225828000</v>
      </c>
      <c r="J477" s="3">
        <v>7500000</v>
      </c>
      <c r="K477" s="3"/>
      <c r="L477" s="3">
        <f t="shared" si="22"/>
        <v>23717625000</v>
      </c>
      <c r="N477" s="4">
        <f t="shared" si="23"/>
        <v>0.73750204752794601</v>
      </c>
    </row>
    <row r="478" spans="1:14" x14ac:dyDescent="0.45">
      <c r="A478" s="2">
        <v>45243</v>
      </c>
      <c r="B478" s="3">
        <v>3611.85</v>
      </c>
      <c r="D478" s="2">
        <v>45243</v>
      </c>
      <c r="E478" s="3">
        <v>3060.95</v>
      </c>
      <c r="G478" s="3">
        <v>1680000</v>
      </c>
      <c r="H478" s="3">
        <f t="shared" si="21"/>
        <v>6067908000</v>
      </c>
      <c r="J478" s="3">
        <v>7500000</v>
      </c>
      <c r="K478" s="3"/>
      <c r="L478" s="3">
        <f t="shared" si="22"/>
        <v>22957125000</v>
      </c>
      <c r="N478" s="4">
        <f t="shared" si="23"/>
        <v>0.73568519577255431</v>
      </c>
    </row>
    <row r="479" spans="1:14" x14ac:dyDescent="0.45">
      <c r="A479" s="2">
        <v>45242</v>
      </c>
      <c r="B479" s="3">
        <v>3625</v>
      </c>
      <c r="D479" s="2">
        <v>45242</v>
      </c>
      <c r="E479" s="3">
        <v>3062.45</v>
      </c>
      <c r="G479" s="3">
        <v>1680000</v>
      </c>
      <c r="H479" s="3">
        <f t="shared" si="21"/>
        <v>6090000000</v>
      </c>
      <c r="J479" s="3">
        <v>7500000</v>
      </c>
      <c r="K479" s="3"/>
      <c r="L479" s="3">
        <f t="shared" si="22"/>
        <v>22968375000</v>
      </c>
      <c r="N479" s="4">
        <f t="shared" si="23"/>
        <v>0.73485281392349266</v>
      </c>
    </row>
    <row r="480" spans="1:14" x14ac:dyDescent="0.45">
      <c r="A480" s="2">
        <v>45240</v>
      </c>
      <c r="B480" s="3">
        <v>3625</v>
      </c>
      <c r="D480" s="2">
        <v>45240</v>
      </c>
      <c r="E480" s="3">
        <v>3042.1</v>
      </c>
      <c r="G480" s="3">
        <v>1680000</v>
      </c>
      <c r="H480" s="3">
        <f t="shared" si="21"/>
        <v>6090000000</v>
      </c>
      <c r="J480" s="3">
        <v>7500000</v>
      </c>
      <c r="K480" s="3"/>
      <c r="L480" s="3">
        <f t="shared" si="22"/>
        <v>22815750000</v>
      </c>
      <c r="N480" s="4">
        <f t="shared" si="23"/>
        <v>0.73307912297426125</v>
      </c>
    </row>
    <row r="481" spans="1:14" x14ac:dyDescent="0.45">
      <c r="A481" s="2">
        <v>45239</v>
      </c>
      <c r="B481" s="3">
        <v>3612.15</v>
      </c>
      <c r="D481" s="2">
        <v>45239</v>
      </c>
      <c r="E481" s="3">
        <v>3090.05</v>
      </c>
      <c r="G481" s="3">
        <v>1680000</v>
      </c>
      <c r="H481" s="3">
        <f t="shared" si="21"/>
        <v>6068412000</v>
      </c>
      <c r="J481" s="3">
        <v>7500000</v>
      </c>
      <c r="K481" s="3"/>
      <c r="L481" s="3">
        <f t="shared" si="22"/>
        <v>23175375000</v>
      </c>
      <c r="N481" s="4">
        <f t="shared" si="23"/>
        <v>0.73815258652772608</v>
      </c>
    </row>
    <row r="482" spans="1:14" x14ac:dyDescent="0.45">
      <c r="A482" s="2">
        <v>45238</v>
      </c>
      <c r="B482" s="3">
        <v>3673.9</v>
      </c>
      <c r="D482" s="2">
        <v>45238</v>
      </c>
      <c r="E482" s="3">
        <v>3106.25</v>
      </c>
      <c r="G482" s="3">
        <v>1680000</v>
      </c>
      <c r="H482" s="3">
        <f t="shared" si="21"/>
        <v>6172152000</v>
      </c>
      <c r="J482" s="3">
        <v>7500000</v>
      </c>
      <c r="K482" s="3"/>
      <c r="L482" s="3">
        <f t="shared" si="22"/>
        <v>23296875000</v>
      </c>
      <c r="N482" s="4">
        <f t="shared" si="23"/>
        <v>0.73506523943661972</v>
      </c>
    </row>
    <row r="483" spans="1:14" x14ac:dyDescent="0.45">
      <c r="A483" s="2">
        <v>45237</v>
      </c>
      <c r="B483" s="3">
        <v>3700</v>
      </c>
      <c r="D483" s="2">
        <v>45237</v>
      </c>
      <c r="E483" s="3">
        <v>3144.15</v>
      </c>
      <c r="G483" s="3">
        <v>1680000</v>
      </c>
      <c r="H483" s="3">
        <f t="shared" si="21"/>
        <v>6216000000</v>
      </c>
      <c r="J483" s="3">
        <v>7500000</v>
      </c>
      <c r="K483" s="3"/>
      <c r="L483" s="3">
        <f t="shared" si="22"/>
        <v>23581125000</v>
      </c>
      <c r="N483" s="4">
        <f t="shared" si="23"/>
        <v>0.73639934481497382</v>
      </c>
    </row>
    <row r="484" spans="1:14" x14ac:dyDescent="0.45">
      <c r="A484" s="2">
        <v>45236</v>
      </c>
      <c r="B484" s="3">
        <v>3566.95</v>
      </c>
      <c r="D484" s="2">
        <v>45236</v>
      </c>
      <c r="E484" s="3">
        <v>3055.35</v>
      </c>
      <c r="G484" s="3">
        <v>1680000</v>
      </c>
      <c r="H484" s="3">
        <f t="shared" si="21"/>
        <v>5992476000</v>
      </c>
      <c r="J484" s="3">
        <v>7500000</v>
      </c>
      <c r="K484" s="3"/>
      <c r="L484" s="3">
        <f t="shared" si="22"/>
        <v>22915125000</v>
      </c>
      <c r="N484" s="4">
        <f t="shared" si="23"/>
        <v>0.73849254586217616</v>
      </c>
    </row>
    <row r="485" spans="1:14" x14ac:dyDescent="0.45">
      <c r="A485" s="2">
        <v>45233</v>
      </c>
      <c r="B485" s="3">
        <v>3555</v>
      </c>
      <c r="D485" s="2">
        <v>45233</v>
      </c>
      <c r="E485" s="3">
        <v>3011</v>
      </c>
      <c r="G485" s="3">
        <v>1680000</v>
      </c>
      <c r="H485" s="3">
        <f t="shared" si="21"/>
        <v>5972400000</v>
      </c>
      <c r="J485" s="3">
        <v>7500000</v>
      </c>
      <c r="K485" s="3"/>
      <c r="L485" s="3">
        <f t="shared" si="22"/>
        <v>22582500000</v>
      </c>
      <c r="N485" s="4">
        <f t="shared" si="23"/>
        <v>0.73552972434407171</v>
      </c>
    </row>
    <row r="486" spans="1:14" x14ac:dyDescent="0.45">
      <c r="A486" s="2">
        <v>45232</v>
      </c>
      <c r="B486" s="3">
        <v>3481.15</v>
      </c>
      <c r="D486" s="2">
        <v>45232</v>
      </c>
      <c r="E486" s="3">
        <v>3044.15</v>
      </c>
      <c r="G486" s="3">
        <v>1680000</v>
      </c>
      <c r="H486" s="3">
        <f t="shared" si="21"/>
        <v>5848332000</v>
      </c>
      <c r="J486" s="3">
        <v>7500000</v>
      </c>
      <c r="K486" s="3"/>
      <c r="L486" s="3">
        <f t="shared" si="22"/>
        <v>22831125000</v>
      </c>
      <c r="N486" s="4">
        <f t="shared" si="23"/>
        <v>0.74384389731123624</v>
      </c>
    </row>
    <row r="487" spans="1:14" x14ac:dyDescent="0.45">
      <c r="A487" s="2">
        <v>45231</v>
      </c>
      <c r="B487" s="3">
        <v>3515.65</v>
      </c>
      <c r="D487" s="2">
        <v>45231</v>
      </c>
      <c r="E487" s="3">
        <v>2992.3</v>
      </c>
      <c r="G487" s="3">
        <v>1680000</v>
      </c>
      <c r="H487" s="3">
        <f t="shared" si="21"/>
        <v>5906292000</v>
      </c>
      <c r="J487" s="3">
        <v>7500000</v>
      </c>
      <c r="K487" s="3"/>
      <c r="L487" s="3">
        <f t="shared" si="22"/>
        <v>22442250000</v>
      </c>
      <c r="N487" s="4">
        <f t="shared" si="23"/>
        <v>0.73682264478828996</v>
      </c>
    </row>
    <row r="488" spans="1:14" x14ac:dyDescent="0.45">
      <c r="A488" s="2">
        <v>45230</v>
      </c>
      <c r="B488" s="3">
        <v>3801.65</v>
      </c>
      <c r="D488" s="2">
        <v>45230</v>
      </c>
      <c r="E488" s="3">
        <v>3056.25</v>
      </c>
      <c r="G488" s="3">
        <v>1680000</v>
      </c>
      <c r="H488" s="3">
        <f t="shared" si="21"/>
        <v>6386772000</v>
      </c>
      <c r="J488" s="3">
        <v>7500000</v>
      </c>
      <c r="K488" s="3"/>
      <c r="L488" s="3">
        <f t="shared" si="22"/>
        <v>22921875000</v>
      </c>
      <c r="N488" s="4">
        <f t="shared" si="23"/>
        <v>0.72136782004089972</v>
      </c>
    </row>
    <row r="489" spans="1:14" x14ac:dyDescent="0.45">
      <c r="A489" s="2">
        <v>45229</v>
      </c>
      <c r="B489" s="3">
        <v>3950</v>
      </c>
      <c r="D489" s="2">
        <v>45229</v>
      </c>
      <c r="E489" s="3">
        <v>2991.65</v>
      </c>
      <c r="G489" s="3">
        <v>1680000</v>
      </c>
      <c r="H489" s="3">
        <f t="shared" si="21"/>
        <v>6636000000</v>
      </c>
      <c r="J489" s="3">
        <v>7500000</v>
      </c>
      <c r="K489" s="3"/>
      <c r="L489" s="3">
        <f t="shared" si="22"/>
        <v>22437375000</v>
      </c>
      <c r="N489" s="4">
        <f t="shared" si="23"/>
        <v>0.70424347767954143</v>
      </c>
    </row>
    <row r="490" spans="1:14" x14ac:dyDescent="0.45">
      <c r="A490" s="2">
        <v>45226</v>
      </c>
      <c r="B490" s="3">
        <v>3768.65</v>
      </c>
      <c r="D490" s="2">
        <v>45226</v>
      </c>
      <c r="E490" s="3">
        <v>2927.25</v>
      </c>
      <c r="G490" s="3">
        <v>1680000</v>
      </c>
      <c r="H490" s="3">
        <f t="shared" si="21"/>
        <v>6331332000</v>
      </c>
      <c r="J490" s="3">
        <v>7500000</v>
      </c>
      <c r="K490" s="3"/>
      <c r="L490" s="3">
        <f t="shared" si="22"/>
        <v>21954375000</v>
      </c>
      <c r="N490" s="4">
        <f t="shared" si="23"/>
        <v>0.7116141088051926</v>
      </c>
    </row>
    <row r="491" spans="1:14" x14ac:dyDescent="0.45">
      <c r="A491" s="2">
        <v>45225</v>
      </c>
      <c r="B491" s="3">
        <v>3805</v>
      </c>
      <c r="D491" s="2">
        <v>45225</v>
      </c>
      <c r="E491" s="3">
        <v>2872.3</v>
      </c>
      <c r="G491" s="3">
        <v>1680000</v>
      </c>
      <c r="H491" s="3">
        <f t="shared" si="21"/>
        <v>6392400000</v>
      </c>
      <c r="J491" s="3">
        <v>7500000</v>
      </c>
      <c r="K491" s="3"/>
      <c r="L491" s="3">
        <f t="shared" si="22"/>
        <v>21542250000</v>
      </c>
      <c r="N491" s="4">
        <f t="shared" si="23"/>
        <v>0.70326219406050905</v>
      </c>
    </row>
    <row r="492" spans="1:14" x14ac:dyDescent="0.45">
      <c r="A492" s="2">
        <v>45224</v>
      </c>
      <c r="B492" s="3">
        <v>3736.45</v>
      </c>
      <c r="D492" s="2">
        <v>45224</v>
      </c>
      <c r="E492" s="3">
        <v>2866.9</v>
      </c>
      <c r="G492" s="3">
        <v>1680000</v>
      </c>
      <c r="H492" s="3">
        <f t="shared" si="21"/>
        <v>6277236000</v>
      </c>
      <c r="J492" s="3">
        <v>7500000</v>
      </c>
      <c r="K492" s="3"/>
      <c r="L492" s="3">
        <f t="shared" si="22"/>
        <v>21501750000</v>
      </c>
      <c r="N492" s="4">
        <f t="shared" si="23"/>
        <v>0.70805929749904073</v>
      </c>
    </row>
    <row r="493" spans="1:14" x14ac:dyDescent="0.45">
      <c r="A493" s="2">
        <v>45222</v>
      </c>
      <c r="B493" s="3">
        <v>3739.05</v>
      </c>
      <c r="D493" s="2">
        <v>45222</v>
      </c>
      <c r="E493" s="3">
        <v>2981.25</v>
      </c>
      <c r="G493" s="3">
        <v>1680000</v>
      </c>
      <c r="H493" s="3">
        <f t="shared" si="21"/>
        <v>6281604000</v>
      </c>
      <c r="J493" s="3">
        <v>7500000</v>
      </c>
      <c r="K493" s="3"/>
      <c r="L493" s="3">
        <f t="shared" si="22"/>
        <v>22359375000</v>
      </c>
      <c r="N493" s="4">
        <f t="shared" si="23"/>
        <v>0.71906173584905653</v>
      </c>
    </row>
    <row r="494" spans="1:14" x14ac:dyDescent="0.45">
      <c r="A494" s="2">
        <v>45219</v>
      </c>
      <c r="B494" s="3">
        <v>3739.4</v>
      </c>
      <c r="D494" s="2">
        <v>45219</v>
      </c>
      <c r="E494" s="3">
        <v>3085.55</v>
      </c>
      <c r="G494" s="3">
        <v>1680000</v>
      </c>
      <c r="H494" s="3">
        <f t="shared" si="21"/>
        <v>6282192000</v>
      </c>
      <c r="J494" s="3">
        <v>7500000</v>
      </c>
      <c r="K494" s="3"/>
      <c r="L494" s="3">
        <f t="shared" si="22"/>
        <v>23141625000</v>
      </c>
      <c r="N494" s="4">
        <f t="shared" si="23"/>
        <v>0.72853280614477156</v>
      </c>
    </row>
    <row r="495" spans="1:14" x14ac:dyDescent="0.45">
      <c r="A495" s="2">
        <v>45218</v>
      </c>
      <c r="B495" s="3">
        <v>3640</v>
      </c>
      <c r="D495" s="2">
        <v>45218</v>
      </c>
      <c r="E495" s="3">
        <v>3230.5</v>
      </c>
      <c r="G495" s="3">
        <v>1680000</v>
      </c>
      <c r="H495" s="3">
        <f t="shared" si="21"/>
        <v>6115200000</v>
      </c>
      <c r="J495" s="3">
        <v>7500000</v>
      </c>
      <c r="K495" s="3"/>
      <c r="L495" s="3">
        <f t="shared" si="22"/>
        <v>24228750000</v>
      </c>
      <c r="N495" s="4">
        <f t="shared" si="23"/>
        <v>0.74760563380281697</v>
      </c>
    </row>
    <row r="496" spans="1:14" x14ac:dyDescent="0.45">
      <c r="A496" s="2">
        <v>45217</v>
      </c>
      <c r="B496" s="3">
        <v>3700</v>
      </c>
      <c r="D496" s="2">
        <v>45217</v>
      </c>
      <c r="E496" s="3">
        <v>3078.4</v>
      </c>
      <c r="G496" s="3">
        <v>1680000</v>
      </c>
      <c r="H496" s="3">
        <f t="shared" si="21"/>
        <v>6216000000</v>
      </c>
      <c r="J496" s="3">
        <v>7500000</v>
      </c>
      <c r="K496" s="3"/>
      <c r="L496" s="3">
        <f t="shared" si="22"/>
        <v>23088000000</v>
      </c>
      <c r="N496" s="4">
        <f t="shared" si="23"/>
        <v>0.73076923076923084</v>
      </c>
    </row>
    <row r="497" spans="1:14" x14ac:dyDescent="0.45">
      <c r="A497" s="2">
        <v>45216</v>
      </c>
      <c r="B497" s="3">
        <v>3595.15</v>
      </c>
      <c r="D497" s="2">
        <v>45216</v>
      </c>
      <c r="E497" s="3">
        <v>3162.8</v>
      </c>
      <c r="G497" s="3">
        <v>1680000</v>
      </c>
      <c r="H497" s="3">
        <f t="shared" si="21"/>
        <v>6039852000</v>
      </c>
      <c r="J497" s="3">
        <v>7500000</v>
      </c>
      <c r="K497" s="3"/>
      <c r="L497" s="3">
        <f t="shared" si="22"/>
        <v>23721000000</v>
      </c>
      <c r="N497" s="4">
        <f t="shared" si="23"/>
        <v>0.7453795371190084</v>
      </c>
    </row>
    <row r="498" spans="1:14" x14ac:dyDescent="0.45">
      <c r="A498" s="2">
        <v>45215</v>
      </c>
      <c r="B498" s="3">
        <v>3750</v>
      </c>
      <c r="D498" s="2">
        <v>45215</v>
      </c>
      <c r="E498" s="3">
        <v>3145.1</v>
      </c>
      <c r="G498" s="3">
        <v>1680000</v>
      </c>
      <c r="H498" s="3">
        <f t="shared" si="21"/>
        <v>6300000000</v>
      </c>
      <c r="J498" s="3">
        <v>7500000</v>
      </c>
      <c r="K498" s="3"/>
      <c r="L498" s="3">
        <f t="shared" si="22"/>
        <v>23588250000</v>
      </c>
      <c r="N498" s="4">
        <f t="shared" si="23"/>
        <v>0.73291787224571558</v>
      </c>
    </row>
    <row r="499" spans="1:14" x14ac:dyDescent="0.45">
      <c r="A499" s="2">
        <v>45212</v>
      </c>
      <c r="B499" s="3">
        <v>3630.45</v>
      </c>
      <c r="D499" s="2">
        <v>45212</v>
      </c>
      <c r="E499" s="3">
        <v>3160.55</v>
      </c>
      <c r="G499" s="3">
        <v>1680000</v>
      </c>
      <c r="H499" s="3">
        <f t="shared" si="21"/>
        <v>6099156000</v>
      </c>
      <c r="J499" s="3">
        <v>7500000</v>
      </c>
      <c r="K499" s="3"/>
      <c r="L499" s="3">
        <f t="shared" si="22"/>
        <v>23704125000</v>
      </c>
      <c r="N499" s="4">
        <f t="shared" si="23"/>
        <v>0.74269642941893022</v>
      </c>
    </row>
    <row r="500" spans="1:14" x14ac:dyDescent="0.45">
      <c r="A500" s="2">
        <v>45211</v>
      </c>
      <c r="B500" s="3">
        <v>3640</v>
      </c>
      <c r="D500" s="2">
        <v>45211</v>
      </c>
      <c r="E500" s="3">
        <v>3181.45</v>
      </c>
      <c r="G500" s="3">
        <v>1680000</v>
      </c>
      <c r="H500" s="3">
        <f t="shared" si="21"/>
        <v>6115200000</v>
      </c>
      <c r="J500" s="3">
        <v>7500000</v>
      </c>
      <c r="K500" s="3"/>
      <c r="L500" s="3">
        <f t="shared" si="22"/>
        <v>23860875000</v>
      </c>
      <c r="N500" s="4">
        <f t="shared" si="23"/>
        <v>0.74371434408838732</v>
      </c>
    </row>
    <row r="501" spans="1:14" x14ac:dyDescent="0.45">
      <c r="A501" s="2">
        <v>45210</v>
      </c>
      <c r="B501" s="3">
        <v>3671.45</v>
      </c>
      <c r="D501" s="2">
        <v>45210</v>
      </c>
      <c r="E501" s="3">
        <v>3092.3</v>
      </c>
      <c r="G501" s="3">
        <v>1680000</v>
      </c>
      <c r="H501" s="3">
        <f t="shared" si="21"/>
        <v>6168036000</v>
      </c>
      <c r="J501" s="3">
        <v>7500000</v>
      </c>
      <c r="K501" s="3"/>
      <c r="L501" s="3">
        <f t="shared" si="22"/>
        <v>23192250000</v>
      </c>
      <c r="N501" s="4">
        <f t="shared" si="23"/>
        <v>0.73404753743168516</v>
      </c>
    </row>
    <row r="502" spans="1:14" x14ac:dyDescent="0.45">
      <c r="A502" s="2">
        <v>45209</v>
      </c>
      <c r="B502" s="3">
        <v>3772.55</v>
      </c>
      <c r="D502" s="2">
        <v>45209</v>
      </c>
      <c r="E502" s="3">
        <v>3059.5</v>
      </c>
      <c r="G502" s="3">
        <v>1680000</v>
      </c>
      <c r="H502" s="3">
        <f t="shared" si="21"/>
        <v>6337884000</v>
      </c>
      <c r="J502" s="3">
        <v>7500000</v>
      </c>
      <c r="K502" s="3"/>
      <c r="L502" s="3">
        <f t="shared" si="22"/>
        <v>22946250000</v>
      </c>
      <c r="N502" s="4">
        <f t="shared" si="23"/>
        <v>0.72379434548128785</v>
      </c>
    </row>
    <row r="503" spans="1:14" x14ac:dyDescent="0.45">
      <c r="A503" s="2">
        <v>45208</v>
      </c>
      <c r="B503" s="3">
        <v>3746.9</v>
      </c>
      <c r="D503" s="2">
        <v>45208</v>
      </c>
      <c r="E503" s="3">
        <v>2939.95</v>
      </c>
      <c r="G503" s="3">
        <v>1680000</v>
      </c>
      <c r="H503" s="3">
        <f t="shared" si="21"/>
        <v>6294792000</v>
      </c>
      <c r="J503" s="3">
        <v>7500000</v>
      </c>
      <c r="K503" s="3"/>
      <c r="L503" s="3">
        <f t="shared" si="22"/>
        <v>22049625000</v>
      </c>
      <c r="N503" s="4">
        <f t="shared" si="23"/>
        <v>0.71451704960968732</v>
      </c>
    </row>
    <row r="504" spans="1:14" x14ac:dyDescent="0.45">
      <c r="A504" s="2">
        <v>45205</v>
      </c>
      <c r="B504" s="3">
        <v>3583.75</v>
      </c>
      <c r="D504" s="2">
        <v>45205</v>
      </c>
      <c r="E504" s="3">
        <v>3003.35</v>
      </c>
      <c r="G504" s="3">
        <v>1680000</v>
      </c>
      <c r="H504" s="3">
        <f t="shared" si="21"/>
        <v>6020700000</v>
      </c>
      <c r="J504" s="3">
        <v>7500000</v>
      </c>
      <c r="K504" s="3"/>
      <c r="L504" s="3">
        <f t="shared" si="22"/>
        <v>22525125000</v>
      </c>
      <c r="N504" s="4">
        <f t="shared" si="23"/>
        <v>0.73271180515091483</v>
      </c>
    </row>
    <row r="505" spans="1:14" x14ac:dyDescent="0.45">
      <c r="A505" s="2">
        <v>45204</v>
      </c>
      <c r="B505" s="3">
        <v>3600</v>
      </c>
      <c r="D505" s="2">
        <v>45204</v>
      </c>
      <c r="E505" s="3">
        <v>3026.3</v>
      </c>
      <c r="G505" s="3">
        <v>1680000</v>
      </c>
      <c r="H505" s="3">
        <f t="shared" si="21"/>
        <v>6048000000</v>
      </c>
      <c r="J505" s="3">
        <v>7500000</v>
      </c>
      <c r="K505" s="3"/>
      <c r="L505" s="3">
        <f t="shared" si="22"/>
        <v>22697250000</v>
      </c>
      <c r="N505" s="4">
        <f t="shared" si="23"/>
        <v>0.7335360010573968</v>
      </c>
    </row>
    <row r="506" spans="1:14" x14ac:dyDescent="0.45">
      <c r="A506" s="2">
        <v>45203</v>
      </c>
      <c r="B506" s="3">
        <v>3605.1</v>
      </c>
      <c r="D506" s="2">
        <v>45203</v>
      </c>
      <c r="E506" s="3">
        <v>3006.9</v>
      </c>
      <c r="G506" s="3">
        <v>1680000</v>
      </c>
      <c r="H506" s="3">
        <f t="shared" si="21"/>
        <v>6056568000</v>
      </c>
      <c r="J506" s="3">
        <v>7500000</v>
      </c>
      <c r="K506" s="3"/>
      <c r="L506" s="3">
        <f t="shared" si="22"/>
        <v>22551750000</v>
      </c>
      <c r="N506" s="4">
        <f t="shared" si="23"/>
        <v>0.73143689514117527</v>
      </c>
    </row>
    <row r="507" spans="1:14" x14ac:dyDescent="0.45">
      <c r="A507" s="2">
        <v>45202</v>
      </c>
      <c r="B507" s="3">
        <v>3682.3</v>
      </c>
      <c r="D507" s="2">
        <v>45202</v>
      </c>
      <c r="E507" s="3">
        <v>3040.3</v>
      </c>
      <c r="G507" s="3">
        <v>1680000</v>
      </c>
      <c r="H507" s="3">
        <f t="shared" si="21"/>
        <v>6186264000</v>
      </c>
      <c r="J507" s="3">
        <v>7500000</v>
      </c>
      <c r="K507" s="3"/>
      <c r="L507" s="3">
        <f t="shared" si="22"/>
        <v>22802250000</v>
      </c>
      <c r="N507" s="4">
        <f t="shared" si="23"/>
        <v>0.72869940466401339</v>
      </c>
    </row>
    <row r="508" spans="1:14" x14ac:dyDescent="0.45">
      <c r="A508" s="2">
        <v>45198</v>
      </c>
      <c r="B508" s="3">
        <v>3717.8</v>
      </c>
      <c r="D508" s="2">
        <v>45198</v>
      </c>
      <c r="E508" s="3">
        <v>2995.8</v>
      </c>
      <c r="G508" s="3">
        <v>1680000</v>
      </c>
      <c r="H508" s="3">
        <f t="shared" si="21"/>
        <v>6245904000</v>
      </c>
      <c r="J508" s="3">
        <v>7500000</v>
      </c>
      <c r="K508" s="3"/>
      <c r="L508" s="3">
        <f t="shared" si="22"/>
        <v>22468500000</v>
      </c>
      <c r="N508" s="4">
        <f t="shared" si="23"/>
        <v>0.72201508778957213</v>
      </c>
    </row>
    <row r="509" spans="1:14" x14ac:dyDescent="0.45">
      <c r="A509" s="2">
        <v>45197</v>
      </c>
      <c r="B509" s="3">
        <v>3486.55</v>
      </c>
      <c r="D509" s="2">
        <v>45197</v>
      </c>
      <c r="E509" s="3">
        <v>2951.15</v>
      </c>
      <c r="G509" s="3">
        <v>1680000</v>
      </c>
      <c r="H509" s="3">
        <f t="shared" si="21"/>
        <v>5857404000</v>
      </c>
      <c r="J509" s="3">
        <v>7500000</v>
      </c>
      <c r="K509" s="3"/>
      <c r="L509" s="3">
        <f t="shared" si="22"/>
        <v>22133625000</v>
      </c>
      <c r="N509" s="4">
        <f t="shared" si="23"/>
        <v>0.73536174033851209</v>
      </c>
    </row>
    <row r="510" spans="1:14" x14ac:dyDescent="0.45">
      <c r="A510" s="2">
        <v>45196</v>
      </c>
      <c r="B510" s="3">
        <v>3455</v>
      </c>
      <c r="D510" s="2">
        <v>45196</v>
      </c>
      <c r="E510" s="3">
        <v>2931.6</v>
      </c>
      <c r="G510" s="3">
        <v>1680000</v>
      </c>
      <c r="H510" s="3">
        <f t="shared" si="21"/>
        <v>5804400000</v>
      </c>
      <c r="J510" s="3">
        <v>7500000</v>
      </c>
      <c r="K510" s="3"/>
      <c r="L510" s="3">
        <f t="shared" si="22"/>
        <v>21987000000</v>
      </c>
      <c r="N510" s="4">
        <f t="shared" si="23"/>
        <v>0.73600764087870107</v>
      </c>
    </row>
    <row r="511" spans="1:14" x14ac:dyDescent="0.45">
      <c r="A511" s="2">
        <v>45195</v>
      </c>
      <c r="B511" s="3">
        <v>3494.05</v>
      </c>
      <c r="D511" s="2">
        <v>45195</v>
      </c>
      <c r="E511" s="3">
        <v>2860.55</v>
      </c>
      <c r="G511" s="3">
        <v>1680000</v>
      </c>
      <c r="H511" s="3">
        <f t="shared" si="21"/>
        <v>5870004000</v>
      </c>
      <c r="J511" s="3">
        <v>7500000</v>
      </c>
      <c r="K511" s="3"/>
      <c r="L511" s="3">
        <f t="shared" si="22"/>
        <v>21454125000</v>
      </c>
      <c r="N511" s="4">
        <f t="shared" si="23"/>
        <v>0.72639275663770952</v>
      </c>
    </row>
    <row r="512" spans="1:14" x14ac:dyDescent="0.45">
      <c r="A512" s="2">
        <v>45194</v>
      </c>
      <c r="B512" s="3">
        <v>3438.45</v>
      </c>
      <c r="D512" s="2">
        <v>45194</v>
      </c>
      <c r="E512" s="3">
        <v>2945.45</v>
      </c>
      <c r="G512" s="3">
        <v>1680000</v>
      </c>
      <c r="H512" s="3">
        <f t="shared" si="21"/>
        <v>5776596000</v>
      </c>
      <c r="J512" s="3">
        <v>7500000</v>
      </c>
      <c r="K512" s="3"/>
      <c r="L512" s="3">
        <f t="shared" si="22"/>
        <v>22090875000</v>
      </c>
      <c r="N512" s="4">
        <f t="shared" si="23"/>
        <v>0.73850759646234021</v>
      </c>
    </row>
    <row r="513" spans="1:14" x14ac:dyDescent="0.45">
      <c r="A513" s="2">
        <v>45191</v>
      </c>
      <c r="B513" s="3">
        <v>3420</v>
      </c>
      <c r="D513" s="2">
        <v>45191</v>
      </c>
      <c r="E513" s="3">
        <v>3079.4</v>
      </c>
      <c r="G513" s="3">
        <v>1680000</v>
      </c>
      <c r="H513" s="3">
        <f t="shared" si="21"/>
        <v>5745600000</v>
      </c>
      <c r="J513" s="3">
        <v>7500000</v>
      </c>
      <c r="K513" s="3"/>
      <c r="L513" s="3">
        <f t="shared" si="22"/>
        <v>23095500000</v>
      </c>
      <c r="N513" s="4">
        <f t="shared" si="23"/>
        <v>0.751224264467104</v>
      </c>
    </row>
    <row r="514" spans="1:14" x14ac:dyDescent="0.45">
      <c r="A514" s="2">
        <v>45190</v>
      </c>
      <c r="B514" s="3">
        <v>3445.8</v>
      </c>
      <c r="D514" s="2">
        <v>45190</v>
      </c>
      <c r="E514" s="3">
        <v>3133.4</v>
      </c>
      <c r="G514" s="3">
        <v>1680000</v>
      </c>
      <c r="H514" s="3">
        <f t="shared" si="21"/>
        <v>5788944000</v>
      </c>
      <c r="J514" s="3">
        <v>7500000</v>
      </c>
      <c r="K514" s="3"/>
      <c r="L514" s="3">
        <f t="shared" si="22"/>
        <v>23500500000</v>
      </c>
      <c r="N514" s="4">
        <f t="shared" si="23"/>
        <v>0.75366719857024322</v>
      </c>
    </row>
    <row r="515" spans="1:14" x14ac:dyDescent="0.45">
      <c r="A515" s="2">
        <v>45189</v>
      </c>
      <c r="B515" s="3">
        <v>3459.15</v>
      </c>
      <c r="D515" s="2">
        <v>45189</v>
      </c>
      <c r="E515" s="3">
        <v>2747.75</v>
      </c>
      <c r="G515" s="3">
        <v>1680000</v>
      </c>
      <c r="H515" s="3">
        <f t="shared" ref="H515:H578" si="24">+G515*B515</f>
        <v>5811372000</v>
      </c>
      <c r="J515" s="3">
        <v>7500000</v>
      </c>
      <c r="K515" s="3"/>
      <c r="L515" s="3">
        <f t="shared" ref="L515:L578" si="25">+(J515*E515)</f>
        <v>20608125000</v>
      </c>
      <c r="N515" s="4">
        <f t="shared" ref="N515:N578" si="26">1- (H515/L515)</f>
        <v>0.71800578655263392</v>
      </c>
    </row>
    <row r="516" spans="1:14" x14ac:dyDescent="0.45">
      <c r="A516" s="2">
        <v>45187</v>
      </c>
      <c r="B516" s="3">
        <v>3460</v>
      </c>
      <c r="D516" s="2">
        <v>45187</v>
      </c>
      <c r="E516" s="3">
        <v>2725.95</v>
      </c>
      <c r="G516" s="3">
        <v>1680000</v>
      </c>
      <c r="H516" s="3">
        <f t="shared" si="24"/>
        <v>5812800000</v>
      </c>
      <c r="J516" s="3">
        <v>7500000</v>
      </c>
      <c r="K516" s="3"/>
      <c r="L516" s="3">
        <f t="shared" si="25"/>
        <v>20444625000</v>
      </c>
      <c r="N516" s="4">
        <f t="shared" si="26"/>
        <v>0.71568077184100953</v>
      </c>
    </row>
    <row r="517" spans="1:14" x14ac:dyDescent="0.45">
      <c r="A517" s="2">
        <v>45184</v>
      </c>
      <c r="B517" s="3">
        <v>3411</v>
      </c>
      <c r="D517" s="2">
        <v>45184</v>
      </c>
      <c r="E517" s="3">
        <v>2670.15</v>
      </c>
      <c r="G517" s="3">
        <v>1680000</v>
      </c>
      <c r="H517" s="3">
        <f t="shared" si="24"/>
        <v>5730480000</v>
      </c>
      <c r="J517" s="3">
        <v>7500000</v>
      </c>
      <c r="K517" s="3"/>
      <c r="L517" s="3">
        <f t="shared" si="25"/>
        <v>20026125000</v>
      </c>
      <c r="N517" s="4">
        <f t="shared" si="26"/>
        <v>0.71384978372001573</v>
      </c>
    </row>
    <row r="518" spans="1:14" x14ac:dyDescent="0.45">
      <c r="A518" s="2">
        <v>45183</v>
      </c>
      <c r="B518" s="3">
        <v>3291.05</v>
      </c>
      <c r="D518" s="2">
        <v>45183</v>
      </c>
      <c r="E518" s="3">
        <v>2705.9</v>
      </c>
      <c r="G518" s="3">
        <v>1680000</v>
      </c>
      <c r="H518" s="3">
        <f t="shared" si="24"/>
        <v>5528964000</v>
      </c>
      <c r="J518" s="3">
        <v>7500000</v>
      </c>
      <c r="K518" s="3"/>
      <c r="L518" s="3">
        <f t="shared" si="25"/>
        <v>20294250000</v>
      </c>
      <c r="N518" s="4">
        <f t="shared" si="26"/>
        <v>0.7275600724343102</v>
      </c>
    </row>
    <row r="519" spans="1:14" x14ac:dyDescent="0.45">
      <c r="A519" s="2">
        <v>45182</v>
      </c>
      <c r="B519" s="3">
        <v>3263.65</v>
      </c>
      <c r="D519" s="2">
        <v>45182</v>
      </c>
      <c r="E519" s="3">
        <v>2704.7</v>
      </c>
      <c r="G519" s="3">
        <v>1680000</v>
      </c>
      <c r="H519" s="3">
        <f t="shared" si="24"/>
        <v>5482932000</v>
      </c>
      <c r="J519" s="3">
        <v>7500000</v>
      </c>
      <c r="K519" s="3"/>
      <c r="L519" s="3">
        <f t="shared" si="25"/>
        <v>20285250000</v>
      </c>
      <c r="N519" s="4">
        <f t="shared" si="26"/>
        <v>0.72970843346766734</v>
      </c>
    </row>
    <row r="520" spans="1:14" x14ac:dyDescent="0.45">
      <c r="A520" s="2">
        <v>45181</v>
      </c>
      <c r="B520" s="3">
        <v>3108.7</v>
      </c>
      <c r="D520" s="2">
        <v>45181</v>
      </c>
      <c r="E520" s="3">
        <v>2737</v>
      </c>
      <c r="G520" s="3">
        <v>1680000</v>
      </c>
      <c r="H520" s="3">
        <f t="shared" si="24"/>
        <v>5222616000</v>
      </c>
      <c r="J520" s="3">
        <v>7500000</v>
      </c>
      <c r="K520" s="3"/>
      <c r="L520" s="3">
        <f t="shared" si="25"/>
        <v>20527500000</v>
      </c>
      <c r="N520" s="4">
        <f t="shared" si="26"/>
        <v>0.74557953964194379</v>
      </c>
    </row>
    <row r="521" spans="1:14" x14ac:dyDescent="0.45">
      <c r="A521" s="2">
        <v>45180</v>
      </c>
      <c r="B521" s="3">
        <v>2900.95</v>
      </c>
      <c r="D521" s="2">
        <v>45180</v>
      </c>
      <c r="E521" s="3">
        <v>2767.2</v>
      </c>
      <c r="G521" s="3">
        <v>1680000</v>
      </c>
      <c r="H521" s="3">
        <f t="shared" si="24"/>
        <v>4873596000</v>
      </c>
      <c r="J521" s="3">
        <v>7500000</v>
      </c>
      <c r="K521" s="3"/>
      <c r="L521" s="3">
        <f t="shared" si="25"/>
        <v>20754000000</v>
      </c>
      <c r="N521" s="4">
        <f t="shared" si="26"/>
        <v>0.7651731714368315</v>
      </c>
    </row>
    <row r="522" spans="1:14" x14ac:dyDescent="0.45">
      <c r="A522" s="2">
        <v>45177</v>
      </c>
      <c r="B522" s="3">
        <v>2888</v>
      </c>
      <c r="D522" s="2">
        <v>45177</v>
      </c>
      <c r="E522" s="3">
        <v>2802.15</v>
      </c>
      <c r="G522" s="3">
        <v>1680000</v>
      </c>
      <c r="H522" s="3">
        <f t="shared" si="24"/>
        <v>4851840000</v>
      </c>
      <c r="J522" s="3">
        <v>7500000</v>
      </c>
      <c r="K522" s="3"/>
      <c r="L522" s="3">
        <f t="shared" si="25"/>
        <v>21016125000</v>
      </c>
      <c r="N522" s="4">
        <f t="shared" si="26"/>
        <v>0.76913726959655981</v>
      </c>
    </row>
    <row r="523" spans="1:14" x14ac:dyDescent="0.45">
      <c r="A523" s="2">
        <v>45176</v>
      </c>
      <c r="B523" s="1">
        <v>2891</v>
      </c>
      <c r="D523" s="2">
        <v>45176</v>
      </c>
      <c r="E523" s="3">
        <v>2828.7</v>
      </c>
      <c r="G523" s="3">
        <v>1680000</v>
      </c>
      <c r="H523" s="3">
        <f t="shared" si="24"/>
        <v>4856880000</v>
      </c>
      <c r="J523" s="3">
        <v>7500000</v>
      </c>
      <c r="K523" s="3"/>
      <c r="L523" s="3">
        <f t="shared" si="25"/>
        <v>21215250000</v>
      </c>
      <c r="N523" s="4">
        <f t="shared" si="26"/>
        <v>0.77106656768126702</v>
      </c>
    </row>
    <row r="524" spans="1:14" x14ac:dyDescent="0.45">
      <c r="A524" s="2">
        <v>45175</v>
      </c>
      <c r="B524" s="3">
        <v>2862.7</v>
      </c>
      <c r="D524" s="2">
        <v>45175</v>
      </c>
      <c r="E524" s="3">
        <v>2830.9</v>
      </c>
      <c r="G524" s="3">
        <v>1680000</v>
      </c>
      <c r="H524" s="3">
        <f t="shared" si="24"/>
        <v>4809336000</v>
      </c>
      <c r="J524" s="3">
        <v>7500000</v>
      </c>
      <c r="K524" s="3"/>
      <c r="L524" s="3">
        <f t="shared" si="25"/>
        <v>21231750000</v>
      </c>
      <c r="N524" s="4">
        <f t="shared" si="26"/>
        <v>0.77348376841287225</v>
      </c>
    </row>
    <row r="525" spans="1:14" x14ac:dyDescent="0.45">
      <c r="A525" s="2">
        <v>45174</v>
      </c>
      <c r="B525" s="1">
        <v>2743.2</v>
      </c>
      <c r="D525" s="2">
        <v>45174</v>
      </c>
      <c r="E525" s="3">
        <v>2766.2</v>
      </c>
      <c r="G525" s="3">
        <v>1680000</v>
      </c>
      <c r="H525" s="3">
        <f t="shared" si="24"/>
        <v>4608576000</v>
      </c>
      <c r="J525" s="3">
        <v>7500000</v>
      </c>
      <c r="K525" s="3"/>
      <c r="L525" s="3">
        <f t="shared" si="25"/>
        <v>20746500000</v>
      </c>
      <c r="N525" s="4">
        <f t="shared" si="26"/>
        <v>0.77786248282842885</v>
      </c>
    </row>
    <row r="526" spans="1:14" x14ac:dyDescent="0.45">
      <c r="A526" s="2">
        <v>45173</v>
      </c>
      <c r="B526" s="1">
        <v>2709</v>
      </c>
      <c r="D526" s="2">
        <v>45173</v>
      </c>
      <c r="E526" s="3">
        <v>2780.7</v>
      </c>
      <c r="G526" s="3">
        <v>1680000</v>
      </c>
      <c r="H526" s="3">
        <f t="shared" si="24"/>
        <v>4551120000</v>
      </c>
      <c r="J526" s="3">
        <v>7500000</v>
      </c>
      <c r="K526" s="3"/>
      <c r="L526" s="3">
        <f t="shared" si="25"/>
        <v>20855250000</v>
      </c>
      <c r="N526" s="4">
        <f t="shared" si="26"/>
        <v>0.78177581184593814</v>
      </c>
    </row>
    <row r="527" spans="1:14" x14ac:dyDescent="0.45">
      <c r="A527" s="2">
        <v>45170</v>
      </c>
      <c r="B527" s="1">
        <v>2710.2</v>
      </c>
      <c r="D527" s="2">
        <v>45170</v>
      </c>
      <c r="E527" s="3">
        <v>2740.25</v>
      </c>
      <c r="G527" s="3">
        <v>1680000</v>
      </c>
      <c r="H527" s="3">
        <f t="shared" si="24"/>
        <v>4553136000</v>
      </c>
      <c r="J527" s="3">
        <v>7500000</v>
      </c>
      <c r="K527" s="3"/>
      <c r="L527" s="3">
        <f t="shared" si="25"/>
        <v>20551875000</v>
      </c>
      <c r="N527" s="4">
        <f t="shared" si="26"/>
        <v>0.77845641821001732</v>
      </c>
    </row>
    <row r="528" spans="1:14" x14ac:dyDescent="0.45">
      <c r="A528" s="2">
        <v>45169</v>
      </c>
      <c r="B528" s="1">
        <v>2775.45</v>
      </c>
      <c r="D528" s="2">
        <v>45169</v>
      </c>
      <c r="E528" s="3">
        <v>2796.35</v>
      </c>
      <c r="G528" s="3">
        <v>1680000</v>
      </c>
      <c r="H528" s="3">
        <f t="shared" si="24"/>
        <v>4662756000</v>
      </c>
      <c r="J528" s="3">
        <v>7500000</v>
      </c>
      <c r="K528" s="3"/>
      <c r="L528" s="3">
        <f t="shared" si="25"/>
        <v>20972625000</v>
      </c>
      <c r="N528" s="4">
        <f t="shared" si="26"/>
        <v>0.77767418241636421</v>
      </c>
    </row>
    <row r="529" spans="1:14" x14ac:dyDescent="0.45">
      <c r="A529" s="2">
        <v>45168</v>
      </c>
      <c r="B529" s="1">
        <v>2744.3</v>
      </c>
      <c r="D529" s="2">
        <v>45168</v>
      </c>
      <c r="E529" s="3">
        <v>2790.25</v>
      </c>
      <c r="G529" s="3">
        <v>1680000</v>
      </c>
      <c r="H529" s="3">
        <f t="shared" si="24"/>
        <v>4610424000</v>
      </c>
      <c r="J529" s="3">
        <v>7500000</v>
      </c>
      <c r="K529" s="3"/>
      <c r="L529" s="3">
        <f t="shared" si="25"/>
        <v>20926875000</v>
      </c>
      <c r="N529" s="4">
        <f t="shared" si="26"/>
        <v>0.7796888450855658</v>
      </c>
    </row>
    <row r="530" spans="1:14" x14ac:dyDescent="0.45">
      <c r="A530" s="2">
        <v>45167</v>
      </c>
      <c r="B530" s="1">
        <v>2836.15</v>
      </c>
      <c r="D530" s="2">
        <v>45167</v>
      </c>
      <c r="E530" s="3">
        <v>2706.9</v>
      </c>
      <c r="G530" s="3">
        <v>1680000</v>
      </c>
      <c r="H530" s="3">
        <f t="shared" si="24"/>
        <v>4764732000</v>
      </c>
      <c r="J530" s="3">
        <v>7500000</v>
      </c>
      <c r="K530" s="3"/>
      <c r="L530" s="3">
        <f t="shared" si="25"/>
        <v>20301750000</v>
      </c>
      <c r="N530" s="4">
        <f t="shared" si="26"/>
        <v>0.7653043703129041</v>
      </c>
    </row>
    <row r="531" spans="1:14" x14ac:dyDescent="0.45">
      <c r="A531" s="2">
        <v>45166</v>
      </c>
      <c r="B531" s="1">
        <v>2860.85</v>
      </c>
      <c r="D531" s="2">
        <v>45166</v>
      </c>
      <c r="E531" s="3">
        <v>2700.75</v>
      </c>
      <c r="G531" s="3">
        <v>1680000</v>
      </c>
      <c r="H531" s="3">
        <f t="shared" si="24"/>
        <v>4806228000</v>
      </c>
      <c r="J531" s="3">
        <v>7500000</v>
      </c>
      <c r="K531" s="3"/>
      <c r="L531" s="3">
        <f t="shared" si="25"/>
        <v>20255625000</v>
      </c>
      <c r="N531" s="4">
        <f t="shared" si="26"/>
        <v>0.7627213181523651</v>
      </c>
    </row>
    <row r="532" spans="1:14" x14ac:dyDescent="0.45">
      <c r="A532" s="2">
        <v>45163</v>
      </c>
      <c r="B532" s="1">
        <v>2876</v>
      </c>
      <c r="D532" s="2">
        <v>45163</v>
      </c>
      <c r="E532" s="3">
        <v>2685.5</v>
      </c>
      <c r="G532" s="3">
        <v>1680000</v>
      </c>
      <c r="H532" s="3">
        <f t="shared" si="24"/>
        <v>4831680000</v>
      </c>
      <c r="J532" s="3">
        <v>7500000</v>
      </c>
      <c r="K532" s="3"/>
      <c r="L532" s="3">
        <f t="shared" si="25"/>
        <v>20141250000</v>
      </c>
      <c r="N532" s="4">
        <f t="shared" si="26"/>
        <v>0.76011022156023089</v>
      </c>
    </row>
    <row r="533" spans="1:14" x14ac:dyDescent="0.45">
      <c r="A533" s="2">
        <v>45162</v>
      </c>
      <c r="B533" s="1">
        <v>2900.35</v>
      </c>
      <c r="D533" s="2">
        <v>45162</v>
      </c>
      <c r="E533" s="3">
        <v>2628.6</v>
      </c>
      <c r="G533" s="3">
        <v>1680000</v>
      </c>
      <c r="H533" s="3">
        <f t="shared" si="24"/>
        <v>4872588000</v>
      </c>
      <c r="J533" s="3">
        <v>7500000</v>
      </c>
      <c r="K533" s="3"/>
      <c r="L533" s="3">
        <f t="shared" si="25"/>
        <v>19714500000</v>
      </c>
      <c r="N533" s="4">
        <f t="shared" si="26"/>
        <v>0.75284242562580839</v>
      </c>
    </row>
    <row r="534" spans="1:14" x14ac:dyDescent="0.45">
      <c r="A534" s="2">
        <v>45161</v>
      </c>
      <c r="B534" s="1">
        <v>2914.2</v>
      </c>
      <c r="D534" s="2">
        <v>45161</v>
      </c>
      <c r="E534" s="3">
        <v>2665.15</v>
      </c>
      <c r="G534" s="3">
        <v>1680000</v>
      </c>
      <c r="H534" s="3">
        <f t="shared" si="24"/>
        <v>4895856000</v>
      </c>
      <c r="J534" s="3">
        <v>7500000</v>
      </c>
      <c r="K534" s="3"/>
      <c r="L534" s="3">
        <f t="shared" si="25"/>
        <v>19988625000</v>
      </c>
      <c r="N534" s="4">
        <f t="shared" si="26"/>
        <v>0.75506789486520454</v>
      </c>
    </row>
    <row r="535" spans="1:14" x14ac:dyDescent="0.45">
      <c r="A535" s="2">
        <v>45160</v>
      </c>
      <c r="B535" s="1">
        <v>2914.3</v>
      </c>
      <c r="D535" s="2">
        <v>45160</v>
      </c>
      <c r="E535" s="3">
        <v>2638.75</v>
      </c>
      <c r="G535" s="3">
        <v>1680000</v>
      </c>
      <c r="H535" s="3">
        <f t="shared" si="24"/>
        <v>4896024000</v>
      </c>
      <c r="J535" s="3">
        <v>7500000</v>
      </c>
      <c r="K535" s="3"/>
      <c r="L535" s="3">
        <f t="shared" si="25"/>
        <v>19790625000</v>
      </c>
      <c r="N535" s="4">
        <f t="shared" si="26"/>
        <v>0.75260892468024632</v>
      </c>
    </row>
    <row r="536" spans="1:14" x14ac:dyDescent="0.45">
      <c r="A536" s="2">
        <v>45159</v>
      </c>
      <c r="B536" s="1">
        <v>2910</v>
      </c>
      <c r="D536" s="2">
        <v>45159</v>
      </c>
      <c r="E536" s="3">
        <v>2620.15</v>
      </c>
      <c r="G536" s="3">
        <v>1680000</v>
      </c>
      <c r="H536" s="3">
        <f t="shared" si="24"/>
        <v>4888800000</v>
      </c>
      <c r="J536" s="3">
        <v>7500000</v>
      </c>
      <c r="K536" s="3"/>
      <c r="L536" s="3">
        <f t="shared" si="25"/>
        <v>19651125000</v>
      </c>
      <c r="N536" s="4">
        <f t="shared" si="26"/>
        <v>0.75122034997996301</v>
      </c>
    </row>
    <row r="537" spans="1:14" x14ac:dyDescent="0.45">
      <c r="A537" s="2">
        <v>45156</v>
      </c>
      <c r="B537" s="1">
        <v>2861.95</v>
      </c>
      <c r="D537" s="2">
        <v>45156</v>
      </c>
      <c r="E537" s="3">
        <v>2717.1</v>
      </c>
      <c r="G537" s="3">
        <v>1680000</v>
      </c>
      <c r="H537" s="3">
        <f t="shared" si="24"/>
        <v>4808076000</v>
      </c>
      <c r="J537" s="3">
        <v>7500000</v>
      </c>
      <c r="K537" s="3"/>
      <c r="L537" s="3">
        <f t="shared" si="25"/>
        <v>20378250000</v>
      </c>
      <c r="N537" s="4">
        <f t="shared" si="26"/>
        <v>0.76405844466526807</v>
      </c>
    </row>
    <row r="538" spans="1:14" x14ac:dyDescent="0.45">
      <c r="A538" s="2">
        <v>45155</v>
      </c>
      <c r="B538" s="1">
        <v>2842.6</v>
      </c>
      <c r="D538" s="2">
        <v>45155</v>
      </c>
      <c r="E538" s="3">
        <v>2712.75</v>
      </c>
      <c r="G538" s="3">
        <v>1680000</v>
      </c>
      <c r="H538" s="3">
        <f t="shared" si="24"/>
        <v>4775568000</v>
      </c>
      <c r="J538" s="3">
        <v>7500000</v>
      </c>
      <c r="K538" s="3"/>
      <c r="L538" s="3">
        <f t="shared" si="25"/>
        <v>20345625000</v>
      </c>
      <c r="N538" s="4">
        <f t="shared" si="26"/>
        <v>0.76527789143857705</v>
      </c>
    </row>
    <row r="539" spans="1:14" x14ac:dyDescent="0.45">
      <c r="A539" s="2">
        <v>45154</v>
      </c>
      <c r="B539" s="1">
        <v>2803.6</v>
      </c>
      <c r="D539" s="2">
        <v>45154</v>
      </c>
      <c r="E539" s="3">
        <v>2656.5</v>
      </c>
      <c r="G539" s="3">
        <v>1680000</v>
      </c>
      <c r="H539" s="3">
        <f t="shared" si="24"/>
        <v>4710048000</v>
      </c>
      <c r="J539" s="3">
        <v>7500000</v>
      </c>
      <c r="K539" s="3"/>
      <c r="L539" s="3">
        <f t="shared" si="25"/>
        <v>19923750000</v>
      </c>
      <c r="N539" s="4">
        <f t="shared" si="26"/>
        <v>0.76359631093544134</v>
      </c>
    </row>
    <row r="540" spans="1:14" x14ac:dyDescent="0.45">
      <c r="A540" s="2">
        <v>45152</v>
      </c>
      <c r="B540" s="1">
        <v>2728.95</v>
      </c>
      <c r="D540" s="2">
        <v>45152</v>
      </c>
      <c r="E540" s="3">
        <v>2603.75</v>
      </c>
      <c r="G540" s="3">
        <v>1680000</v>
      </c>
      <c r="H540" s="3">
        <f t="shared" si="24"/>
        <v>4584636000</v>
      </c>
      <c r="J540" s="3">
        <v>7500000</v>
      </c>
      <c r="K540" s="3"/>
      <c r="L540" s="3">
        <f t="shared" si="25"/>
        <v>19528125000</v>
      </c>
      <c r="N540" s="4">
        <f t="shared" si="26"/>
        <v>0.76522907345175228</v>
      </c>
    </row>
    <row r="541" spans="1:14" x14ac:dyDescent="0.45">
      <c r="A541" s="2">
        <v>45149</v>
      </c>
      <c r="B541" s="1">
        <v>2773.65</v>
      </c>
      <c r="D541" s="2">
        <v>45149</v>
      </c>
      <c r="E541" s="3">
        <v>2634</v>
      </c>
      <c r="G541" s="3">
        <v>1680000</v>
      </c>
      <c r="H541" s="3">
        <f t="shared" si="24"/>
        <v>4659732000</v>
      </c>
      <c r="J541" s="3">
        <v>7500000</v>
      </c>
      <c r="K541" s="3"/>
      <c r="L541" s="3">
        <f t="shared" si="25"/>
        <v>19755000000</v>
      </c>
      <c r="N541" s="4">
        <f t="shared" si="26"/>
        <v>0.76412391799544421</v>
      </c>
    </row>
    <row r="542" spans="1:14" x14ac:dyDescent="0.45">
      <c r="A542" s="2">
        <v>45148</v>
      </c>
      <c r="B542" s="1">
        <v>2428.9</v>
      </c>
      <c r="D542" s="2">
        <v>45148</v>
      </c>
      <c r="E542" s="3">
        <v>2581.3000000000002</v>
      </c>
      <c r="G542" s="3">
        <v>1680000</v>
      </c>
      <c r="H542" s="3">
        <f t="shared" si="24"/>
        <v>4080552000</v>
      </c>
      <c r="J542" s="3">
        <v>7500000</v>
      </c>
      <c r="K542" s="3"/>
      <c r="L542" s="3">
        <f t="shared" si="25"/>
        <v>19359750000</v>
      </c>
      <c r="N542" s="4">
        <f t="shared" si="26"/>
        <v>0.78922496416534305</v>
      </c>
    </row>
    <row r="543" spans="1:14" x14ac:dyDescent="0.45">
      <c r="A543" s="2">
        <v>45147</v>
      </c>
      <c r="B543" s="1">
        <v>2462</v>
      </c>
      <c r="D543" s="2">
        <v>45147</v>
      </c>
      <c r="E543" s="3">
        <v>2581.1</v>
      </c>
      <c r="G543" s="3">
        <v>1680000</v>
      </c>
      <c r="H543" s="3">
        <f t="shared" si="24"/>
        <v>4136160000</v>
      </c>
      <c r="J543" s="3">
        <v>7500000</v>
      </c>
      <c r="K543" s="3"/>
      <c r="L543" s="3">
        <f t="shared" si="25"/>
        <v>19358250000</v>
      </c>
      <c r="N543" s="4">
        <f t="shared" si="26"/>
        <v>0.78633605826972996</v>
      </c>
    </row>
    <row r="544" spans="1:14" x14ac:dyDescent="0.45">
      <c r="A544" s="2">
        <v>45146</v>
      </c>
      <c r="B544" s="1">
        <v>2450</v>
      </c>
      <c r="D544" s="2">
        <v>45146</v>
      </c>
      <c r="E544" s="3">
        <v>2622.6</v>
      </c>
      <c r="G544" s="3">
        <v>1680000</v>
      </c>
      <c r="H544" s="3">
        <f t="shared" si="24"/>
        <v>4116000000</v>
      </c>
      <c r="J544" s="3">
        <v>7500000</v>
      </c>
      <c r="K544" s="3"/>
      <c r="L544" s="3">
        <f t="shared" si="25"/>
        <v>19669500000</v>
      </c>
      <c r="N544" s="4">
        <f t="shared" si="26"/>
        <v>0.79074201174407077</v>
      </c>
    </row>
    <row r="545" spans="1:14" x14ac:dyDescent="0.45">
      <c r="A545" s="2">
        <v>45145</v>
      </c>
      <c r="B545" s="1">
        <v>2415</v>
      </c>
      <c r="D545" s="2">
        <v>45145</v>
      </c>
      <c r="E545" s="3">
        <v>2591.4</v>
      </c>
      <c r="G545" s="3">
        <v>1680000</v>
      </c>
      <c r="H545" s="3">
        <f t="shared" si="24"/>
        <v>4057200000</v>
      </c>
      <c r="J545" s="3">
        <v>7500000</v>
      </c>
      <c r="K545" s="3"/>
      <c r="L545" s="3">
        <f t="shared" si="25"/>
        <v>19435500000</v>
      </c>
      <c r="N545" s="4">
        <f t="shared" si="26"/>
        <v>0.79124797406807135</v>
      </c>
    </row>
    <row r="546" spans="1:14" x14ac:dyDescent="0.45">
      <c r="A546" s="2">
        <v>45142</v>
      </c>
      <c r="B546" s="1">
        <v>2438.1999999999998</v>
      </c>
      <c r="D546" s="2">
        <v>45142</v>
      </c>
      <c r="E546" s="3">
        <v>2640.4</v>
      </c>
      <c r="G546" s="3">
        <v>1680000</v>
      </c>
      <c r="H546" s="3">
        <f t="shared" si="24"/>
        <v>4096175999.9999995</v>
      </c>
      <c r="J546" s="3">
        <v>7500000</v>
      </c>
      <c r="K546" s="3"/>
      <c r="L546" s="3">
        <f t="shared" si="25"/>
        <v>19803000000</v>
      </c>
      <c r="N546" s="4">
        <f t="shared" si="26"/>
        <v>0.79315376458112408</v>
      </c>
    </row>
    <row r="547" spans="1:14" x14ac:dyDescent="0.45">
      <c r="A547" s="2">
        <v>45141</v>
      </c>
      <c r="B547" s="1">
        <v>2467.9499999999998</v>
      </c>
      <c r="D547" s="2">
        <v>45141</v>
      </c>
      <c r="E547" s="3">
        <v>2728.8</v>
      </c>
      <c r="G547" s="3">
        <v>1680000</v>
      </c>
      <c r="H547" s="3">
        <f t="shared" si="24"/>
        <v>4146155999.9999995</v>
      </c>
      <c r="J547" s="3">
        <v>7500000</v>
      </c>
      <c r="K547" s="3"/>
      <c r="L547" s="3">
        <f t="shared" si="25"/>
        <v>20466000000</v>
      </c>
      <c r="N547" s="4">
        <f t="shared" si="26"/>
        <v>0.79741248900615658</v>
      </c>
    </row>
    <row r="548" spans="1:14" x14ac:dyDescent="0.45">
      <c r="A548" s="2">
        <v>45140</v>
      </c>
      <c r="B548" s="1">
        <v>2440</v>
      </c>
      <c r="D548" s="2">
        <v>45140</v>
      </c>
      <c r="E548" s="3">
        <v>2301.8000000000002</v>
      </c>
      <c r="G548" s="3">
        <v>1680000</v>
      </c>
      <c r="H548" s="3">
        <f t="shared" si="24"/>
        <v>4099200000</v>
      </c>
      <c r="J548" s="3">
        <v>7500000</v>
      </c>
      <c r="K548" s="3"/>
      <c r="L548" s="3">
        <f t="shared" si="25"/>
        <v>17263500000</v>
      </c>
      <c r="N548" s="4">
        <f t="shared" si="26"/>
        <v>0.76255104700669041</v>
      </c>
    </row>
    <row r="549" spans="1:14" x14ac:dyDescent="0.45">
      <c r="A549" s="2">
        <v>45139</v>
      </c>
      <c r="B549" s="1">
        <v>2440</v>
      </c>
      <c r="D549" s="2">
        <v>45139</v>
      </c>
      <c r="E549" s="3">
        <v>2342.1</v>
      </c>
      <c r="G549" s="3">
        <v>1680000</v>
      </c>
      <c r="H549" s="3">
        <f t="shared" si="24"/>
        <v>4099200000</v>
      </c>
      <c r="J549" s="3">
        <v>7500000</v>
      </c>
      <c r="K549" s="3"/>
      <c r="L549" s="3">
        <f t="shared" si="25"/>
        <v>17565750000</v>
      </c>
      <c r="N549" s="4">
        <f t="shared" si="26"/>
        <v>0.7666367789590538</v>
      </c>
    </row>
    <row r="550" spans="1:14" x14ac:dyDescent="0.45">
      <c r="A550" s="2">
        <v>45138</v>
      </c>
      <c r="B550" s="1">
        <v>2421.3000000000002</v>
      </c>
      <c r="D550" s="2">
        <v>45138</v>
      </c>
      <c r="E550" s="3">
        <v>2260.3000000000002</v>
      </c>
      <c r="G550" s="3">
        <v>1680000</v>
      </c>
      <c r="H550" s="3">
        <f t="shared" si="24"/>
        <v>4067784000.0000005</v>
      </c>
      <c r="J550" s="3">
        <v>7500000</v>
      </c>
      <c r="K550" s="3"/>
      <c r="L550" s="3">
        <f t="shared" si="25"/>
        <v>16952250000.000002</v>
      </c>
      <c r="N550" s="4">
        <f t="shared" si="26"/>
        <v>0.76004459585010842</v>
      </c>
    </row>
    <row r="551" spans="1:14" x14ac:dyDescent="0.45">
      <c r="A551" s="2">
        <v>45135</v>
      </c>
      <c r="B551" s="1">
        <v>2464.85</v>
      </c>
      <c r="D551" s="2">
        <v>45135</v>
      </c>
      <c r="E551" s="3">
        <v>2225.4</v>
      </c>
      <c r="G551" s="3">
        <v>1680000</v>
      </c>
      <c r="H551" s="3">
        <f t="shared" si="24"/>
        <v>4140948000</v>
      </c>
      <c r="J551" s="3">
        <v>7500000</v>
      </c>
      <c r="K551" s="3"/>
      <c r="L551" s="3">
        <f t="shared" si="25"/>
        <v>16690500000</v>
      </c>
      <c r="N551" s="4">
        <f t="shared" si="26"/>
        <v>0.75189790599442796</v>
      </c>
    </row>
    <row r="552" spans="1:14" x14ac:dyDescent="0.45">
      <c r="A552" s="2">
        <v>45134</v>
      </c>
      <c r="B552" s="1">
        <v>2390</v>
      </c>
      <c r="D552" s="2">
        <v>45134</v>
      </c>
      <c r="E552" s="3">
        <v>2215.25</v>
      </c>
      <c r="G552" s="3">
        <v>1680000</v>
      </c>
      <c r="H552" s="3">
        <f t="shared" si="24"/>
        <v>4015200000</v>
      </c>
      <c r="J552" s="3">
        <v>7500000</v>
      </c>
      <c r="K552" s="3"/>
      <c r="L552" s="3">
        <f t="shared" si="25"/>
        <v>16614375000</v>
      </c>
      <c r="N552" s="4">
        <f t="shared" si="26"/>
        <v>0.75832975962081028</v>
      </c>
    </row>
    <row r="553" spans="1:14" x14ac:dyDescent="0.45">
      <c r="A553" s="2">
        <v>45133</v>
      </c>
      <c r="B553" s="1">
        <v>2326.75</v>
      </c>
      <c r="D553" s="2">
        <v>45133</v>
      </c>
      <c r="E553" s="3">
        <v>2227.65</v>
      </c>
      <c r="G553" s="3">
        <v>1680000</v>
      </c>
      <c r="H553" s="3">
        <f t="shared" si="24"/>
        <v>3908940000</v>
      </c>
      <c r="J553" s="3">
        <v>7500000</v>
      </c>
      <c r="K553" s="3"/>
      <c r="L553" s="3">
        <f t="shared" si="25"/>
        <v>16707375000</v>
      </c>
      <c r="N553" s="4">
        <f t="shared" si="26"/>
        <v>0.76603505936749494</v>
      </c>
    </row>
    <row r="554" spans="1:14" x14ac:dyDescent="0.45">
      <c r="A554" s="2">
        <v>45132</v>
      </c>
      <c r="B554" s="1">
        <v>2371.1999999999998</v>
      </c>
      <c r="D554" s="2">
        <v>45132</v>
      </c>
      <c r="E554" s="3">
        <v>2205.9</v>
      </c>
      <c r="G554" s="3">
        <v>1680000</v>
      </c>
      <c r="H554" s="3">
        <f t="shared" si="24"/>
        <v>3983615999.9999995</v>
      </c>
      <c r="J554" s="3">
        <v>7500000</v>
      </c>
      <c r="K554" s="3"/>
      <c r="L554" s="3">
        <f t="shared" si="25"/>
        <v>16544250000</v>
      </c>
      <c r="N554" s="4">
        <f t="shared" si="26"/>
        <v>0.75921447028423772</v>
      </c>
    </row>
    <row r="555" spans="1:14" x14ac:dyDescent="0.45">
      <c r="A555" s="2">
        <v>45131</v>
      </c>
      <c r="B555" s="1">
        <v>2400</v>
      </c>
      <c r="D555" s="2">
        <v>45131</v>
      </c>
      <c r="E555" s="3">
        <v>2179.5</v>
      </c>
      <c r="G555" s="3">
        <v>1680000</v>
      </c>
      <c r="H555" s="3">
        <f t="shared" si="24"/>
        <v>4032000000</v>
      </c>
      <c r="J555" s="3">
        <v>7500000</v>
      </c>
      <c r="K555" s="3"/>
      <c r="L555" s="3">
        <f t="shared" si="25"/>
        <v>16346250000</v>
      </c>
      <c r="N555" s="4">
        <f t="shared" si="26"/>
        <v>0.75333792154163803</v>
      </c>
    </row>
    <row r="556" spans="1:14" x14ac:dyDescent="0.45">
      <c r="A556" s="2">
        <v>45128</v>
      </c>
      <c r="B556" s="1">
        <v>2390</v>
      </c>
      <c r="D556" s="2">
        <v>45128</v>
      </c>
      <c r="E556" s="3">
        <v>2187</v>
      </c>
      <c r="G556" s="3">
        <v>1680000</v>
      </c>
      <c r="H556" s="3">
        <f t="shared" si="24"/>
        <v>4015200000</v>
      </c>
      <c r="J556" s="3">
        <v>7500000</v>
      </c>
      <c r="K556" s="3"/>
      <c r="L556" s="3">
        <f t="shared" si="25"/>
        <v>16402500000</v>
      </c>
      <c r="N556" s="4">
        <f t="shared" si="26"/>
        <v>0.75520804755372661</v>
      </c>
    </row>
    <row r="557" spans="1:14" x14ac:dyDescent="0.45">
      <c r="A557" s="2">
        <v>45127</v>
      </c>
      <c r="B557" s="1">
        <v>2409</v>
      </c>
      <c r="D557" s="2">
        <v>45127</v>
      </c>
      <c r="E557" s="3">
        <v>2200.6999999999998</v>
      </c>
      <c r="G557" s="3">
        <v>1680000</v>
      </c>
      <c r="H557" s="3">
        <f t="shared" si="24"/>
        <v>4047120000</v>
      </c>
      <c r="J557" s="3">
        <v>7500000</v>
      </c>
      <c r="K557" s="3"/>
      <c r="L557" s="3">
        <f t="shared" si="25"/>
        <v>16505249999.999998</v>
      </c>
      <c r="N557" s="4">
        <f t="shared" si="26"/>
        <v>0.7547980188121961</v>
      </c>
    </row>
    <row r="558" spans="1:14" x14ac:dyDescent="0.45">
      <c r="A558" s="2">
        <v>45126</v>
      </c>
      <c r="B558" s="1">
        <v>2386.3000000000002</v>
      </c>
      <c r="D558" s="2">
        <v>45126</v>
      </c>
      <c r="E558" s="3">
        <v>2175.25</v>
      </c>
      <c r="G558" s="3">
        <v>1680000</v>
      </c>
      <c r="H558" s="3">
        <f t="shared" si="24"/>
        <v>4008984000.0000005</v>
      </c>
      <c r="J558" s="3">
        <v>7500000</v>
      </c>
      <c r="K558" s="3"/>
      <c r="L558" s="3">
        <f t="shared" si="25"/>
        <v>16314375000</v>
      </c>
      <c r="N558" s="4">
        <f t="shared" si="26"/>
        <v>0.75426677393403052</v>
      </c>
    </row>
    <row r="559" spans="1:14" x14ac:dyDescent="0.45">
      <c r="A559" s="2">
        <v>45125</v>
      </c>
      <c r="B559" s="1">
        <v>2348.6999999999998</v>
      </c>
      <c r="D559" s="2">
        <v>45125</v>
      </c>
      <c r="E559" s="3">
        <v>2151.1999999999998</v>
      </c>
      <c r="G559" s="3">
        <v>1680000</v>
      </c>
      <c r="H559" s="3">
        <f t="shared" si="24"/>
        <v>3945815999.9999995</v>
      </c>
      <c r="J559" s="3">
        <v>7500000</v>
      </c>
      <c r="K559" s="3"/>
      <c r="L559" s="3">
        <f t="shared" si="25"/>
        <v>16133999999.999998</v>
      </c>
      <c r="N559" s="4">
        <f t="shared" si="26"/>
        <v>0.75543473410189665</v>
      </c>
    </row>
    <row r="560" spans="1:14" x14ac:dyDescent="0.45">
      <c r="A560" s="2">
        <v>45124</v>
      </c>
      <c r="B560" s="1">
        <v>2332.75</v>
      </c>
      <c r="D560" s="2">
        <v>45124</v>
      </c>
      <c r="E560" s="3">
        <v>2096.1</v>
      </c>
      <c r="G560" s="3">
        <v>1680000</v>
      </c>
      <c r="H560" s="3">
        <f t="shared" si="24"/>
        <v>3919020000</v>
      </c>
      <c r="J560" s="3">
        <v>7500000</v>
      </c>
      <c r="K560" s="3"/>
      <c r="L560" s="3">
        <f t="shared" si="25"/>
        <v>15720750000</v>
      </c>
      <c r="N560" s="4">
        <f t="shared" si="26"/>
        <v>0.75071036687180959</v>
      </c>
    </row>
    <row r="561" spans="1:14" x14ac:dyDescent="0.45">
      <c r="A561" s="2">
        <v>45121</v>
      </c>
      <c r="B561" s="1">
        <v>2276.4499999999998</v>
      </c>
      <c r="D561" s="2">
        <v>45121</v>
      </c>
      <c r="E561" s="3">
        <v>2073.6999999999998</v>
      </c>
      <c r="G561" s="3">
        <v>1680000</v>
      </c>
      <c r="H561" s="3">
        <f t="shared" si="24"/>
        <v>3824435999.9999995</v>
      </c>
      <c r="J561" s="3">
        <v>7500000</v>
      </c>
      <c r="K561" s="3"/>
      <c r="L561" s="3">
        <f t="shared" si="25"/>
        <v>15552749999.999998</v>
      </c>
      <c r="N561" s="4">
        <f t="shared" si="26"/>
        <v>0.75409905000723343</v>
      </c>
    </row>
    <row r="562" spans="1:14" x14ac:dyDescent="0.45">
      <c r="A562" s="2">
        <v>45120</v>
      </c>
      <c r="B562" s="1">
        <v>2258</v>
      </c>
      <c r="D562" s="2">
        <v>45120</v>
      </c>
      <c r="E562" s="3">
        <v>2028.8</v>
      </c>
      <c r="G562" s="3">
        <v>1680000</v>
      </c>
      <c r="H562" s="3">
        <f t="shared" si="24"/>
        <v>3793440000</v>
      </c>
      <c r="J562" s="3">
        <v>7500000</v>
      </c>
      <c r="K562" s="3"/>
      <c r="L562" s="3">
        <f t="shared" si="25"/>
        <v>15216000000</v>
      </c>
      <c r="N562" s="4">
        <f t="shared" si="26"/>
        <v>0.75069400630914829</v>
      </c>
    </row>
    <row r="563" spans="1:14" x14ac:dyDescent="0.45">
      <c r="A563" s="2">
        <v>45119</v>
      </c>
      <c r="B563" s="1">
        <v>2237.6</v>
      </c>
      <c r="D563" s="2">
        <v>45119</v>
      </c>
      <c r="E563" s="3">
        <v>2045.45</v>
      </c>
      <c r="G563" s="3">
        <v>1680000</v>
      </c>
      <c r="H563" s="3">
        <f t="shared" si="24"/>
        <v>3759168000</v>
      </c>
      <c r="J563" s="3">
        <v>7500000</v>
      </c>
      <c r="K563" s="3"/>
      <c r="L563" s="3">
        <f t="shared" si="25"/>
        <v>15340875000</v>
      </c>
      <c r="N563" s="4">
        <f t="shared" si="26"/>
        <v>0.75495739323865163</v>
      </c>
    </row>
    <row r="564" spans="1:14" x14ac:dyDescent="0.45">
      <c r="A564" s="2">
        <v>45118</v>
      </c>
      <c r="B564" s="1">
        <v>2246.1999999999998</v>
      </c>
      <c r="D564" s="2">
        <v>45118</v>
      </c>
      <c r="E564" s="3">
        <v>2071.0500000000002</v>
      </c>
      <c r="G564" s="3">
        <v>1680000</v>
      </c>
      <c r="H564" s="3">
        <f t="shared" si="24"/>
        <v>3773615999.9999995</v>
      </c>
      <c r="J564" s="3">
        <v>7500000</v>
      </c>
      <c r="K564" s="3"/>
      <c r="L564" s="3">
        <f t="shared" si="25"/>
        <v>15532875000.000002</v>
      </c>
      <c r="N564" s="4">
        <f t="shared" si="26"/>
        <v>0.75705617923275637</v>
      </c>
    </row>
    <row r="565" spans="1:14" x14ac:dyDescent="0.45">
      <c r="A565" s="2">
        <v>45117</v>
      </c>
      <c r="B565" s="1">
        <v>2200</v>
      </c>
      <c r="D565" s="2">
        <v>45117</v>
      </c>
      <c r="E565" s="3">
        <v>2107.9499999999998</v>
      </c>
      <c r="G565" s="3">
        <v>1680000</v>
      </c>
      <c r="H565" s="3">
        <f t="shared" si="24"/>
        <v>3696000000</v>
      </c>
      <c r="J565" s="3">
        <v>7500000</v>
      </c>
      <c r="K565" s="3"/>
      <c r="L565" s="3">
        <f t="shared" si="25"/>
        <v>15809624999.999998</v>
      </c>
      <c r="N565" s="4">
        <f t="shared" si="26"/>
        <v>0.76621836381318342</v>
      </c>
    </row>
    <row r="566" spans="1:14" x14ac:dyDescent="0.45">
      <c r="A566" s="2">
        <v>45114</v>
      </c>
      <c r="B566" s="1">
        <v>2180.15</v>
      </c>
      <c r="D566" s="2">
        <v>45114</v>
      </c>
      <c r="E566" s="3">
        <v>2114.65</v>
      </c>
      <c r="G566" s="3">
        <v>1680000</v>
      </c>
      <c r="H566" s="3">
        <f t="shared" si="24"/>
        <v>3662652000</v>
      </c>
      <c r="J566" s="3">
        <v>7500000</v>
      </c>
      <c r="K566" s="3"/>
      <c r="L566" s="3">
        <f t="shared" si="25"/>
        <v>15859875000</v>
      </c>
      <c r="N566" s="4">
        <f t="shared" si="26"/>
        <v>0.76906173598467831</v>
      </c>
    </row>
    <row r="567" spans="1:14" x14ac:dyDescent="0.45">
      <c r="A567" s="2">
        <v>45113</v>
      </c>
      <c r="B567" s="1">
        <v>2197.1999999999998</v>
      </c>
      <c r="D567" s="2">
        <v>45113</v>
      </c>
      <c r="E567" s="3">
        <v>2134.25</v>
      </c>
      <c r="G567" s="3">
        <v>1680000</v>
      </c>
      <c r="H567" s="3">
        <f t="shared" si="24"/>
        <v>3691295999.9999995</v>
      </c>
      <c r="J567" s="3">
        <v>7500000</v>
      </c>
      <c r="K567" s="3"/>
      <c r="L567" s="3">
        <f t="shared" si="25"/>
        <v>16006875000</v>
      </c>
      <c r="N567" s="4">
        <f t="shared" si="26"/>
        <v>0.76939308890711022</v>
      </c>
    </row>
    <row r="568" spans="1:14" x14ac:dyDescent="0.45">
      <c r="A568" s="2">
        <v>45112</v>
      </c>
      <c r="B568" s="1">
        <v>2230</v>
      </c>
      <c r="D568" s="2">
        <v>45112</v>
      </c>
      <c r="E568" s="3">
        <v>2156.6</v>
      </c>
      <c r="G568" s="3">
        <v>1680000</v>
      </c>
      <c r="H568" s="3">
        <f t="shared" si="24"/>
        <v>3746400000</v>
      </c>
      <c r="J568" s="3">
        <v>7500000</v>
      </c>
      <c r="K568" s="3"/>
      <c r="L568" s="3">
        <f t="shared" si="25"/>
        <v>16174500000</v>
      </c>
      <c r="N568" s="4">
        <f t="shared" si="26"/>
        <v>0.76837614763980344</v>
      </c>
    </row>
    <row r="569" spans="1:14" x14ac:dyDescent="0.45">
      <c r="A569" s="2">
        <v>45111</v>
      </c>
      <c r="B569" s="1">
        <v>2212</v>
      </c>
      <c r="D569" s="2">
        <v>45111</v>
      </c>
      <c r="E569" s="3">
        <v>2138.6999999999998</v>
      </c>
      <c r="G569" s="3">
        <v>1680000</v>
      </c>
      <c r="H569" s="3">
        <f t="shared" si="24"/>
        <v>3716160000</v>
      </c>
      <c r="J569" s="3">
        <v>7500000</v>
      </c>
      <c r="K569" s="3"/>
      <c r="L569" s="3">
        <f t="shared" si="25"/>
        <v>16040249999.999998</v>
      </c>
      <c r="N569" s="4">
        <f t="shared" si="26"/>
        <v>0.76832281292373872</v>
      </c>
    </row>
    <row r="570" spans="1:14" x14ac:dyDescent="0.45">
      <c r="A570" s="2">
        <v>45110</v>
      </c>
      <c r="B570" s="1">
        <v>2196.65</v>
      </c>
      <c r="D570" s="2">
        <v>45110</v>
      </c>
      <c r="E570" s="3">
        <v>2130.6999999999998</v>
      </c>
      <c r="G570" s="3">
        <v>1680000</v>
      </c>
      <c r="H570" s="3">
        <f t="shared" si="24"/>
        <v>3690372000</v>
      </c>
      <c r="J570" s="3">
        <v>7500000</v>
      </c>
      <c r="K570" s="3"/>
      <c r="L570" s="3">
        <f t="shared" si="25"/>
        <v>15980249999.999998</v>
      </c>
      <c r="N570" s="4">
        <f t="shared" si="26"/>
        <v>0.76906669169756414</v>
      </c>
    </row>
    <row r="571" spans="1:14" x14ac:dyDescent="0.45">
      <c r="A571" s="2">
        <v>45107</v>
      </c>
      <c r="B571" s="1">
        <v>2210</v>
      </c>
      <c r="D571" s="2">
        <v>45107</v>
      </c>
      <c r="E571" s="3">
        <v>2155.85</v>
      </c>
      <c r="G571" s="3">
        <v>1680000</v>
      </c>
      <c r="H571" s="3">
        <f t="shared" si="24"/>
        <v>3712800000</v>
      </c>
      <c r="J571" s="3">
        <v>7500000</v>
      </c>
      <c r="K571" s="3"/>
      <c r="L571" s="3">
        <f t="shared" si="25"/>
        <v>16168875000</v>
      </c>
      <c r="N571" s="4">
        <f t="shared" si="26"/>
        <v>0.77037363452930396</v>
      </c>
    </row>
    <row r="572" spans="1:14" x14ac:dyDescent="0.45">
      <c r="A572" s="2">
        <v>45105</v>
      </c>
      <c r="B572" s="1">
        <v>2175</v>
      </c>
      <c r="D572" s="2">
        <v>45105</v>
      </c>
      <c r="E572" s="3">
        <v>2163.9</v>
      </c>
      <c r="G572" s="3">
        <v>1680000</v>
      </c>
      <c r="H572" s="3">
        <f t="shared" si="24"/>
        <v>3654000000</v>
      </c>
      <c r="J572" s="3">
        <v>7500000</v>
      </c>
      <c r="K572" s="3"/>
      <c r="L572" s="3">
        <f t="shared" si="25"/>
        <v>16229250000</v>
      </c>
      <c r="N572" s="4">
        <f t="shared" si="26"/>
        <v>0.77485096353805627</v>
      </c>
    </row>
    <row r="573" spans="1:14" x14ac:dyDescent="0.45">
      <c r="A573" s="2">
        <v>45104</v>
      </c>
      <c r="B573" s="1">
        <v>2197.85</v>
      </c>
      <c r="D573" s="2">
        <v>45104</v>
      </c>
      <c r="E573" s="3">
        <v>2150.85</v>
      </c>
      <c r="G573" s="3">
        <v>1680000</v>
      </c>
      <c r="H573" s="3">
        <f t="shared" si="24"/>
        <v>3692388000</v>
      </c>
      <c r="J573" s="3">
        <v>7500000</v>
      </c>
      <c r="K573" s="3"/>
      <c r="L573" s="3">
        <f t="shared" si="25"/>
        <v>16131375000</v>
      </c>
      <c r="N573" s="4">
        <f t="shared" si="26"/>
        <v>0.77110519097101149</v>
      </c>
    </row>
    <row r="574" spans="1:14" x14ac:dyDescent="0.45">
      <c r="A574" s="2">
        <v>45103</v>
      </c>
      <c r="B574" s="1">
        <v>2181.85</v>
      </c>
      <c r="D574" s="2">
        <v>45103</v>
      </c>
      <c r="E574" s="3">
        <v>2172.35</v>
      </c>
      <c r="G574" s="3">
        <v>1680000</v>
      </c>
      <c r="H574" s="3">
        <f t="shared" si="24"/>
        <v>3665508000</v>
      </c>
      <c r="J574" s="3">
        <v>7500000</v>
      </c>
      <c r="K574" s="3"/>
      <c r="L574" s="3">
        <f t="shared" si="25"/>
        <v>16292625000</v>
      </c>
      <c r="N574" s="4">
        <f t="shared" si="26"/>
        <v>0.77502041567887314</v>
      </c>
    </row>
    <row r="575" spans="1:14" x14ac:dyDescent="0.45">
      <c r="A575" s="2">
        <v>45100</v>
      </c>
      <c r="B575" s="1">
        <v>2180.25</v>
      </c>
      <c r="D575" s="2">
        <v>45100</v>
      </c>
      <c r="E575" s="3">
        <v>2183.3000000000002</v>
      </c>
      <c r="G575" s="3">
        <v>1680000</v>
      </c>
      <c r="H575" s="3">
        <f t="shared" si="24"/>
        <v>3662820000</v>
      </c>
      <c r="J575" s="3">
        <v>7500000</v>
      </c>
      <c r="K575" s="3"/>
      <c r="L575" s="3">
        <f t="shared" si="25"/>
        <v>16374750000.000002</v>
      </c>
      <c r="N575" s="4">
        <f t="shared" si="26"/>
        <v>0.77631292080795133</v>
      </c>
    </row>
    <row r="576" spans="1:14" x14ac:dyDescent="0.45">
      <c r="A576" s="2">
        <v>45099</v>
      </c>
      <c r="B576" s="1">
        <v>2210.1</v>
      </c>
      <c r="D576" s="2">
        <v>45099</v>
      </c>
      <c r="E576" s="3">
        <v>2181.6999999999998</v>
      </c>
      <c r="G576" s="3">
        <v>1680000</v>
      </c>
      <c r="H576" s="3">
        <f t="shared" si="24"/>
        <v>3712968000</v>
      </c>
      <c r="J576" s="3">
        <v>7500000</v>
      </c>
      <c r="K576" s="3"/>
      <c r="L576" s="3">
        <f t="shared" si="25"/>
        <v>16362749999.999998</v>
      </c>
      <c r="N576" s="4">
        <f t="shared" si="26"/>
        <v>0.77308410872255573</v>
      </c>
    </row>
    <row r="577" spans="1:14" x14ac:dyDescent="0.45">
      <c r="A577" s="2">
        <v>45098</v>
      </c>
      <c r="B577" s="1">
        <v>2180</v>
      </c>
      <c r="D577" s="2">
        <v>45098</v>
      </c>
      <c r="E577" s="3">
        <v>2169.9499999999998</v>
      </c>
      <c r="G577" s="3">
        <v>1680000</v>
      </c>
      <c r="H577" s="3">
        <f t="shared" si="24"/>
        <v>3662400000</v>
      </c>
      <c r="J577" s="3">
        <v>7500000</v>
      </c>
      <c r="K577" s="3"/>
      <c r="L577" s="3">
        <f t="shared" si="25"/>
        <v>16274624999.999998</v>
      </c>
      <c r="N577" s="4">
        <f t="shared" si="26"/>
        <v>0.77496255674093872</v>
      </c>
    </row>
    <row r="578" spans="1:14" x14ac:dyDescent="0.45">
      <c r="A578" s="2">
        <v>45097</v>
      </c>
      <c r="B578" s="1">
        <v>2186.0500000000002</v>
      </c>
      <c r="D578" s="2">
        <v>45097</v>
      </c>
      <c r="E578" s="3">
        <v>2165.6</v>
      </c>
      <c r="G578" s="3">
        <v>1680000</v>
      </c>
      <c r="H578" s="3">
        <f t="shared" si="24"/>
        <v>3672564000.0000005</v>
      </c>
      <c r="J578" s="3">
        <v>7500000</v>
      </c>
      <c r="K578" s="3"/>
      <c r="L578" s="3">
        <f t="shared" si="25"/>
        <v>16242000000</v>
      </c>
      <c r="N578" s="4">
        <f t="shared" si="26"/>
        <v>0.77388474325821943</v>
      </c>
    </row>
    <row r="579" spans="1:14" x14ac:dyDescent="0.45">
      <c r="A579" s="2">
        <v>45096</v>
      </c>
      <c r="B579" s="1">
        <v>2155.65</v>
      </c>
      <c r="D579" s="2">
        <v>45096</v>
      </c>
      <c r="E579" s="3">
        <v>2179.4499999999998</v>
      </c>
      <c r="G579" s="3">
        <v>1680000</v>
      </c>
      <c r="H579" s="3">
        <f t="shared" ref="H579:H642" si="27">+G579*B579</f>
        <v>3621492000</v>
      </c>
      <c r="J579" s="3">
        <v>7500000</v>
      </c>
      <c r="K579" s="3"/>
      <c r="L579" s="3">
        <f t="shared" ref="L579:L642" si="28">+(J579*E579)</f>
        <v>16345874999.999998</v>
      </c>
      <c r="N579" s="4">
        <f t="shared" ref="N579:N642" si="29">1- (H579/L579)</f>
        <v>0.7784461217279588</v>
      </c>
    </row>
    <row r="580" spans="1:14" x14ac:dyDescent="0.45">
      <c r="A580" s="2">
        <v>45093</v>
      </c>
      <c r="B580" s="1">
        <v>2153.4499999999998</v>
      </c>
      <c r="D580" s="2">
        <v>45093</v>
      </c>
      <c r="E580" s="3">
        <v>2144.8000000000002</v>
      </c>
      <c r="G580" s="3">
        <v>1680000</v>
      </c>
      <c r="H580" s="3">
        <f t="shared" si="27"/>
        <v>3617795999.9999995</v>
      </c>
      <c r="J580" s="3">
        <v>7500000</v>
      </c>
      <c r="K580" s="3"/>
      <c r="L580" s="3">
        <f t="shared" si="28"/>
        <v>16086000000.000002</v>
      </c>
      <c r="N580" s="4">
        <f t="shared" si="29"/>
        <v>0.77509660574412542</v>
      </c>
    </row>
    <row r="581" spans="1:14" x14ac:dyDescent="0.45">
      <c r="A581" s="2">
        <v>45092</v>
      </c>
      <c r="B581" s="1">
        <v>2185</v>
      </c>
      <c r="D581" s="2">
        <v>45092</v>
      </c>
      <c r="E581" s="3">
        <v>2144</v>
      </c>
      <c r="G581" s="3">
        <v>1680000</v>
      </c>
      <c r="H581" s="3">
        <f t="shared" si="27"/>
        <v>3670800000</v>
      </c>
      <c r="J581" s="3">
        <v>7500000</v>
      </c>
      <c r="K581" s="3"/>
      <c r="L581" s="3">
        <f t="shared" si="28"/>
        <v>16080000000</v>
      </c>
      <c r="N581" s="4">
        <f t="shared" si="29"/>
        <v>0.77171641791044776</v>
      </c>
    </row>
    <row r="582" spans="1:14" x14ac:dyDescent="0.45">
      <c r="A582" s="2">
        <v>45091</v>
      </c>
      <c r="B582" s="1">
        <v>2165</v>
      </c>
      <c r="D582" s="2">
        <v>45091</v>
      </c>
      <c r="E582" s="3">
        <v>2146</v>
      </c>
      <c r="G582" s="3">
        <v>1680000</v>
      </c>
      <c r="H582" s="3">
        <f t="shared" si="27"/>
        <v>3637200000</v>
      </c>
      <c r="J582" s="3">
        <v>7500000</v>
      </c>
      <c r="K582" s="3"/>
      <c r="L582" s="3">
        <f t="shared" si="28"/>
        <v>16095000000</v>
      </c>
      <c r="N582" s="4">
        <f t="shared" si="29"/>
        <v>0.77401677539608571</v>
      </c>
    </row>
    <row r="583" spans="1:14" x14ac:dyDescent="0.45">
      <c r="A583" s="2">
        <v>45090</v>
      </c>
      <c r="B583" s="1">
        <v>2106.4499999999998</v>
      </c>
      <c r="D583" s="2">
        <v>45090</v>
      </c>
      <c r="E583" s="3">
        <v>2124.5</v>
      </c>
      <c r="G583" s="3">
        <v>1680000</v>
      </c>
      <c r="H583" s="3">
        <f t="shared" si="27"/>
        <v>3538835999.9999995</v>
      </c>
      <c r="J583" s="3">
        <v>7500000</v>
      </c>
      <c r="K583" s="3"/>
      <c r="L583" s="3">
        <f t="shared" si="28"/>
        <v>15933750000</v>
      </c>
      <c r="N583" s="4">
        <f t="shared" si="29"/>
        <v>0.77790313014827017</v>
      </c>
    </row>
    <row r="584" spans="1:14" x14ac:dyDescent="0.45">
      <c r="A584" s="2">
        <v>45089</v>
      </c>
      <c r="B584" s="1">
        <v>2122</v>
      </c>
      <c r="D584" s="2">
        <v>45089</v>
      </c>
      <c r="E584" s="3">
        <v>2105.8000000000002</v>
      </c>
      <c r="G584" s="3">
        <v>1680000</v>
      </c>
      <c r="H584" s="3">
        <f t="shared" si="27"/>
        <v>3564960000</v>
      </c>
      <c r="J584" s="3">
        <v>7500000</v>
      </c>
      <c r="K584" s="3"/>
      <c r="L584" s="3">
        <f t="shared" si="28"/>
        <v>15793500000.000002</v>
      </c>
      <c r="N584" s="4">
        <f t="shared" si="29"/>
        <v>0.77427675942634633</v>
      </c>
    </row>
    <row r="585" spans="1:14" x14ac:dyDescent="0.45">
      <c r="A585" s="2">
        <v>45086</v>
      </c>
      <c r="B585" s="1">
        <v>2162</v>
      </c>
      <c r="D585" s="2">
        <v>45086</v>
      </c>
      <c r="E585" s="3">
        <v>2151.5</v>
      </c>
      <c r="G585" s="3">
        <v>1680000</v>
      </c>
      <c r="H585" s="3">
        <f t="shared" si="27"/>
        <v>3632160000</v>
      </c>
      <c r="J585" s="3">
        <v>7500000</v>
      </c>
      <c r="K585" s="3"/>
      <c r="L585" s="3">
        <f t="shared" si="28"/>
        <v>16136250000</v>
      </c>
      <c r="N585" s="4">
        <f t="shared" si="29"/>
        <v>0.77490680920288169</v>
      </c>
    </row>
    <row r="586" spans="1:14" x14ac:dyDescent="0.45">
      <c r="A586" s="2">
        <v>45085</v>
      </c>
      <c r="B586" s="1">
        <v>2160</v>
      </c>
      <c r="D586" s="2">
        <v>45085</v>
      </c>
      <c r="E586" s="3">
        <v>2136.9499999999998</v>
      </c>
      <c r="G586" s="3">
        <v>1680000</v>
      </c>
      <c r="H586" s="3">
        <f t="shared" si="27"/>
        <v>3628800000</v>
      </c>
      <c r="J586" s="3">
        <v>7500000</v>
      </c>
      <c r="K586" s="3"/>
      <c r="L586" s="3">
        <f t="shared" si="28"/>
        <v>16027124999.999998</v>
      </c>
      <c r="N586" s="4">
        <f t="shared" si="29"/>
        <v>0.77358384613584774</v>
      </c>
    </row>
    <row r="587" spans="1:14" x14ac:dyDescent="0.45">
      <c r="A587" s="2">
        <v>45084</v>
      </c>
      <c r="B587" s="1">
        <v>2185</v>
      </c>
      <c r="D587" s="2">
        <v>45084</v>
      </c>
      <c r="E587" s="3">
        <v>2143.15</v>
      </c>
      <c r="G587" s="3">
        <v>1680000</v>
      </c>
      <c r="H587" s="3">
        <f t="shared" si="27"/>
        <v>3670800000</v>
      </c>
      <c r="J587" s="3">
        <v>7500000</v>
      </c>
      <c r="K587" s="3"/>
      <c r="L587" s="3">
        <f t="shared" si="28"/>
        <v>16073625000</v>
      </c>
      <c r="N587" s="4">
        <f t="shared" si="29"/>
        <v>0.77162587779670111</v>
      </c>
    </row>
    <row r="588" spans="1:14" x14ac:dyDescent="0.45">
      <c r="A588" s="2">
        <v>45083</v>
      </c>
      <c r="B588" s="1">
        <v>2199.35</v>
      </c>
      <c r="D588" s="2">
        <v>45083</v>
      </c>
      <c r="E588" s="3">
        <v>2151.85</v>
      </c>
      <c r="G588" s="3">
        <v>1680000</v>
      </c>
      <c r="H588" s="3">
        <f t="shared" si="27"/>
        <v>3694908000</v>
      </c>
      <c r="J588" s="3">
        <v>7500000</v>
      </c>
      <c r="K588" s="3"/>
      <c r="L588" s="3">
        <f t="shared" si="28"/>
        <v>16138875000</v>
      </c>
      <c r="N588" s="4">
        <f t="shared" si="29"/>
        <v>0.7710554174315124</v>
      </c>
    </row>
    <row r="589" spans="1:14" x14ac:dyDescent="0.45">
      <c r="A589" s="2">
        <v>45082</v>
      </c>
      <c r="B589" s="1">
        <v>2142.85</v>
      </c>
      <c r="D589" s="2">
        <v>45082</v>
      </c>
      <c r="E589" s="3">
        <v>2109.6</v>
      </c>
      <c r="G589" s="3">
        <v>1680000</v>
      </c>
      <c r="H589" s="3">
        <f t="shared" si="27"/>
        <v>3599988000</v>
      </c>
      <c r="J589" s="3">
        <v>7500000</v>
      </c>
      <c r="K589" s="3"/>
      <c r="L589" s="3">
        <f t="shared" si="28"/>
        <v>15822000000</v>
      </c>
      <c r="N589" s="4">
        <f t="shared" si="29"/>
        <v>0.7724694728858551</v>
      </c>
    </row>
    <row r="590" spans="1:14" x14ac:dyDescent="0.45">
      <c r="A590" s="2">
        <v>45079</v>
      </c>
      <c r="B590" s="1">
        <v>2164.9499999999998</v>
      </c>
      <c r="D590" s="2">
        <v>45079</v>
      </c>
      <c r="E590" s="3">
        <v>2089.9499999999998</v>
      </c>
      <c r="G590" s="3">
        <v>1680000</v>
      </c>
      <c r="H590" s="3">
        <f t="shared" si="27"/>
        <v>3637115999.9999995</v>
      </c>
      <c r="J590" s="3">
        <v>7500000</v>
      </c>
      <c r="K590" s="3"/>
      <c r="L590" s="3">
        <f t="shared" si="28"/>
        <v>15674624999.999998</v>
      </c>
      <c r="N590" s="4">
        <f t="shared" si="29"/>
        <v>0.7679615301801479</v>
      </c>
    </row>
    <row r="591" spans="1:14" x14ac:dyDescent="0.45">
      <c r="A591" s="2">
        <v>45078</v>
      </c>
      <c r="B591" s="1">
        <v>2168</v>
      </c>
      <c r="D591" s="2">
        <v>45078</v>
      </c>
      <c r="E591" s="3">
        <v>2102.65</v>
      </c>
      <c r="G591" s="3">
        <v>1680000</v>
      </c>
      <c r="H591" s="3">
        <f t="shared" si="27"/>
        <v>3642240000</v>
      </c>
      <c r="J591" s="3">
        <v>7500000</v>
      </c>
      <c r="K591" s="3"/>
      <c r="L591" s="3">
        <f t="shared" si="28"/>
        <v>15769875000</v>
      </c>
      <c r="N591" s="4">
        <f t="shared" si="29"/>
        <v>0.76903811856466842</v>
      </c>
    </row>
    <row r="592" spans="1:14" x14ac:dyDescent="0.45">
      <c r="A592" s="2">
        <v>45077</v>
      </c>
      <c r="B592" s="1">
        <v>2122</v>
      </c>
      <c r="D592" s="2">
        <v>45077</v>
      </c>
      <c r="E592" s="3">
        <v>2106.4499999999998</v>
      </c>
      <c r="G592" s="3">
        <v>1680000</v>
      </c>
      <c r="H592" s="3">
        <f t="shared" si="27"/>
        <v>3564960000</v>
      </c>
      <c r="J592" s="3">
        <v>7500000</v>
      </c>
      <c r="K592" s="3"/>
      <c r="L592" s="3">
        <f t="shared" si="28"/>
        <v>15798374999.999998</v>
      </c>
      <c r="N592" s="4">
        <f t="shared" si="29"/>
        <v>0.77434641221011646</v>
      </c>
    </row>
    <row r="593" spans="1:14" x14ac:dyDescent="0.45">
      <c r="A593" s="2">
        <v>45076</v>
      </c>
      <c r="B593" s="1">
        <v>2148.35</v>
      </c>
      <c r="D593" s="2">
        <v>45076</v>
      </c>
      <c r="E593" s="3">
        <v>2168.5</v>
      </c>
      <c r="G593" s="3">
        <v>1680000</v>
      </c>
      <c r="H593" s="3">
        <f t="shared" si="27"/>
        <v>3609228000</v>
      </c>
      <c r="J593" s="3">
        <v>7500000</v>
      </c>
      <c r="K593" s="3"/>
      <c r="L593" s="3">
        <f t="shared" si="28"/>
        <v>16263750000</v>
      </c>
      <c r="N593" s="4">
        <f t="shared" si="29"/>
        <v>0.77808143878256864</v>
      </c>
    </row>
    <row r="594" spans="1:14" x14ac:dyDescent="0.45">
      <c r="A594" s="2">
        <v>45075</v>
      </c>
      <c r="B594" s="1">
        <v>2099.8000000000002</v>
      </c>
      <c r="D594" s="2">
        <v>45075</v>
      </c>
      <c r="E594" s="3">
        <v>2192.1</v>
      </c>
      <c r="G594" s="3">
        <v>1680000</v>
      </c>
      <c r="H594" s="3">
        <f t="shared" si="27"/>
        <v>3527664000.0000005</v>
      </c>
      <c r="J594" s="3">
        <v>7500000</v>
      </c>
      <c r="K594" s="3"/>
      <c r="L594" s="3">
        <f t="shared" si="28"/>
        <v>16440750000</v>
      </c>
      <c r="N594" s="4">
        <f t="shared" si="29"/>
        <v>0.78543168651065187</v>
      </c>
    </row>
    <row r="595" spans="1:14" x14ac:dyDescent="0.45">
      <c r="A595" s="2">
        <v>45072</v>
      </c>
      <c r="B595" s="1">
        <v>2053</v>
      </c>
      <c r="D595" s="2">
        <v>45072</v>
      </c>
      <c r="E595" s="3">
        <v>2199.35</v>
      </c>
      <c r="G595" s="3">
        <v>1680000</v>
      </c>
      <c r="H595" s="3">
        <f t="shared" si="27"/>
        <v>3449040000</v>
      </c>
      <c r="J595" s="3">
        <v>7500000</v>
      </c>
      <c r="K595" s="3"/>
      <c r="L595" s="3">
        <f t="shared" si="28"/>
        <v>16495125000</v>
      </c>
      <c r="N595" s="4">
        <f t="shared" si="29"/>
        <v>0.79090549480528338</v>
      </c>
    </row>
    <row r="596" spans="1:14" x14ac:dyDescent="0.45">
      <c r="A596" s="2">
        <v>45071</v>
      </c>
      <c r="B596" s="1">
        <v>2040</v>
      </c>
      <c r="D596" s="2">
        <v>45071</v>
      </c>
      <c r="E596" s="3">
        <v>2165.65</v>
      </c>
      <c r="G596" s="3">
        <v>1680000</v>
      </c>
      <c r="H596" s="3">
        <f t="shared" si="27"/>
        <v>3427200000</v>
      </c>
      <c r="J596" s="3">
        <v>7500000</v>
      </c>
      <c r="K596" s="3"/>
      <c r="L596" s="3">
        <f t="shared" si="28"/>
        <v>16242375000</v>
      </c>
      <c r="N596" s="4">
        <f t="shared" si="29"/>
        <v>0.78899637522221966</v>
      </c>
    </row>
    <row r="597" spans="1:14" x14ac:dyDescent="0.45">
      <c r="A597" s="2">
        <v>45070</v>
      </c>
      <c r="B597" s="1">
        <v>2097</v>
      </c>
      <c r="D597" s="2">
        <v>45070</v>
      </c>
      <c r="E597" s="3">
        <v>2180.6</v>
      </c>
      <c r="G597" s="3">
        <v>1680000</v>
      </c>
      <c r="H597" s="3">
        <f t="shared" si="27"/>
        <v>3522960000</v>
      </c>
      <c r="J597" s="3">
        <v>7500000</v>
      </c>
      <c r="K597" s="3"/>
      <c r="L597" s="3">
        <f t="shared" si="28"/>
        <v>16354500000</v>
      </c>
      <c r="N597" s="4">
        <f t="shared" si="29"/>
        <v>0.78458772814821609</v>
      </c>
    </row>
    <row r="598" spans="1:14" x14ac:dyDescent="0.45">
      <c r="A598" s="2">
        <v>45069</v>
      </c>
      <c r="B598" s="1">
        <v>2060</v>
      </c>
      <c r="D598" s="2">
        <v>45069</v>
      </c>
      <c r="E598" s="3">
        <v>2155.4</v>
      </c>
      <c r="G598" s="3">
        <v>1680000</v>
      </c>
      <c r="H598" s="3">
        <f t="shared" si="27"/>
        <v>3460800000</v>
      </c>
      <c r="J598" s="3">
        <v>7500000</v>
      </c>
      <c r="K598" s="3"/>
      <c r="L598" s="3">
        <f t="shared" si="28"/>
        <v>16165500000</v>
      </c>
      <c r="N598" s="4">
        <f t="shared" si="29"/>
        <v>0.7859144474343509</v>
      </c>
    </row>
    <row r="599" spans="1:14" x14ac:dyDescent="0.45">
      <c r="A599" s="2">
        <v>45068</v>
      </c>
      <c r="B599" s="1">
        <v>2000</v>
      </c>
      <c r="D599" s="2">
        <v>45068</v>
      </c>
      <c r="E599" s="3">
        <v>2163.15</v>
      </c>
      <c r="G599" s="3">
        <v>1680000</v>
      </c>
      <c r="H599" s="3">
        <f t="shared" si="27"/>
        <v>3360000000</v>
      </c>
      <c r="J599" s="3">
        <v>7500000</v>
      </c>
      <c r="K599" s="3"/>
      <c r="L599" s="3">
        <f t="shared" si="28"/>
        <v>16223625000</v>
      </c>
      <c r="N599" s="4">
        <f t="shared" si="29"/>
        <v>0.79289462126990728</v>
      </c>
    </row>
    <row r="600" spans="1:14" x14ac:dyDescent="0.45">
      <c r="A600" s="2">
        <v>45065</v>
      </c>
      <c r="B600" s="1">
        <v>2000</v>
      </c>
      <c r="D600" s="2">
        <v>45065</v>
      </c>
      <c r="E600" s="3">
        <v>2142.65</v>
      </c>
      <c r="G600" s="3">
        <v>1680000</v>
      </c>
      <c r="H600" s="3">
        <f t="shared" si="27"/>
        <v>3360000000</v>
      </c>
      <c r="J600" s="3">
        <v>7500000</v>
      </c>
      <c r="K600" s="3"/>
      <c r="L600" s="3">
        <f t="shared" si="28"/>
        <v>16069875000</v>
      </c>
      <c r="N600" s="4">
        <f t="shared" si="29"/>
        <v>0.79091312160175486</v>
      </c>
    </row>
    <row r="601" spans="1:14" x14ac:dyDescent="0.45">
      <c r="A601" s="2">
        <v>45064</v>
      </c>
      <c r="B601" s="1">
        <v>1993</v>
      </c>
      <c r="D601" s="2">
        <v>45064</v>
      </c>
      <c r="E601" s="3">
        <v>2162.1999999999998</v>
      </c>
      <c r="G601" s="3">
        <v>1680000</v>
      </c>
      <c r="H601" s="3">
        <f t="shared" si="27"/>
        <v>3348240000</v>
      </c>
      <c r="J601" s="3">
        <v>7500000</v>
      </c>
      <c r="K601" s="3"/>
      <c r="L601" s="3">
        <f t="shared" si="28"/>
        <v>16216499999.999998</v>
      </c>
      <c r="N601" s="4">
        <f t="shared" si="29"/>
        <v>0.79352881324576818</v>
      </c>
    </row>
    <row r="602" spans="1:14" x14ac:dyDescent="0.45">
      <c r="A602" s="2">
        <v>45063</v>
      </c>
      <c r="B602" s="1">
        <v>2062.85</v>
      </c>
      <c r="D602" s="2">
        <v>45063</v>
      </c>
      <c r="E602" s="1">
        <v>2189</v>
      </c>
      <c r="G602" s="3">
        <v>1680000</v>
      </c>
      <c r="H602" s="3">
        <f t="shared" si="27"/>
        <v>3465588000</v>
      </c>
      <c r="J602" s="3">
        <v>7500000</v>
      </c>
      <c r="K602" s="3"/>
      <c r="L602" s="3">
        <f t="shared" si="28"/>
        <v>16417500000</v>
      </c>
      <c r="N602" s="4">
        <f t="shared" si="29"/>
        <v>0.7889089081772499</v>
      </c>
    </row>
    <row r="603" spans="1:14" x14ac:dyDescent="0.45">
      <c r="A603" s="2">
        <v>45062</v>
      </c>
      <c r="B603" s="1">
        <v>1901.9</v>
      </c>
      <c r="D603" s="2">
        <v>45062</v>
      </c>
      <c r="E603" s="1">
        <v>2157.8000000000002</v>
      </c>
      <c r="G603" s="3">
        <v>1680000</v>
      </c>
      <c r="H603" s="3">
        <f t="shared" si="27"/>
        <v>3195192000</v>
      </c>
      <c r="J603" s="3">
        <v>7500000</v>
      </c>
      <c r="K603" s="3"/>
      <c r="L603" s="3">
        <f t="shared" si="28"/>
        <v>16183500000.000002</v>
      </c>
      <c r="N603" s="4">
        <f t="shared" si="29"/>
        <v>0.80256483455371219</v>
      </c>
    </row>
    <row r="604" spans="1:14" x14ac:dyDescent="0.45">
      <c r="A604" s="2">
        <v>45061</v>
      </c>
      <c r="B604" s="1">
        <v>1945</v>
      </c>
      <c r="D604" s="2">
        <v>45061</v>
      </c>
      <c r="E604" s="1">
        <v>2144.6</v>
      </c>
      <c r="G604" s="3">
        <v>1680000</v>
      </c>
      <c r="H604" s="3">
        <f t="shared" si="27"/>
        <v>3267600000</v>
      </c>
      <c r="J604" s="3">
        <v>7500000</v>
      </c>
      <c r="K604" s="3"/>
      <c r="L604" s="3">
        <f t="shared" si="28"/>
        <v>16084500000</v>
      </c>
      <c r="N604" s="4">
        <f t="shared" si="29"/>
        <v>0.79684789704373782</v>
      </c>
    </row>
    <row r="605" spans="1:14" x14ac:dyDescent="0.45">
      <c r="A605" s="2">
        <v>45058</v>
      </c>
      <c r="B605" s="1">
        <v>1949.4</v>
      </c>
      <c r="D605" s="2">
        <v>45058</v>
      </c>
      <c r="E605" s="3">
        <v>2109.3000000000002</v>
      </c>
      <c r="G605" s="3">
        <v>1680000</v>
      </c>
      <c r="H605" s="3">
        <f t="shared" si="27"/>
        <v>3274992000</v>
      </c>
      <c r="J605" s="3">
        <v>7500000</v>
      </c>
      <c r="K605" s="3"/>
      <c r="L605" s="3">
        <f t="shared" si="28"/>
        <v>15819750000.000002</v>
      </c>
      <c r="N605" s="4">
        <f t="shared" si="29"/>
        <v>0.79298079931730903</v>
      </c>
    </row>
    <row r="606" spans="1:14" x14ac:dyDescent="0.45">
      <c r="A606" s="2">
        <v>45057</v>
      </c>
      <c r="B606" s="1">
        <v>1975</v>
      </c>
      <c r="D606" s="2">
        <v>45057</v>
      </c>
      <c r="E606" s="1">
        <v>2177.3000000000002</v>
      </c>
      <c r="G606" s="3">
        <v>1680000</v>
      </c>
      <c r="H606" s="3">
        <f t="shared" si="27"/>
        <v>3318000000</v>
      </c>
      <c r="J606" s="3">
        <v>7500000</v>
      </c>
      <c r="K606" s="3"/>
      <c r="L606" s="3">
        <f t="shared" si="28"/>
        <v>16329750000.000002</v>
      </c>
      <c r="N606" s="4">
        <f t="shared" si="29"/>
        <v>0.79681256602213757</v>
      </c>
    </row>
    <row r="607" spans="1:14" x14ac:dyDescent="0.45">
      <c r="A607" s="2">
        <v>45056</v>
      </c>
      <c r="B607" s="1">
        <v>1944.35</v>
      </c>
      <c r="D607" s="2">
        <v>45056</v>
      </c>
      <c r="E607" s="1">
        <v>2196.6</v>
      </c>
      <c r="G607" s="3">
        <v>1680000</v>
      </c>
      <c r="H607" s="3">
        <f t="shared" si="27"/>
        <v>3266508000</v>
      </c>
      <c r="J607" s="3">
        <v>7500000</v>
      </c>
      <c r="K607" s="3"/>
      <c r="L607" s="3">
        <f t="shared" si="28"/>
        <v>16474500000</v>
      </c>
      <c r="N607" s="4">
        <f t="shared" si="29"/>
        <v>0.80172339069470999</v>
      </c>
    </row>
    <row r="608" spans="1:14" x14ac:dyDescent="0.45">
      <c r="A608" s="2">
        <v>45055</v>
      </c>
      <c r="B608" s="1">
        <v>1925</v>
      </c>
      <c r="D608" s="2">
        <v>45055</v>
      </c>
      <c r="E608" s="1">
        <v>2277.4499999999998</v>
      </c>
      <c r="G608" s="3">
        <v>1680000</v>
      </c>
      <c r="H608" s="3">
        <f t="shared" si="27"/>
        <v>3234000000</v>
      </c>
      <c r="J608" s="3">
        <v>7500000</v>
      </c>
      <c r="K608" s="3"/>
      <c r="L608" s="3">
        <f t="shared" si="28"/>
        <v>17080874999.999998</v>
      </c>
      <c r="N608" s="4">
        <f t="shared" si="29"/>
        <v>0.81066543722145379</v>
      </c>
    </row>
    <row r="609" spans="1:14" x14ac:dyDescent="0.45">
      <c r="A609" s="2">
        <v>45054</v>
      </c>
      <c r="B609" s="1">
        <v>1932.5</v>
      </c>
      <c r="D609" s="2">
        <v>45054</v>
      </c>
      <c r="E609" s="1">
        <v>2242.5</v>
      </c>
      <c r="G609" s="3">
        <v>1680000</v>
      </c>
      <c r="H609" s="3">
        <f t="shared" si="27"/>
        <v>3246600000</v>
      </c>
      <c r="J609" s="3">
        <v>7500000</v>
      </c>
      <c r="K609" s="3"/>
      <c r="L609" s="3">
        <f t="shared" si="28"/>
        <v>16818750000</v>
      </c>
      <c r="N609" s="4">
        <f t="shared" si="29"/>
        <v>0.80696544035674467</v>
      </c>
    </row>
    <row r="610" spans="1:14" x14ac:dyDescent="0.45">
      <c r="A610" s="2">
        <v>45051</v>
      </c>
      <c r="B610" s="1">
        <v>1920.5</v>
      </c>
      <c r="D610" s="2">
        <v>45051</v>
      </c>
      <c r="E610" s="1">
        <v>2209.9499999999998</v>
      </c>
      <c r="G610" s="3">
        <v>1680000</v>
      </c>
      <c r="H610" s="3">
        <f t="shared" si="27"/>
        <v>3226440000</v>
      </c>
      <c r="J610" s="3">
        <v>7500000</v>
      </c>
      <c r="K610" s="3"/>
      <c r="L610" s="3">
        <f t="shared" si="28"/>
        <v>16574624999.999998</v>
      </c>
      <c r="N610" s="4">
        <f t="shared" si="29"/>
        <v>0.80533858232086697</v>
      </c>
    </row>
    <row r="611" spans="1:14" x14ac:dyDescent="0.45">
      <c r="A611" s="2">
        <v>45050</v>
      </c>
      <c r="B611" s="1">
        <v>1943.25</v>
      </c>
      <c r="D611" s="2">
        <v>45050</v>
      </c>
      <c r="E611" s="1">
        <v>2220.0500000000002</v>
      </c>
      <c r="G611" s="3">
        <v>1680000</v>
      </c>
      <c r="H611" s="3">
        <f t="shared" si="27"/>
        <v>3264660000</v>
      </c>
      <c r="J611" s="3">
        <v>7500000</v>
      </c>
      <c r="K611" s="3"/>
      <c r="L611" s="3">
        <f t="shared" si="28"/>
        <v>16650375000.000002</v>
      </c>
      <c r="N611" s="4">
        <f t="shared" si="29"/>
        <v>0.803928740343686</v>
      </c>
    </row>
    <row r="612" spans="1:14" x14ac:dyDescent="0.45">
      <c r="A612" s="2">
        <v>45049</v>
      </c>
      <c r="B612" s="1">
        <v>1915</v>
      </c>
      <c r="D612" s="2">
        <v>45049</v>
      </c>
      <c r="E612" s="1">
        <v>2213.5</v>
      </c>
      <c r="G612" s="3">
        <v>1680000</v>
      </c>
      <c r="H612" s="3">
        <f t="shared" si="27"/>
        <v>3217200000</v>
      </c>
      <c r="J612" s="3">
        <v>7500000</v>
      </c>
      <c r="K612" s="3"/>
      <c r="L612" s="3">
        <f t="shared" si="28"/>
        <v>16601250000</v>
      </c>
      <c r="N612" s="4">
        <f t="shared" si="29"/>
        <v>0.80620736390332048</v>
      </c>
    </row>
    <row r="613" spans="1:14" x14ac:dyDescent="0.45">
      <c r="A613" s="2">
        <v>45048</v>
      </c>
      <c r="B613" s="1">
        <v>1915.2</v>
      </c>
      <c r="D613" s="2">
        <v>45048</v>
      </c>
      <c r="E613" s="1">
        <v>2214.6</v>
      </c>
      <c r="G613" s="3">
        <v>1680000</v>
      </c>
      <c r="H613" s="3">
        <f t="shared" si="27"/>
        <v>3217536000</v>
      </c>
      <c r="J613" s="3">
        <v>7500000</v>
      </c>
      <c r="K613" s="3"/>
      <c r="L613" s="3">
        <f t="shared" si="28"/>
        <v>16609500000</v>
      </c>
      <c r="N613" s="4">
        <f t="shared" si="29"/>
        <v>0.80628339203467891</v>
      </c>
    </row>
    <row r="614" spans="1:14" x14ac:dyDescent="0.45">
      <c r="A614" s="2">
        <v>45044</v>
      </c>
      <c r="B614" s="1">
        <v>1933.8</v>
      </c>
      <c r="D614" s="2">
        <v>45044</v>
      </c>
      <c r="E614" s="1">
        <v>2246.85</v>
      </c>
      <c r="G614" s="3">
        <v>1680000</v>
      </c>
      <c r="H614" s="3">
        <f t="shared" si="27"/>
        <v>3248784000</v>
      </c>
      <c r="J614" s="3">
        <v>7500000</v>
      </c>
      <c r="K614" s="3"/>
      <c r="L614" s="3">
        <f t="shared" si="28"/>
        <v>16851375000</v>
      </c>
      <c r="N614" s="4">
        <f t="shared" si="29"/>
        <v>0.80720956005073774</v>
      </c>
    </row>
    <row r="615" spans="1:14" x14ac:dyDescent="0.45">
      <c r="A615" s="2">
        <v>45043</v>
      </c>
      <c r="B615" s="1">
        <v>1912.6</v>
      </c>
      <c r="D615" s="2">
        <v>45043</v>
      </c>
      <c r="E615" s="1">
        <v>2233.75</v>
      </c>
      <c r="G615" s="3">
        <v>1680000</v>
      </c>
      <c r="H615" s="3">
        <f t="shared" si="27"/>
        <v>3213168000</v>
      </c>
      <c r="J615" s="3">
        <v>7500000</v>
      </c>
      <c r="K615" s="3"/>
      <c r="L615" s="3">
        <f t="shared" si="28"/>
        <v>16753125000</v>
      </c>
      <c r="N615" s="4">
        <f t="shared" si="29"/>
        <v>0.80820485730274205</v>
      </c>
    </row>
    <row r="616" spans="1:14" x14ac:dyDescent="0.45">
      <c r="A616" s="2">
        <v>45042</v>
      </c>
      <c r="B616" s="1">
        <v>1969.4</v>
      </c>
      <c r="D616" s="2">
        <v>45042</v>
      </c>
      <c r="E616" s="1">
        <v>2226.4</v>
      </c>
      <c r="G616" s="3">
        <v>1680000</v>
      </c>
      <c r="H616" s="3">
        <f t="shared" si="27"/>
        <v>3308592000</v>
      </c>
      <c r="J616" s="3">
        <v>7500000</v>
      </c>
      <c r="K616" s="3"/>
      <c r="L616" s="3">
        <f t="shared" si="28"/>
        <v>16698000000</v>
      </c>
      <c r="N616" s="4">
        <f t="shared" si="29"/>
        <v>0.80185698886094148</v>
      </c>
    </row>
    <row r="617" spans="1:14" x14ac:dyDescent="0.45">
      <c r="A617" s="2">
        <v>45041</v>
      </c>
      <c r="B617" s="1">
        <v>1964.65</v>
      </c>
      <c r="D617" s="2">
        <v>45041</v>
      </c>
      <c r="E617" s="1">
        <v>2250.6999999999998</v>
      </c>
      <c r="G617" s="3">
        <v>1680000</v>
      </c>
      <c r="H617" s="3">
        <f t="shared" si="27"/>
        <v>3300612000</v>
      </c>
      <c r="J617" s="3">
        <v>7500000</v>
      </c>
      <c r="K617" s="3"/>
      <c r="L617" s="3">
        <f t="shared" si="28"/>
        <v>16880249999.999998</v>
      </c>
      <c r="N617" s="4">
        <f t="shared" si="29"/>
        <v>0.80446900964144485</v>
      </c>
    </row>
    <row r="618" spans="1:14" x14ac:dyDescent="0.45">
      <c r="A618" s="2">
        <v>45040</v>
      </c>
      <c r="B618" s="1">
        <v>1948.65</v>
      </c>
      <c r="D618" s="2">
        <v>45040</v>
      </c>
      <c r="E618" s="1">
        <v>2229.5</v>
      </c>
      <c r="G618" s="3">
        <v>1680000</v>
      </c>
      <c r="H618" s="3">
        <f t="shared" si="27"/>
        <v>3273732000</v>
      </c>
      <c r="J618" s="3">
        <v>7500000</v>
      </c>
      <c r="K618" s="3"/>
      <c r="L618" s="3">
        <f t="shared" si="28"/>
        <v>16721250000</v>
      </c>
      <c r="N618" s="4">
        <f t="shared" si="29"/>
        <v>0.80421726844583985</v>
      </c>
    </row>
    <row r="619" spans="1:14" x14ac:dyDescent="0.45">
      <c r="A619" s="2">
        <v>45037</v>
      </c>
      <c r="B619" s="1">
        <v>1925.6</v>
      </c>
      <c r="D619" s="2">
        <v>45037</v>
      </c>
      <c r="E619" s="1">
        <v>2176.1</v>
      </c>
      <c r="G619" s="3">
        <v>1680000</v>
      </c>
      <c r="H619" s="3">
        <f t="shared" si="27"/>
        <v>3235008000</v>
      </c>
      <c r="J619" s="3">
        <v>7500000</v>
      </c>
      <c r="K619" s="3"/>
      <c r="L619" s="3">
        <f t="shared" si="28"/>
        <v>16320750000</v>
      </c>
      <c r="N619" s="4">
        <f t="shared" si="29"/>
        <v>0.80178557970681497</v>
      </c>
    </row>
    <row r="620" spans="1:14" x14ac:dyDescent="0.45">
      <c r="A620" s="2">
        <v>45036</v>
      </c>
      <c r="B620" s="1">
        <v>1911</v>
      </c>
      <c r="D620" s="2">
        <v>45036</v>
      </c>
      <c r="E620" s="1">
        <v>2204.1</v>
      </c>
      <c r="G620" s="3">
        <v>1680000</v>
      </c>
      <c r="H620" s="3">
        <f t="shared" si="27"/>
        <v>3210480000</v>
      </c>
      <c r="J620" s="3">
        <v>7500000</v>
      </c>
      <c r="K620" s="3"/>
      <c r="L620" s="3">
        <f t="shared" si="28"/>
        <v>16530750000</v>
      </c>
      <c r="N620" s="4">
        <f t="shared" si="29"/>
        <v>0.80578739621614259</v>
      </c>
    </row>
    <row r="621" spans="1:14" x14ac:dyDescent="0.45">
      <c r="A621" s="2">
        <v>45035</v>
      </c>
      <c r="B621" s="1">
        <v>1905.5</v>
      </c>
      <c r="D621" s="2">
        <v>45035</v>
      </c>
      <c r="E621" s="1">
        <v>2171.4</v>
      </c>
      <c r="G621" s="3">
        <v>1680000</v>
      </c>
      <c r="H621" s="3">
        <f t="shared" si="27"/>
        <v>3201240000</v>
      </c>
      <c r="J621" s="3">
        <v>7500000</v>
      </c>
      <c r="K621" s="3"/>
      <c r="L621" s="3">
        <f t="shared" si="28"/>
        <v>16285500000</v>
      </c>
      <c r="N621" s="4">
        <f t="shared" si="29"/>
        <v>0.80343004513217275</v>
      </c>
    </row>
    <row r="622" spans="1:14" x14ac:dyDescent="0.45">
      <c r="A622" s="2">
        <v>45034</v>
      </c>
      <c r="B622" s="1">
        <v>1902.3</v>
      </c>
      <c r="D622" s="2">
        <v>45034</v>
      </c>
      <c r="E622" s="1">
        <v>2174.9</v>
      </c>
      <c r="G622" s="3">
        <v>1680000</v>
      </c>
      <c r="H622" s="3">
        <f t="shared" si="27"/>
        <v>3195864000</v>
      </c>
      <c r="J622" s="3">
        <v>7500000</v>
      </c>
      <c r="K622" s="3"/>
      <c r="L622" s="3">
        <f t="shared" si="28"/>
        <v>16311750000</v>
      </c>
      <c r="N622" s="4">
        <f t="shared" si="29"/>
        <v>0.80407595751528804</v>
      </c>
    </row>
    <row r="623" spans="1:14" x14ac:dyDescent="0.45">
      <c r="A623" s="2">
        <v>45033</v>
      </c>
      <c r="B623" s="1">
        <v>1891.5</v>
      </c>
      <c r="D623" s="2">
        <v>45033</v>
      </c>
      <c r="E623" s="1">
        <v>2259.6999999999998</v>
      </c>
      <c r="G623" s="3">
        <v>1680000</v>
      </c>
      <c r="H623" s="3">
        <f t="shared" si="27"/>
        <v>3177720000</v>
      </c>
      <c r="J623" s="3">
        <v>7500000</v>
      </c>
      <c r="K623" s="3"/>
      <c r="L623" s="3">
        <f t="shared" si="28"/>
        <v>16947749999.999998</v>
      </c>
      <c r="N623" s="4">
        <f t="shared" si="29"/>
        <v>0.81249900429260524</v>
      </c>
    </row>
    <row r="624" spans="1:14" x14ac:dyDescent="0.45">
      <c r="A624" s="2">
        <v>45029</v>
      </c>
      <c r="B624" s="1">
        <v>1791</v>
      </c>
      <c r="D624" s="2">
        <v>45029</v>
      </c>
      <c r="E624" s="1">
        <v>2242.85</v>
      </c>
      <c r="G624" s="3">
        <v>1680000</v>
      </c>
      <c r="H624" s="3">
        <f t="shared" si="27"/>
        <v>3008880000</v>
      </c>
      <c r="J624" s="3">
        <v>7500000</v>
      </c>
      <c r="K624" s="3"/>
      <c r="L624" s="3">
        <f t="shared" si="28"/>
        <v>16821375000</v>
      </c>
      <c r="N624" s="4">
        <f t="shared" si="29"/>
        <v>0.8211275832088637</v>
      </c>
    </row>
    <row r="625" spans="1:14" x14ac:dyDescent="0.45">
      <c r="A625" s="2">
        <v>45028</v>
      </c>
      <c r="B625" s="1">
        <v>1799</v>
      </c>
      <c r="D625" s="2">
        <v>45028</v>
      </c>
      <c r="E625" s="1">
        <v>2221.9499999999998</v>
      </c>
      <c r="G625" s="3">
        <v>1680000</v>
      </c>
      <c r="H625" s="3">
        <f t="shared" si="27"/>
        <v>3022320000</v>
      </c>
      <c r="J625" s="3">
        <v>7500000</v>
      </c>
      <c r="K625" s="3"/>
      <c r="L625" s="3">
        <f t="shared" si="28"/>
        <v>16664624999.999998</v>
      </c>
      <c r="N625" s="4">
        <f t="shared" si="29"/>
        <v>0.81863858322644523</v>
      </c>
    </row>
    <row r="626" spans="1:14" x14ac:dyDescent="0.45">
      <c r="A626" s="2">
        <v>45027</v>
      </c>
      <c r="B626" s="1">
        <v>1799</v>
      </c>
      <c r="D626" s="2">
        <v>45027</v>
      </c>
      <c r="E626" s="1">
        <v>2239.8000000000002</v>
      </c>
      <c r="G626" s="3">
        <v>1680000</v>
      </c>
      <c r="H626" s="3">
        <f t="shared" si="27"/>
        <v>3022320000</v>
      </c>
      <c r="J626" s="3">
        <v>7500000</v>
      </c>
      <c r="K626" s="3"/>
      <c r="L626" s="3">
        <f t="shared" si="28"/>
        <v>16798500000.000002</v>
      </c>
      <c r="N626" s="4">
        <f t="shared" si="29"/>
        <v>0.82008393606572016</v>
      </c>
    </row>
    <row r="627" spans="1:14" x14ac:dyDescent="0.45">
      <c r="A627" s="2">
        <v>45026</v>
      </c>
      <c r="B627" s="1">
        <v>1786</v>
      </c>
      <c r="D627" s="2">
        <v>45026</v>
      </c>
      <c r="E627" s="1">
        <v>2194.6999999999998</v>
      </c>
      <c r="G627" s="3">
        <v>1680000</v>
      </c>
      <c r="H627" s="3">
        <f t="shared" si="27"/>
        <v>3000480000</v>
      </c>
      <c r="J627" s="3">
        <v>7500000</v>
      </c>
      <c r="K627" s="3"/>
      <c r="L627" s="3">
        <f t="shared" si="28"/>
        <v>16460249999.999998</v>
      </c>
      <c r="N627" s="4">
        <f t="shared" si="29"/>
        <v>0.81771358272201211</v>
      </c>
    </row>
    <row r="628" spans="1:14" x14ac:dyDescent="0.45">
      <c r="A628" s="2">
        <v>45022</v>
      </c>
      <c r="B628" s="1">
        <v>1790.4</v>
      </c>
      <c r="D628" s="2">
        <v>45022</v>
      </c>
      <c r="E628" s="1">
        <v>2237.65</v>
      </c>
      <c r="G628" s="3">
        <v>1680000</v>
      </c>
      <c r="H628" s="3">
        <f t="shared" si="27"/>
        <v>3007872000</v>
      </c>
      <c r="J628" s="3">
        <v>7500000</v>
      </c>
      <c r="K628" s="3"/>
      <c r="L628" s="3">
        <f t="shared" si="28"/>
        <v>16782375000</v>
      </c>
      <c r="N628" s="4">
        <f t="shared" si="29"/>
        <v>0.82077197059415008</v>
      </c>
    </row>
    <row r="629" spans="1:14" x14ac:dyDescent="0.45">
      <c r="A629" s="2">
        <v>45021</v>
      </c>
      <c r="B629" s="1">
        <v>1779.55</v>
      </c>
      <c r="D629" s="2">
        <v>45021</v>
      </c>
      <c r="E629" s="1">
        <v>2231.85</v>
      </c>
      <c r="G629" s="3">
        <v>1680000</v>
      </c>
      <c r="H629" s="3">
        <f t="shared" si="27"/>
        <v>2989644000</v>
      </c>
      <c r="J629" s="3">
        <v>7500000</v>
      </c>
      <c r="K629" s="3"/>
      <c r="L629" s="3">
        <f t="shared" si="28"/>
        <v>16738875000</v>
      </c>
      <c r="N629" s="4">
        <f t="shared" si="29"/>
        <v>0.82139516544570645</v>
      </c>
    </row>
    <row r="630" spans="1:14" x14ac:dyDescent="0.45">
      <c r="A630" s="2">
        <v>45019</v>
      </c>
      <c r="B630" s="1">
        <v>1760.5</v>
      </c>
      <c r="D630" s="2">
        <v>45019</v>
      </c>
      <c r="E630" s="1">
        <v>2188.4</v>
      </c>
      <c r="G630" s="3">
        <v>1680000</v>
      </c>
      <c r="H630" s="3">
        <f t="shared" si="27"/>
        <v>2957640000</v>
      </c>
      <c r="J630" s="3">
        <v>7500000</v>
      </c>
      <c r="K630" s="3"/>
      <c r="L630" s="3">
        <f t="shared" si="28"/>
        <v>16413000000</v>
      </c>
      <c r="N630" s="4">
        <f t="shared" si="29"/>
        <v>0.81979893986474139</v>
      </c>
    </row>
    <row r="631" spans="1:14" x14ac:dyDescent="0.45">
      <c r="A631" s="2">
        <v>45016</v>
      </c>
      <c r="B631" s="1">
        <v>1779.95</v>
      </c>
      <c r="D631" s="2">
        <v>45016</v>
      </c>
      <c r="E631" s="1">
        <v>2091.6</v>
      </c>
      <c r="G631" s="3">
        <v>1680000</v>
      </c>
      <c r="H631" s="3">
        <f t="shared" si="27"/>
        <v>2990316000</v>
      </c>
      <c r="J631" s="3">
        <v>7500000</v>
      </c>
      <c r="K631" s="3"/>
      <c r="L631" s="3">
        <f t="shared" si="28"/>
        <v>15687000000</v>
      </c>
      <c r="N631" s="4">
        <f t="shared" si="29"/>
        <v>0.80937617135207496</v>
      </c>
    </row>
    <row r="632" spans="1:14" x14ac:dyDescent="0.45">
      <c r="A632" s="2">
        <v>45014</v>
      </c>
      <c r="B632" s="1">
        <v>1846</v>
      </c>
      <c r="D632" s="2">
        <v>45014</v>
      </c>
      <c r="E632" s="1">
        <v>2072.9</v>
      </c>
      <c r="G632" s="3">
        <v>1680000</v>
      </c>
      <c r="H632" s="3">
        <f t="shared" si="27"/>
        <v>3101280000</v>
      </c>
      <c r="J632" s="3">
        <v>7500000</v>
      </c>
      <c r="K632" s="3"/>
      <c r="L632" s="3">
        <f t="shared" si="28"/>
        <v>15546750000</v>
      </c>
      <c r="N632" s="4">
        <f t="shared" si="29"/>
        <v>0.80051907955038837</v>
      </c>
    </row>
    <row r="633" spans="1:14" x14ac:dyDescent="0.45">
      <c r="A633" s="2">
        <v>45013</v>
      </c>
      <c r="B633" s="1">
        <v>1920.85</v>
      </c>
      <c r="D633" s="2">
        <v>45013</v>
      </c>
      <c r="E633" s="1">
        <v>2058.4499999999998</v>
      </c>
      <c r="G633" s="3">
        <v>1680000</v>
      </c>
      <c r="H633" s="3">
        <f t="shared" si="27"/>
        <v>3227028000</v>
      </c>
      <c r="J633" s="3">
        <v>7500000</v>
      </c>
      <c r="K633" s="3"/>
      <c r="L633" s="3">
        <f t="shared" si="28"/>
        <v>15438374999.999998</v>
      </c>
      <c r="N633" s="4">
        <f t="shared" si="29"/>
        <v>0.79097359663824718</v>
      </c>
    </row>
    <row r="634" spans="1:14" x14ac:dyDescent="0.45">
      <c r="A634" s="2">
        <v>45012</v>
      </c>
      <c r="B634" s="1">
        <v>1903</v>
      </c>
      <c r="D634" s="2">
        <v>45012</v>
      </c>
      <c r="E634" s="1">
        <v>2052</v>
      </c>
      <c r="G634" s="3">
        <v>1680000</v>
      </c>
      <c r="H634" s="3">
        <f t="shared" si="27"/>
        <v>3197040000</v>
      </c>
      <c r="J634" s="3">
        <v>7500000</v>
      </c>
      <c r="K634" s="3"/>
      <c r="L634" s="3">
        <f t="shared" si="28"/>
        <v>15390000000</v>
      </c>
      <c r="N634" s="4">
        <f t="shared" si="29"/>
        <v>0.79226510721247567</v>
      </c>
    </row>
    <row r="635" spans="1:14" x14ac:dyDescent="0.45">
      <c r="A635" s="2">
        <v>45009</v>
      </c>
      <c r="B635" s="1">
        <v>1917.25</v>
      </c>
      <c r="D635" s="2">
        <v>45009</v>
      </c>
      <c r="E635" s="1">
        <v>2079.75</v>
      </c>
      <c r="G635" s="3">
        <v>1680000</v>
      </c>
      <c r="H635" s="3">
        <f t="shared" si="27"/>
        <v>3220980000</v>
      </c>
      <c r="J635" s="3">
        <v>7500000</v>
      </c>
      <c r="K635" s="3"/>
      <c r="L635" s="3">
        <f t="shared" si="28"/>
        <v>15598125000</v>
      </c>
      <c r="N635" s="4">
        <f t="shared" si="29"/>
        <v>0.79350210361822338</v>
      </c>
    </row>
    <row r="636" spans="1:14" x14ac:dyDescent="0.45">
      <c r="A636" s="2">
        <v>45008</v>
      </c>
      <c r="B636" s="1">
        <v>1874.2</v>
      </c>
      <c r="D636" s="2">
        <v>45008</v>
      </c>
      <c r="E636" s="1">
        <v>2076.3000000000002</v>
      </c>
      <c r="G636" s="3">
        <v>1680000</v>
      </c>
      <c r="H636" s="3">
        <f t="shared" si="27"/>
        <v>3148656000</v>
      </c>
      <c r="J636" s="3">
        <v>7500000</v>
      </c>
      <c r="K636" s="3"/>
      <c r="L636" s="3">
        <f t="shared" si="28"/>
        <v>15572250000.000002</v>
      </c>
      <c r="N636" s="4">
        <f t="shared" si="29"/>
        <v>0.79780340027934304</v>
      </c>
    </row>
    <row r="637" spans="1:14" x14ac:dyDescent="0.45">
      <c r="A637" s="2">
        <v>45007</v>
      </c>
      <c r="B637" s="1">
        <v>1870.3</v>
      </c>
      <c r="D637" s="2">
        <v>45007</v>
      </c>
      <c r="E637" s="1">
        <v>2077.1</v>
      </c>
      <c r="G637" s="3">
        <v>1680000</v>
      </c>
      <c r="H637" s="3">
        <f t="shared" si="27"/>
        <v>3142104000</v>
      </c>
      <c r="J637" s="3">
        <v>7500000</v>
      </c>
      <c r="K637" s="3"/>
      <c r="L637" s="3">
        <f t="shared" si="28"/>
        <v>15578250000</v>
      </c>
      <c r="N637" s="4">
        <f t="shared" si="29"/>
        <v>0.79830186317461849</v>
      </c>
    </row>
    <row r="638" spans="1:14" x14ac:dyDescent="0.45">
      <c r="A638" s="2">
        <v>45006</v>
      </c>
      <c r="B638" s="1">
        <v>1902.8</v>
      </c>
      <c r="D638" s="2">
        <v>45006</v>
      </c>
      <c r="E638" s="1">
        <v>2071.4</v>
      </c>
      <c r="G638" s="3">
        <v>1680000</v>
      </c>
      <c r="H638" s="3">
        <f t="shared" si="27"/>
        <v>3196704000</v>
      </c>
      <c r="J638" s="3">
        <v>7500000</v>
      </c>
      <c r="K638" s="3"/>
      <c r="L638" s="3">
        <f t="shared" si="28"/>
        <v>15535500000</v>
      </c>
      <c r="N638" s="4">
        <f t="shared" si="29"/>
        <v>0.79423230665250555</v>
      </c>
    </row>
    <row r="639" spans="1:14" x14ac:dyDescent="0.45">
      <c r="A639" s="2">
        <v>45005</v>
      </c>
      <c r="B639" s="1">
        <v>1861.35</v>
      </c>
      <c r="D639" s="2">
        <v>45005</v>
      </c>
      <c r="E639" s="1">
        <v>2054.0500000000002</v>
      </c>
      <c r="G639" s="3">
        <v>1680000</v>
      </c>
      <c r="H639" s="3">
        <f t="shared" si="27"/>
        <v>3127068000</v>
      </c>
      <c r="J639" s="3">
        <v>7500000</v>
      </c>
      <c r="K639" s="3"/>
      <c r="L639" s="3">
        <f t="shared" si="28"/>
        <v>15405375000.000002</v>
      </c>
      <c r="N639" s="4">
        <f t="shared" si="29"/>
        <v>0.79701448358121763</v>
      </c>
    </row>
    <row r="640" spans="1:14" x14ac:dyDescent="0.45">
      <c r="A640" s="2">
        <v>45002</v>
      </c>
      <c r="B640" s="1">
        <v>1898.4</v>
      </c>
      <c r="D640" s="2">
        <v>45002</v>
      </c>
      <c r="E640" s="1">
        <v>2066.25</v>
      </c>
      <c r="G640" s="3">
        <v>1680000</v>
      </c>
      <c r="H640" s="3">
        <f t="shared" si="27"/>
        <v>3189312000</v>
      </c>
      <c r="J640" s="3">
        <v>7500000</v>
      </c>
      <c r="K640" s="3"/>
      <c r="L640" s="3">
        <f t="shared" si="28"/>
        <v>15496875000</v>
      </c>
      <c r="N640" s="4">
        <f t="shared" si="29"/>
        <v>0.79419644283121593</v>
      </c>
    </row>
    <row r="641" spans="1:14" x14ac:dyDescent="0.45">
      <c r="A641" s="2">
        <v>45001</v>
      </c>
      <c r="B641" s="1">
        <v>1868</v>
      </c>
      <c r="D641" s="2">
        <v>45001</v>
      </c>
      <c r="E641" s="1">
        <v>1986.9</v>
      </c>
      <c r="G641" s="3">
        <v>1680000</v>
      </c>
      <c r="H641" s="3">
        <f t="shared" si="27"/>
        <v>3138240000</v>
      </c>
      <c r="J641" s="3">
        <v>7500000</v>
      </c>
      <c r="K641" s="3"/>
      <c r="L641" s="3">
        <f t="shared" si="28"/>
        <v>14901750000</v>
      </c>
      <c r="N641" s="4">
        <f t="shared" si="29"/>
        <v>0.78940460013085711</v>
      </c>
    </row>
    <row r="642" spans="1:14" x14ac:dyDescent="0.45">
      <c r="A642" s="2">
        <v>45000</v>
      </c>
      <c r="B642" s="1">
        <v>1878.8</v>
      </c>
      <c r="D642" s="2">
        <v>45000</v>
      </c>
      <c r="E642" s="1">
        <v>2015.4</v>
      </c>
      <c r="G642" s="3">
        <v>1680000</v>
      </c>
      <c r="H642" s="3">
        <f t="shared" si="27"/>
        <v>3156384000</v>
      </c>
      <c r="J642" s="3">
        <v>7500000</v>
      </c>
      <c r="K642" s="3"/>
      <c r="L642" s="3">
        <f t="shared" si="28"/>
        <v>15115500000</v>
      </c>
      <c r="N642" s="4">
        <f t="shared" si="29"/>
        <v>0.79118229631834869</v>
      </c>
    </row>
    <row r="643" spans="1:14" x14ac:dyDescent="0.45">
      <c r="A643" s="2">
        <v>44999</v>
      </c>
      <c r="B643" s="1">
        <v>1817.75</v>
      </c>
      <c r="D643" s="2">
        <v>44999</v>
      </c>
      <c r="E643" s="1">
        <v>2012.75</v>
      </c>
      <c r="G643" s="3">
        <v>1680000</v>
      </c>
      <c r="H643" s="3">
        <f t="shared" ref="H643:H706" si="30">+G643*B643</f>
        <v>3053820000</v>
      </c>
      <c r="J643" s="3">
        <v>7500000</v>
      </c>
      <c r="K643" s="3"/>
      <c r="L643" s="3">
        <f t="shared" ref="L643:L706" si="31">+(J643*E643)</f>
        <v>15095625000</v>
      </c>
      <c r="N643" s="4">
        <f t="shared" ref="N643:N706" si="32">1- (H643/L643)</f>
        <v>0.79770165196869958</v>
      </c>
    </row>
    <row r="644" spans="1:14" x14ac:dyDescent="0.45">
      <c r="A644" s="2">
        <v>44998</v>
      </c>
      <c r="B644" s="1">
        <v>1857.6</v>
      </c>
      <c r="D644" s="2">
        <v>44998</v>
      </c>
      <c r="E644" s="1">
        <v>2022.2</v>
      </c>
      <c r="G644" s="3">
        <v>1680000</v>
      </c>
      <c r="H644" s="3">
        <f t="shared" si="30"/>
        <v>3120768000</v>
      </c>
      <c r="J644" s="3">
        <v>7500000</v>
      </c>
      <c r="K644" s="3"/>
      <c r="L644" s="3">
        <f t="shared" si="31"/>
        <v>15166500000</v>
      </c>
      <c r="N644" s="4">
        <f t="shared" si="32"/>
        <v>0.79423281574522797</v>
      </c>
    </row>
    <row r="645" spans="1:14" x14ac:dyDescent="0.45">
      <c r="A645" s="2">
        <v>44995</v>
      </c>
      <c r="B645" s="1">
        <v>1857.2</v>
      </c>
      <c r="D645" s="2">
        <v>44995</v>
      </c>
      <c r="E645" s="1">
        <v>2089.6</v>
      </c>
      <c r="G645" s="3">
        <v>1680000</v>
      </c>
      <c r="H645" s="3">
        <f t="shared" si="30"/>
        <v>3120096000</v>
      </c>
      <c r="J645" s="3">
        <v>7500000</v>
      </c>
      <c r="K645" s="3"/>
      <c r="L645" s="3">
        <f t="shared" si="31"/>
        <v>15672000000</v>
      </c>
      <c r="N645" s="4">
        <f t="shared" si="32"/>
        <v>0.80091271056661562</v>
      </c>
    </row>
    <row r="646" spans="1:14" x14ac:dyDescent="0.45">
      <c r="A646" s="2">
        <v>44994</v>
      </c>
      <c r="B646" s="1">
        <v>1900</v>
      </c>
      <c r="D646" s="2">
        <v>44994</v>
      </c>
      <c r="E646" s="1">
        <v>1947.65</v>
      </c>
      <c r="G646" s="3">
        <v>1680000</v>
      </c>
      <c r="H646" s="3">
        <f t="shared" si="30"/>
        <v>3192000000</v>
      </c>
      <c r="J646" s="3">
        <v>7500000</v>
      </c>
      <c r="K646" s="3"/>
      <c r="L646" s="3">
        <f t="shared" si="31"/>
        <v>14607375000</v>
      </c>
      <c r="N646" s="4">
        <f t="shared" si="32"/>
        <v>0.78148024542397243</v>
      </c>
    </row>
    <row r="647" spans="1:14" x14ac:dyDescent="0.45">
      <c r="A647" s="2">
        <v>44993</v>
      </c>
      <c r="B647" s="1">
        <v>1890</v>
      </c>
      <c r="D647" s="2">
        <v>44993</v>
      </c>
      <c r="E647" s="1">
        <v>1942</v>
      </c>
      <c r="G647" s="3">
        <v>1680000</v>
      </c>
      <c r="H647" s="3">
        <f t="shared" si="30"/>
        <v>3175200000</v>
      </c>
      <c r="J647" s="3">
        <v>7500000</v>
      </c>
      <c r="K647" s="3"/>
      <c r="L647" s="3">
        <f t="shared" si="31"/>
        <v>14565000000</v>
      </c>
      <c r="N647" s="4">
        <f t="shared" si="32"/>
        <v>0.78199794026776526</v>
      </c>
    </row>
    <row r="648" spans="1:14" x14ac:dyDescent="0.45">
      <c r="A648" s="2">
        <v>44991</v>
      </c>
      <c r="B648" s="1">
        <v>1913.5</v>
      </c>
      <c r="D648" s="2">
        <v>44991</v>
      </c>
      <c r="E648" s="1">
        <v>1942.65</v>
      </c>
      <c r="G648" s="3">
        <v>1680000</v>
      </c>
      <c r="H648" s="3">
        <f t="shared" si="30"/>
        <v>3214680000</v>
      </c>
      <c r="J648" s="3">
        <v>7500000</v>
      </c>
      <c r="K648" s="3"/>
      <c r="L648" s="3">
        <f t="shared" si="31"/>
        <v>14569875000</v>
      </c>
      <c r="N648" s="4">
        <f t="shared" si="32"/>
        <v>0.77936118189071624</v>
      </c>
    </row>
    <row r="649" spans="1:14" x14ac:dyDescent="0.45">
      <c r="A649" s="2">
        <v>44988</v>
      </c>
      <c r="B649" s="1">
        <v>1850</v>
      </c>
      <c r="D649" s="2">
        <v>44988</v>
      </c>
      <c r="E649" s="1">
        <v>1962.3</v>
      </c>
      <c r="G649" s="3">
        <v>1680000</v>
      </c>
      <c r="H649" s="3">
        <f t="shared" si="30"/>
        <v>3108000000</v>
      </c>
      <c r="J649" s="3">
        <v>7500000</v>
      </c>
      <c r="K649" s="3"/>
      <c r="L649" s="3">
        <f t="shared" si="31"/>
        <v>14717250000</v>
      </c>
      <c r="N649" s="4">
        <f t="shared" si="32"/>
        <v>0.78881924272537329</v>
      </c>
    </row>
    <row r="650" spans="1:14" x14ac:dyDescent="0.45">
      <c r="A650" s="2">
        <v>44987</v>
      </c>
      <c r="B650" s="1">
        <v>1871.5</v>
      </c>
      <c r="D650" s="2">
        <v>44987</v>
      </c>
      <c r="E650" s="1">
        <v>1969.3</v>
      </c>
      <c r="G650" s="3">
        <v>1680000</v>
      </c>
      <c r="H650" s="3">
        <f t="shared" si="30"/>
        <v>3144120000</v>
      </c>
      <c r="J650" s="3">
        <v>7500000</v>
      </c>
      <c r="K650" s="3"/>
      <c r="L650" s="3">
        <f t="shared" si="31"/>
        <v>14769750000</v>
      </c>
      <c r="N650" s="4">
        <f t="shared" si="32"/>
        <v>0.78712435890925714</v>
      </c>
    </row>
    <row r="651" spans="1:14" x14ac:dyDescent="0.45">
      <c r="A651" s="2">
        <v>44986</v>
      </c>
      <c r="B651" s="1">
        <v>1891</v>
      </c>
      <c r="D651" s="2">
        <v>44986</v>
      </c>
      <c r="E651" s="1">
        <v>1923.25</v>
      </c>
      <c r="G651" s="3">
        <v>1680000</v>
      </c>
      <c r="H651" s="3">
        <f t="shared" si="30"/>
        <v>3176880000</v>
      </c>
      <c r="J651" s="3">
        <v>7500000</v>
      </c>
      <c r="K651" s="3"/>
      <c r="L651" s="3">
        <f t="shared" si="31"/>
        <v>14424375000</v>
      </c>
      <c r="N651" s="4">
        <f t="shared" si="32"/>
        <v>0.77975614194722476</v>
      </c>
    </row>
    <row r="652" spans="1:14" x14ac:dyDescent="0.45">
      <c r="A652" s="2">
        <v>44985</v>
      </c>
      <c r="B652" s="1">
        <v>1860</v>
      </c>
      <c r="D652" s="2">
        <v>44985</v>
      </c>
      <c r="E652" s="1">
        <v>1917.1</v>
      </c>
      <c r="G652" s="3">
        <v>1680000</v>
      </c>
      <c r="H652" s="3">
        <f t="shared" si="30"/>
        <v>3124800000</v>
      </c>
      <c r="J652" s="3">
        <v>7500000</v>
      </c>
      <c r="K652" s="3"/>
      <c r="L652" s="3">
        <f t="shared" si="31"/>
        <v>14378250000</v>
      </c>
      <c r="N652" s="4">
        <f t="shared" si="32"/>
        <v>0.7826717437796672</v>
      </c>
    </row>
    <row r="653" spans="1:14" x14ac:dyDescent="0.45">
      <c r="A653" s="2">
        <v>44984</v>
      </c>
      <c r="B653" s="1">
        <v>1820</v>
      </c>
      <c r="D653" s="2">
        <v>44984</v>
      </c>
      <c r="E653" s="1">
        <v>1884.55</v>
      </c>
      <c r="G653" s="3">
        <v>1680000</v>
      </c>
      <c r="H653" s="3">
        <f t="shared" si="30"/>
        <v>3057600000</v>
      </c>
      <c r="J653" s="3">
        <v>7500000</v>
      </c>
      <c r="K653" s="3"/>
      <c r="L653" s="3">
        <f t="shared" si="31"/>
        <v>14134125000</v>
      </c>
      <c r="N653" s="4">
        <f t="shared" si="32"/>
        <v>0.78367249476002232</v>
      </c>
    </row>
    <row r="654" spans="1:14" x14ac:dyDescent="0.45">
      <c r="A654" s="2">
        <v>44981</v>
      </c>
      <c r="B654" s="1">
        <v>1787.8</v>
      </c>
      <c r="D654" s="2">
        <v>44981</v>
      </c>
      <c r="E654" s="1">
        <v>1884.75</v>
      </c>
      <c r="G654" s="3">
        <v>1680000</v>
      </c>
      <c r="H654" s="3">
        <f t="shared" si="30"/>
        <v>3003504000</v>
      </c>
      <c r="J654" s="3">
        <v>7500000</v>
      </c>
      <c r="K654" s="3"/>
      <c r="L654" s="3">
        <f t="shared" si="31"/>
        <v>14135625000</v>
      </c>
      <c r="N654" s="4">
        <f t="shared" si="32"/>
        <v>0.78752237697307337</v>
      </c>
    </row>
    <row r="655" spans="1:14" x14ac:dyDescent="0.45">
      <c r="A655" s="2">
        <v>44980</v>
      </c>
      <c r="B655" s="1">
        <v>1770.4</v>
      </c>
      <c r="D655" s="2">
        <v>44980</v>
      </c>
      <c r="E655" s="1">
        <v>1851.1</v>
      </c>
      <c r="G655" s="3">
        <v>1680000</v>
      </c>
      <c r="H655" s="3">
        <f t="shared" si="30"/>
        <v>2974272000</v>
      </c>
      <c r="J655" s="3">
        <v>7500000</v>
      </c>
      <c r="K655" s="3"/>
      <c r="L655" s="3">
        <f t="shared" si="31"/>
        <v>13883250000</v>
      </c>
      <c r="N655" s="4">
        <f t="shared" si="32"/>
        <v>0.78576543676732757</v>
      </c>
    </row>
    <row r="656" spans="1:14" x14ac:dyDescent="0.45">
      <c r="A656" s="2">
        <v>44979</v>
      </c>
      <c r="B656" s="1">
        <v>1800</v>
      </c>
      <c r="D656" s="2">
        <v>44979</v>
      </c>
      <c r="E656" s="1">
        <v>1851.9</v>
      </c>
      <c r="G656" s="3">
        <v>1680000</v>
      </c>
      <c r="H656" s="3">
        <f t="shared" si="30"/>
        <v>3024000000</v>
      </c>
      <c r="J656" s="3">
        <v>7500000</v>
      </c>
      <c r="K656" s="3"/>
      <c r="L656" s="3">
        <f t="shared" si="31"/>
        <v>13889250000</v>
      </c>
      <c r="N656" s="4">
        <f t="shared" si="32"/>
        <v>0.78227766078081973</v>
      </c>
    </row>
    <row r="657" spans="1:14" x14ac:dyDescent="0.45">
      <c r="A657" s="2">
        <v>44978</v>
      </c>
      <c r="B657" s="1">
        <v>1786</v>
      </c>
      <c r="D657" s="2">
        <v>44978</v>
      </c>
      <c r="E657" s="1">
        <v>1841.25</v>
      </c>
      <c r="G657" s="3">
        <v>1680000</v>
      </c>
      <c r="H657" s="3">
        <f t="shared" si="30"/>
        <v>3000480000</v>
      </c>
      <c r="J657" s="3">
        <v>7500000</v>
      </c>
      <c r="K657" s="3"/>
      <c r="L657" s="3">
        <f t="shared" si="31"/>
        <v>13809375000</v>
      </c>
      <c r="N657" s="4">
        <f t="shared" si="32"/>
        <v>0.78272152070604206</v>
      </c>
    </row>
    <row r="658" spans="1:14" x14ac:dyDescent="0.45">
      <c r="A658" s="2">
        <v>44977</v>
      </c>
      <c r="B658" s="1">
        <v>1790</v>
      </c>
      <c r="D658" s="2">
        <v>44977</v>
      </c>
      <c r="E658" s="1">
        <v>1886.95</v>
      </c>
      <c r="G658" s="3">
        <v>1680000</v>
      </c>
      <c r="H658" s="3">
        <f t="shared" si="30"/>
        <v>3007200000</v>
      </c>
      <c r="J658" s="3">
        <v>7500000</v>
      </c>
      <c r="K658" s="3"/>
      <c r="L658" s="3">
        <f t="shared" si="31"/>
        <v>14152125000</v>
      </c>
      <c r="N658" s="4">
        <f t="shared" si="32"/>
        <v>0.78750894300325924</v>
      </c>
    </row>
    <row r="659" spans="1:14" x14ac:dyDescent="0.45">
      <c r="A659" s="2">
        <v>44974</v>
      </c>
      <c r="B659" s="1">
        <v>1761.25</v>
      </c>
      <c r="D659" s="2">
        <v>44974</v>
      </c>
      <c r="E659" s="1">
        <v>1917.6</v>
      </c>
      <c r="G659" s="3">
        <v>1680000</v>
      </c>
      <c r="H659" s="3">
        <f t="shared" si="30"/>
        <v>2958900000</v>
      </c>
      <c r="J659" s="3">
        <v>7500000</v>
      </c>
      <c r="K659" s="3"/>
      <c r="L659" s="3">
        <f t="shared" si="31"/>
        <v>14382000000</v>
      </c>
      <c r="N659" s="4">
        <f t="shared" si="32"/>
        <v>0.79426366291197326</v>
      </c>
    </row>
    <row r="660" spans="1:14" x14ac:dyDescent="0.45">
      <c r="A660" s="2">
        <v>44973</v>
      </c>
      <c r="B660" s="1">
        <v>1761</v>
      </c>
      <c r="D660" s="2">
        <v>44973</v>
      </c>
      <c r="E660" s="1">
        <v>1863.4</v>
      </c>
      <c r="G660" s="3">
        <v>1680000</v>
      </c>
      <c r="H660" s="3">
        <f t="shared" si="30"/>
        <v>2958480000</v>
      </c>
      <c r="J660" s="3">
        <v>7500000</v>
      </c>
      <c r="K660" s="3"/>
      <c r="L660" s="3">
        <f t="shared" si="31"/>
        <v>13975500000</v>
      </c>
      <c r="N660" s="4">
        <f t="shared" si="32"/>
        <v>0.78830954169797152</v>
      </c>
    </row>
    <row r="661" spans="1:14" x14ac:dyDescent="0.45">
      <c r="A661" s="2">
        <v>44972</v>
      </c>
      <c r="B661" s="1">
        <v>1810</v>
      </c>
      <c r="D661" s="2">
        <v>44972</v>
      </c>
      <c r="E661" s="1">
        <v>1848.6</v>
      </c>
      <c r="G661" s="3">
        <v>1680000</v>
      </c>
      <c r="H661" s="3">
        <f t="shared" si="30"/>
        <v>3040800000</v>
      </c>
      <c r="J661" s="3">
        <v>7500000</v>
      </c>
      <c r="K661" s="3"/>
      <c r="L661" s="3">
        <f t="shared" si="31"/>
        <v>13864500000</v>
      </c>
      <c r="N661" s="4">
        <f t="shared" si="32"/>
        <v>0.78067726928486425</v>
      </c>
    </row>
    <row r="662" spans="1:14" x14ac:dyDescent="0.45">
      <c r="A662" s="2">
        <v>44971</v>
      </c>
      <c r="B662" s="1">
        <v>1814</v>
      </c>
      <c r="D662" s="2">
        <v>44971</v>
      </c>
      <c r="E662" s="1">
        <v>1828.35</v>
      </c>
      <c r="G662" s="3">
        <v>1680000</v>
      </c>
      <c r="H662" s="3">
        <f t="shared" si="30"/>
        <v>3047520000</v>
      </c>
      <c r="J662" s="3">
        <v>7500000</v>
      </c>
      <c r="K662" s="3"/>
      <c r="L662" s="3">
        <f t="shared" si="31"/>
        <v>13712625000</v>
      </c>
      <c r="N662" s="4">
        <f t="shared" si="32"/>
        <v>0.7777580878934558</v>
      </c>
    </row>
    <row r="663" spans="1:14" x14ac:dyDescent="0.45">
      <c r="A663" s="2">
        <v>44970</v>
      </c>
      <c r="B663" s="1">
        <v>1850</v>
      </c>
      <c r="D663" s="2">
        <v>44970</v>
      </c>
      <c r="E663" s="1">
        <v>1854.5</v>
      </c>
      <c r="G663" s="3">
        <v>1680000</v>
      </c>
      <c r="H663" s="3">
        <f t="shared" si="30"/>
        <v>3108000000</v>
      </c>
      <c r="J663" s="3">
        <v>7500000</v>
      </c>
      <c r="K663" s="3"/>
      <c r="L663" s="3">
        <f t="shared" si="31"/>
        <v>13908750000</v>
      </c>
      <c r="N663" s="4">
        <f t="shared" si="32"/>
        <v>0.77654354273389048</v>
      </c>
    </row>
    <row r="664" spans="1:14" x14ac:dyDescent="0.45">
      <c r="A664" s="2">
        <v>44967</v>
      </c>
      <c r="B664" s="1">
        <v>1800</v>
      </c>
      <c r="D664" s="2">
        <v>44967</v>
      </c>
      <c r="E664" s="1">
        <v>1848.2</v>
      </c>
      <c r="G664" s="3">
        <v>1680000</v>
      </c>
      <c r="H664" s="3">
        <f t="shared" si="30"/>
        <v>3024000000</v>
      </c>
      <c r="J664" s="3">
        <v>7500000</v>
      </c>
      <c r="K664" s="3"/>
      <c r="L664" s="3">
        <f t="shared" si="31"/>
        <v>13861500000</v>
      </c>
      <c r="N664" s="4">
        <f t="shared" si="32"/>
        <v>0.78184179201385129</v>
      </c>
    </row>
    <row r="665" spans="1:14" x14ac:dyDescent="0.45">
      <c r="A665" s="2">
        <v>44966</v>
      </c>
      <c r="B665" s="1">
        <v>1780</v>
      </c>
      <c r="D665" s="2">
        <v>44966</v>
      </c>
      <c r="E665" s="1">
        <v>1787.15</v>
      </c>
      <c r="G665" s="3">
        <v>1680000</v>
      </c>
      <c r="H665" s="3">
        <f t="shared" si="30"/>
        <v>2990400000</v>
      </c>
      <c r="J665" s="3">
        <v>7500000</v>
      </c>
      <c r="K665" s="3"/>
      <c r="L665" s="3">
        <f t="shared" si="31"/>
        <v>13403625000</v>
      </c>
      <c r="N665" s="4">
        <f t="shared" si="32"/>
        <v>0.77689617547491818</v>
      </c>
    </row>
    <row r="666" spans="1:14" x14ac:dyDescent="0.45">
      <c r="A666" s="2">
        <v>44965</v>
      </c>
      <c r="B666" s="1">
        <v>1780</v>
      </c>
      <c r="D666" s="2">
        <v>44965</v>
      </c>
      <c r="E666" s="1">
        <v>1793.55</v>
      </c>
      <c r="G666" s="3">
        <v>1680000</v>
      </c>
      <c r="H666" s="3">
        <f t="shared" si="30"/>
        <v>2990400000</v>
      </c>
      <c r="J666" s="3">
        <v>7500000</v>
      </c>
      <c r="K666" s="3"/>
      <c r="L666" s="3">
        <f t="shared" si="31"/>
        <v>13451625000</v>
      </c>
      <c r="N666" s="4">
        <f t="shared" si="32"/>
        <v>0.77769228624794406</v>
      </c>
    </row>
    <row r="667" spans="1:14" x14ac:dyDescent="0.45">
      <c r="A667" s="2">
        <v>44964</v>
      </c>
      <c r="B667" s="1">
        <v>1802</v>
      </c>
      <c r="D667" s="2">
        <v>44964</v>
      </c>
      <c r="E667" s="1">
        <v>1775.7</v>
      </c>
      <c r="G667" s="3">
        <v>1680000</v>
      </c>
      <c r="H667" s="3">
        <f t="shared" si="30"/>
        <v>3027360000</v>
      </c>
      <c r="J667" s="3">
        <v>7500000</v>
      </c>
      <c r="K667" s="3"/>
      <c r="L667" s="3">
        <f t="shared" si="31"/>
        <v>13317750000</v>
      </c>
      <c r="N667" s="4">
        <f t="shared" si="32"/>
        <v>0.77268232246438018</v>
      </c>
    </row>
    <row r="668" spans="1:14" x14ac:dyDescent="0.45">
      <c r="A668" s="2">
        <v>44963</v>
      </c>
      <c r="B668" s="1">
        <v>1813.15</v>
      </c>
      <c r="D668" s="2">
        <v>44963</v>
      </c>
      <c r="E668" s="1">
        <v>1791.35</v>
      </c>
      <c r="G668" s="3">
        <v>1680000</v>
      </c>
      <c r="H668" s="3">
        <f t="shared" si="30"/>
        <v>3046092000</v>
      </c>
      <c r="J668" s="3">
        <v>7500000</v>
      </c>
      <c r="K668" s="3"/>
      <c r="L668" s="3">
        <f t="shared" si="31"/>
        <v>13435125000</v>
      </c>
      <c r="N668" s="4">
        <f t="shared" si="32"/>
        <v>0.77327401122058781</v>
      </c>
    </row>
    <row r="669" spans="1:14" x14ac:dyDescent="0.45">
      <c r="A669" s="2">
        <v>44960</v>
      </c>
      <c r="B669" s="1">
        <v>1860</v>
      </c>
      <c r="D669" s="2">
        <v>44960</v>
      </c>
      <c r="E669" s="1">
        <v>1789.35</v>
      </c>
      <c r="G669" s="3">
        <v>1680000</v>
      </c>
      <c r="H669" s="3">
        <f t="shared" si="30"/>
        <v>3124800000</v>
      </c>
      <c r="J669" s="3">
        <v>7500000</v>
      </c>
      <c r="K669" s="3"/>
      <c r="L669" s="3">
        <f t="shared" si="31"/>
        <v>13420125000</v>
      </c>
      <c r="N669" s="4">
        <f t="shared" si="32"/>
        <v>0.76715567105373461</v>
      </c>
    </row>
    <row r="670" spans="1:14" x14ac:dyDescent="0.45">
      <c r="A670" s="2">
        <v>44959</v>
      </c>
      <c r="B670" s="1">
        <v>1860</v>
      </c>
      <c r="D670" s="2">
        <v>44959</v>
      </c>
      <c r="E670" s="1">
        <v>1792.2</v>
      </c>
      <c r="G670" s="3">
        <v>1680000</v>
      </c>
      <c r="H670" s="3">
        <f t="shared" si="30"/>
        <v>3124800000</v>
      </c>
      <c r="J670" s="3">
        <v>7500000</v>
      </c>
      <c r="K670" s="3"/>
      <c r="L670" s="3">
        <f t="shared" si="31"/>
        <v>13441500000</v>
      </c>
      <c r="N670" s="4">
        <f t="shared" si="32"/>
        <v>0.76752594576498157</v>
      </c>
    </row>
    <row r="671" spans="1:14" x14ac:dyDescent="0.45">
      <c r="A671" s="2">
        <v>44958</v>
      </c>
      <c r="B671" s="1">
        <v>1821.05</v>
      </c>
      <c r="D671" s="2">
        <v>44958</v>
      </c>
      <c r="E671" s="1">
        <v>1826.4</v>
      </c>
      <c r="G671" s="3">
        <v>1680000</v>
      </c>
      <c r="H671" s="3">
        <f t="shared" si="30"/>
        <v>3059364000</v>
      </c>
      <c r="J671" s="3">
        <v>7500000</v>
      </c>
      <c r="K671" s="3"/>
      <c r="L671" s="3">
        <f t="shared" si="31"/>
        <v>13698000000</v>
      </c>
      <c r="N671" s="4">
        <f t="shared" si="32"/>
        <v>0.77665615418309242</v>
      </c>
    </row>
    <row r="672" spans="1:14" x14ac:dyDescent="0.45">
      <c r="A672" s="2">
        <v>44957</v>
      </c>
      <c r="B672" s="1">
        <v>1864.5</v>
      </c>
      <c r="D672" s="2">
        <v>44957</v>
      </c>
      <c r="E672" s="1">
        <v>1807.7</v>
      </c>
      <c r="G672" s="3">
        <v>1680000</v>
      </c>
      <c r="H672" s="3">
        <f t="shared" si="30"/>
        <v>3132360000</v>
      </c>
      <c r="J672" s="3">
        <v>7500000</v>
      </c>
      <c r="K672" s="3"/>
      <c r="L672" s="3">
        <f t="shared" si="31"/>
        <v>13557750000</v>
      </c>
      <c r="N672" s="4">
        <f t="shared" si="32"/>
        <v>0.76896166399291921</v>
      </c>
    </row>
    <row r="673" spans="1:14" x14ac:dyDescent="0.45">
      <c r="A673" s="2">
        <v>44956</v>
      </c>
      <c r="B673" s="1">
        <v>1845.5</v>
      </c>
      <c r="D673" s="2">
        <v>44956</v>
      </c>
      <c r="E673" s="1">
        <v>1770.4</v>
      </c>
      <c r="G673" s="3">
        <v>1680000</v>
      </c>
      <c r="H673" s="3">
        <f t="shared" si="30"/>
        <v>3100440000</v>
      </c>
      <c r="J673" s="3">
        <v>7500000</v>
      </c>
      <c r="K673" s="3"/>
      <c r="L673" s="3">
        <f t="shared" si="31"/>
        <v>13278000000</v>
      </c>
      <c r="N673" s="4">
        <f t="shared" si="32"/>
        <v>0.76649796656122904</v>
      </c>
    </row>
    <row r="674" spans="1:14" x14ac:dyDescent="0.45">
      <c r="A674" s="2">
        <v>44953</v>
      </c>
      <c r="B674" s="1">
        <v>1821</v>
      </c>
      <c r="D674" s="2">
        <v>44953</v>
      </c>
      <c r="E674" s="1">
        <v>1757.5</v>
      </c>
      <c r="G674" s="3">
        <v>1680000</v>
      </c>
      <c r="H674" s="3">
        <f t="shared" si="30"/>
        <v>3059280000</v>
      </c>
      <c r="J674" s="3">
        <v>7500000</v>
      </c>
      <c r="K674" s="3"/>
      <c r="L674" s="3">
        <f t="shared" si="31"/>
        <v>13181250000</v>
      </c>
      <c r="N674" s="4">
        <f t="shared" si="32"/>
        <v>0.76790668563300146</v>
      </c>
    </row>
    <row r="675" spans="1:14" x14ac:dyDescent="0.45">
      <c r="A675" s="2">
        <v>44951</v>
      </c>
      <c r="B675" s="1">
        <v>1844.1</v>
      </c>
      <c r="D675" s="2">
        <v>44951</v>
      </c>
      <c r="E675" s="1">
        <v>1791.1</v>
      </c>
      <c r="G675" s="3">
        <v>1680000</v>
      </c>
      <c r="H675" s="3">
        <f t="shared" si="30"/>
        <v>3098088000</v>
      </c>
      <c r="J675" s="3">
        <v>7500000</v>
      </c>
      <c r="K675" s="3"/>
      <c r="L675" s="3">
        <f t="shared" si="31"/>
        <v>13433250000</v>
      </c>
      <c r="N675" s="4">
        <f t="shared" si="32"/>
        <v>0.76937167104014292</v>
      </c>
    </row>
    <row r="676" spans="1:14" x14ac:dyDescent="0.45">
      <c r="A676" s="2">
        <v>44950</v>
      </c>
      <c r="B676" s="1">
        <v>1888</v>
      </c>
      <c r="D676" s="2">
        <v>44950</v>
      </c>
      <c r="E676" s="1">
        <v>1824.7</v>
      </c>
      <c r="G676" s="3">
        <v>1680000</v>
      </c>
      <c r="H676" s="3">
        <f t="shared" si="30"/>
        <v>3171840000</v>
      </c>
      <c r="J676" s="3">
        <v>7500000</v>
      </c>
      <c r="K676" s="3"/>
      <c r="L676" s="3">
        <f t="shared" si="31"/>
        <v>13685250000</v>
      </c>
      <c r="N676" s="4">
        <f t="shared" si="32"/>
        <v>0.76822929796678907</v>
      </c>
    </row>
    <row r="677" spans="1:14" x14ac:dyDescent="0.45">
      <c r="A677" s="2">
        <v>44949</v>
      </c>
      <c r="B677" s="1">
        <v>1853</v>
      </c>
      <c r="D677" s="2">
        <v>44949</v>
      </c>
      <c r="E677" s="1">
        <v>1805.25</v>
      </c>
      <c r="G677" s="3">
        <v>1680000</v>
      </c>
      <c r="H677" s="3">
        <f t="shared" si="30"/>
        <v>3113040000</v>
      </c>
      <c r="J677" s="3">
        <v>7500000</v>
      </c>
      <c r="K677" s="3"/>
      <c r="L677" s="3">
        <f t="shared" si="31"/>
        <v>13539375000</v>
      </c>
      <c r="N677" s="4">
        <f t="shared" si="32"/>
        <v>0.77007505885611405</v>
      </c>
    </row>
    <row r="678" spans="1:14" x14ac:dyDescent="0.45">
      <c r="A678" s="2">
        <v>44946</v>
      </c>
      <c r="B678" s="1">
        <v>1860</v>
      </c>
      <c r="D678" s="2">
        <v>44946</v>
      </c>
      <c r="E678" s="1">
        <v>1815.8</v>
      </c>
      <c r="G678" s="3">
        <v>1680000</v>
      </c>
      <c r="H678" s="3">
        <f t="shared" si="30"/>
        <v>3124800000</v>
      </c>
      <c r="J678" s="3">
        <v>7500000</v>
      </c>
      <c r="K678" s="3"/>
      <c r="L678" s="3">
        <f t="shared" si="31"/>
        <v>13618500000</v>
      </c>
      <c r="N678" s="4">
        <f t="shared" si="32"/>
        <v>0.7705474171164225</v>
      </c>
    </row>
    <row r="679" spans="1:14" x14ac:dyDescent="0.45">
      <c r="A679" s="2">
        <v>44945</v>
      </c>
      <c r="B679" s="1">
        <v>1865</v>
      </c>
      <c r="D679" s="2">
        <v>44945</v>
      </c>
      <c r="E679" s="1">
        <v>1824.55</v>
      </c>
      <c r="G679" s="3">
        <v>1680000</v>
      </c>
      <c r="H679" s="3">
        <f t="shared" si="30"/>
        <v>3133200000</v>
      </c>
      <c r="J679" s="3">
        <v>7500000</v>
      </c>
      <c r="K679" s="3"/>
      <c r="L679" s="3">
        <f t="shared" si="31"/>
        <v>13684125000</v>
      </c>
      <c r="N679" s="4">
        <f t="shared" si="32"/>
        <v>0.77103395357759452</v>
      </c>
    </row>
    <row r="680" spans="1:14" x14ac:dyDescent="0.45">
      <c r="A680" s="2">
        <v>44944</v>
      </c>
      <c r="B680" s="1">
        <v>1842</v>
      </c>
      <c r="D680" s="2">
        <v>44944</v>
      </c>
      <c r="E680" s="1">
        <v>1832.7</v>
      </c>
      <c r="G680" s="3">
        <v>1680000</v>
      </c>
      <c r="H680" s="3">
        <f t="shared" si="30"/>
        <v>3094560000</v>
      </c>
      <c r="J680" s="3">
        <v>7500000</v>
      </c>
      <c r="K680" s="3"/>
      <c r="L680" s="3">
        <f t="shared" si="31"/>
        <v>13745250000</v>
      </c>
      <c r="N680" s="4">
        <f t="shared" si="32"/>
        <v>0.77486331641839912</v>
      </c>
    </row>
    <row r="681" spans="1:14" x14ac:dyDescent="0.45">
      <c r="A681" s="2">
        <v>44943</v>
      </c>
      <c r="B681" s="1">
        <v>1841</v>
      </c>
      <c r="D681" s="2">
        <v>44943</v>
      </c>
      <c r="E681" s="1">
        <v>1835.35</v>
      </c>
      <c r="G681" s="3">
        <v>1680000</v>
      </c>
      <c r="H681" s="3">
        <f t="shared" si="30"/>
        <v>3092880000</v>
      </c>
      <c r="J681" s="3">
        <v>7500000</v>
      </c>
      <c r="K681" s="3"/>
      <c r="L681" s="3">
        <f t="shared" si="31"/>
        <v>13765125000</v>
      </c>
      <c r="N681" s="4">
        <f t="shared" si="32"/>
        <v>0.77531043125289456</v>
      </c>
    </row>
    <row r="682" spans="1:14" x14ac:dyDescent="0.45">
      <c r="A682" s="2">
        <v>44942</v>
      </c>
      <c r="B682" s="1">
        <v>1875</v>
      </c>
      <c r="D682" s="2">
        <v>44942</v>
      </c>
      <c r="E682" s="1">
        <v>1808.95</v>
      </c>
      <c r="G682" s="3">
        <v>1680000</v>
      </c>
      <c r="H682" s="3">
        <f t="shared" si="30"/>
        <v>3150000000</v>
      </c>
      <c r="J682" s="3">
        <v>7500000</v>
      </c>
      <c r="K682" s="3"/>
      <c r="L682" s="3">
        <f t="shared" si="31"/>
        <v>13567125000</v>
      </c>
      <c r="N682" s="4">
        <f t="shared" si="32"/>
        <v>0.76782111169462952</v>
      </c>
    </row>
    <row r="683" spans="1:14" x14ac:dyDescent="0.45">
      <c r="A683" s="2">
        <v>44939</v>
      </c>
      <c r="B683" s="1">
        <v>1875</v>
      </c>
      <c r="D683" s="2">
        <v>44939</v>
      </c>
      <c r="E683" s="1">
        <v>1843.9</v>
      </c>
      <c r="G683" s="3">
        <v>1680000</v>
      </c>
      <c r="H683" s="3">
        <f t="shared" si="30"/>
        <v>3150000000</v>
      </c>
      <c r="J683" s="3">
        <v>7500000</v>
      </c>
      <c r="K683" s="3"/>
      <c r="L683" s="3">
        <f t="shared" si="31"/>
        <v>13829250000</v>
      </c>
      <c r="N683" s="4">
        <f t="shared" si="32"/>
        <v>0.77222192092846687</v>
      </c>
    </row>
    <row r="684" spans="1:14" x14ac:dyDescent="0.45">
      <c r="A684" s="2">
        <v>44938</v>
      </c>
      <c r="B684" s="1">
        <v>1850</v>
      </c>
      <c r="D684" s="2">
        <v>44938</v>
      </c>
      <c r="E684" s="1">
        <v>1843.2</v>
      </c>
      <c r="G684" s="3">
        <v>1680000</v>
      </c>
      <c r="H684" s="3">
        <f t="shared" si="30"/>
        <v>3108000000</v>
      </c>
      <c r="J684" s="3">
        <v>7500000</v>
      </c>
      <c r="K684" s="3"/>
      <c r="L684" s="3">
        <f t="shared" si="31"/>
        <v>13824000000</v>
      </c>
      <c r="N684" s="4">
        <f t="shared" si="32"/>
        <v>0.77517361111111116</v>
      </c>
    </row>
    <row r="685" spans="1:14" x14ac:dyDescent="0.45">
      <c r="A685" s="2">
        <v>44937</v>
      </c>
      <c r="B685" s="1">
        <v>1850</v>
      </c>
      <c r="D685" s="2">
        <v>44937</v>
      </c>
      <c r="E685" s="1">
        <v>1870.9</v>
      </c>
      <c r="G685" s="3">
        <v>1680000</v>
      </c>
      <c r="H685" s="3">
        <f t="shared" si="30"/>
        <v>3108000000</v>
      </c>
      <c r="J685" s="3">
        <v>7500000</v>
      </c>
      <c r="K685" s="3"/>
      <c r="L685" s="3">
        <f t="shared" si="31"/>
        <v>14031750000</v>
      </c>
      <c r="N685" s="4">
        <f t="shared" si="32"/>
        <v>0.77850232508418404</v>
      </c>
    </row>
    <row r="686" spans="1:14" x14ac:dyDescent="0.45">
      <c r="A686" s="2">
        <v>44936</v>
      </c>
      <c r="B686" s="1">
        <v>1840</v>
      </c>
      <c r="D686" s="2">
        <v>44936</v>
      </c>
      <c r="E686" s="1">
        <v>1888.15</v>
      </c>
      <c r="G686" s="3">
        <v>1680000</v>
      </c>
      <c r="H686" s="3">
        <f t="shared" si="30"/>
        <v>3091200000</v>
      </c>
      <c r="J686" s="3">
        <v>7500000</v>
      </c>
      <c r="K686" s="3"/>
      <c r="L686" s="3">
        <f t="shared" si="31"/>
        <v>14161125000</v>
      </c>
      <c r="N686" s="4">
        <f t="shared" si="32"/>
        <v>0.78171225803034716</v>
      </c>
    </row>
    <row r="687" spans="1:14" x14ac:dyDescent="0.45">
      <c r="A687" s="2">
        <v>44935</v>
      </c>
      <c r="B687" s="1">
        <v>1846.05</v>
      </c>
      <c r="D687" s="2">
        <v>44935</v>
      </c>
      <c r="E687" s="1">
        <v>1884.75</v>
      </c>
      <c r="G687" s="3">
        <v>1680000</v>
      </c>
      <c r="H687" s="3">
        <f t="shared" si="30"/>
        <v>3101364000</v>
      </c>
      <c r="J687" s="3">
        <v>7500000</v>
      </c>
      <c r="K687" s="3"/>
      <c r="L687" s="3">
        <f t="shared" si="31"/>
        <v>14135625000</v>
      </c>
      <c r="N687" s="4">
        <f t="shared" si="32"/>
        <v>0.78059944289693595</v>
      </c>
    </row>
    <row r="688" spans="1:14" x14ac:dyDescent="0.45">
      <c r="A688" s="2">
        <v>44932</v>
      </c>
      <c r="B688" s="1">
        <v>1793.95</v>
      </c>
      <c r="D688" s="2">
        <v>44932</v>
      </c>
      <c r="E688" s="1">
        <v>1891.85</v>
      </c>
      <c r="G688" s="3">
        <v>1680000</v>
      </c>
      <c r="H688" s="3">
        <f t="shared" si="30"/>
        <v>3013836000</v>
      </c>
      <c r="J688" s="3">
        <v>7500000</v>
      </c>
      <c r="K688" s="3"/>
      <c r="L688" s="3">
        <f t="shared" si="31"/>
        <v>14188875000</v>
      </c>
      <c r="N688" s="4">
        <f t="shared" si="32"/>
        <v>0.78759161667151201</v>
      </c>
    </row>
    <row r="689" spans="1:14" x14ac:dyDescent="0.45">
      <c r="A689" s="2">
        <v>44931</v>
      </c>
      <c r="B689" s="1">
        <v>1810</v>
      </c>
      <c r="D689" s="2">
        <v>44931</v>
      </c>
      <c r="E689" s="1">
        <v>1902.7</v>
      </c>
      <c r="G689" s="3">
        <v>1680000</v>
      </c>
      <c r="H689" s="3">
        <f t="shared" si="30"/>
        <v>3040800000</v>
      </c>
      <c r="J689" s="3">
        <v>7500000</v>
      </c>
      <c r="K689" s="3"/>
      <c r="L689" s="3">
        <f t="shared" si="31"/>
        <v>14270250000</v>
      </c>
      <c r="N689" s="4">
        <f t="shared" si="32"/>
        <v>0.78691333368371263</v>
      </c>
    </row>
    <row r="690" spans="1:14" x14ac:dyDescent="0.45">
      <c r="A690" s="2">
        <v>44930</v>
      </c>
      <c r="B690" s="1">
        <v>1800</v>
      </c>
      <c r="D690" s="2">
        <v>44930</v>
      </c>
      <c r="E690" s="1">
        <v>1916.75</v>
      </c>
      <c r="G690" s="3">
        <v>1680000</v>
      </c>
      <c r="H690" s="3">
        <f t="shared" si="30"/>
        <v>3024000000</v>
      </c>
      <c r="J690" s="3">
        <v>7500000</v>
      </c>
      <c r="K690" s="3"/>
      <c r="L690" s="3">
        <f t="shared" si="31"/>
        <v>14375625000</v>
      </c>
      <c r="N690" s="4">
        <f t="shared" si="32"/>
        <v>0.78964392852484677</v>
      </c>
    </row>
    <row r="691" spans="1:14" x14ac:dyDescent="0.45">
      <c r="A691" s="2">
        <v>44929</v>
      </c>
      <c r="B691" s="1">
        <v>1834.05</v>
      </c>
      <c r="D691" s="2">
        <v>44929</v>
      </c>
      <c r="E691" s="1">
        <v>1904.45</v>
      </c>
      <c r="G691" s="3">
        <v>1680000</v>
      </c>
      <c r="H691" s="3">
        <f t="shared" si="30"/>
        <v>3081204000</v>
      </c>
      <c r="J691" s="3">
        <v>7500000</v>
      </c>
      <c r="K691" s="3"/>
      <c r="L691" s="3">
        <f t="shared" si="31"/>
        <v>14283375000</v>
      </c>
      <c r="N691" s="4">
        <f t="shared" si="32"/>
        <v>0.78428039591483101</v>
      </c>
    </row>
    <row r="692" spans="1:14" x14ac:dyDescent="0.45">
      <c r="A692" s="2">
        <v>44928</v>
      </c>
      <c r="B692" s="1">
        <v>1846.7</v>
      </c>
      <c r="D692" s="2">
        <v>44928</v>
      </c>
      <c r="E692" s="1">
        <v>1914.3</v>
      </c>
      <c r="G692" s="3">
        <v>1680000</v>
      </c>
      <c r="H692" s="3">
        <f t="shared" si="30"/>
        <v>3102456000</v>
      </c>
      <c r="J692" s="3">
        <v>7500000</v>
      </c>
      <c r="K692" s="3"/>
      <c r="L692" s="3">
        <f t="shared" si="31"/>
        <v>14357250000</v>
      </c>
      <c r="N692" s="4">
        <f t="shared" si="32"/>
        <v>0.78391014992425423</v>
      </c>
    </row>
    <row r="693" spans="1:14" x14ac:dyDescent="0.45">
      <c r="A693" s="2">
        <v>44925</v>
      </c>
      <c r="B693" s="1">
        <v>1849.4</v>
      </c>
      <c r="D693" s="2">
        <v>44925</v>
      </c>
      <c r="E693" s="1">
        <v>1936.9</v>
      </c>
      <c r="G693" s="3">
        <v>1680000</v>
      </c>
      <c r="H693" s="3">
        <f t="shared" si="30"/>
        <v>3106992000</v>
      </c>
      <c r="J693" s="3">
        <v>7500000</v>
      </c>
      <c r="K693" s="3"/>
      <c r="L693" s="3">
        <f t="shared" si="31"/>
        <v>14526750000</v>
      </c>
      <c r="N693" s="4">
        <f t="shared" si="32"/>
        <v>0.786119262739429</v>
      </c>
    </row>
    <row r="694" spans="1:14" x14ac:dyDescent="0.45">
      <c r="A694" s="2">
        <v>44924</v>
      </c>
      <c r="B694" s="1">
        <v>1851.8</v>
      </c>
      <c r="D694" s="2">
        <v>44924</v>
      </c>
      <c r="E694" s="1">
        <v>1914.65</v>
      </c>
      <c r="G694" s="3">
        <v>1680000</v>
      </c>
      <c r="H694" s="3">
        <f t="shared" si="30"/>
        <v>3111024000</v>
      </c>
      <c r="J694" s="3">
        <v>7500000</v>
      </c>
      <c r="K694" s="3"/>
      <c r="L694" s="3">
        <f t="shared" si="31"/>
        <v>14359875000</v>
      </c>
      <c r="N694" s="4">
        <f t="shared" si="32"/>
        <v>0.78335298879690807</v>
      </c>
    </row>
    <row r="695" spans="1:14" x14ac:dyDescent="0.45">
      <c r="A695" s="2">
        <v>44923</v>
      </c>
      <c r="B695" s="1">
        <v>1847.65</v>
      </c>
      <c r="D695" s="2">
        <v>44923</v>
      </c>
      <c r="E695" s="1">
        <v>1927.7</v>
      </c>
      <c r="G695" s="3">
        <v>1680000</v>
      </c>
      <c r="H695" s="3">
        <f t="shared" si="30"/>
        <v>3104052000</v>
      </c>
      <c r="J695" s="3">
        <v>7500000</v>
      </c>
      <c r="K695" s="3"/>
      <c r="L695" s="3">
        <f t="shared" si="31"/>
        <v>14457750000</v>
      </c>
      <c r="N695" s="4">
        <f t="shared" si="32"/>
        <v>0.78530186232297561</v>
      </c>
    </row>
    <row r="696" spans="1:14" x14ac:dyDescent="0.45">
      <c r="A696" s="2">
        <v>44922</v>
      </c>
      <c r="B696" s="1">
        <v>1865.05</v>
      </c>
      <c r="D696" s="2">
        <v>44922</v>
      </c>
      <c r="E696" s="1">
        <v>1917.35</v>
      </c>
      <c r="G696" s="3">
        <v>1680000</v>
      </c>
      <c r="H696" s="3">
        <f t="shared" si="30"/>
        <v>3133284000</v>
      </c>
      <c r="J696" s="3">
        <v>7500000</v>
      </c>
      <c r="K696" s="3"/>
      <c r="L696" s="3">
        <f t="shared" si="31"/>
        <v>14380125000</v>
      </c>
      <c r="N696" s="4">
        <f t="shared" si="32"/>
        <v>0.78211009987743496</v>
      </c>
    </row>
    <row r="697" spans="1:14" x14ac:dyDescent="0.45">
      <c r="A697" s="2">
        <v>44921</v>
      </c>
      <c r="B697" s="1">
        <v>1850</v>
      </c>
      <c r="D697" s="2">
        <v>44921</v>
      </c>
      <c r="E697" s="1">
        <v>1886.1</v>
      </c>
      <c r="G697" s="3">
        <v>1680000</v>
      </c>
      <c r="H697" s="3">
        <f t="shared" si="30"/>
        <v>3108000000</v>
      </c>
      <c r="J697" s="3">
        <v>7500000</v>
      </c>
      <c r="K697" s="3"/>
      <c r="L697" s="3">
        <f t="shared" si="31"/>
        <v>14145750000</v>
      </c>
      <c r="N697" s="4">
        <f t="shared" si="32"/>
        <v>0.78028736546312494</v>
      </c>
    </row>
    <row r="698" spans="1:14" x14ac:dyDescent="0.45">
      <c r="A698" s="2">
        <v>44918</v>
      </c>
      <c r="B698" s="1">
        <v>1865.4</v>
      </c>
      <c r="D698" s="2">
        <v>44918</v>
      </c>
      <c r="E698" s="1">
        <v>1814.4</v>
      </c>
      <c r="G698" s="3">
        <v>1680000</v>
      </c>
      <c r="H698" s="3">
        <f t="shared" si="30"/>
        <v>3133872000</v>
      </c>
      <c r="J698" s="3">
        <v>7500000</v>
      </c>
      <c r="K698" s="3"/>
      <c r="L698" s="3">
        <f t="shared" si="31"/>
        <v>13608000000</v>
      </c>
      <c r="N698" s="4">
        <f t="shared" si="32"/>
        <v>0.76970370370370367</v>
      </c>
    </row>
    <row r="699" spans="1:14" x14ac:dyDescent="0.45">
      <c r="A699" s="2">
        <v>44917</v>
      </c>
      <c r="B699" s="1">
        <v>1900</v>
      </c>
      <c r="D699" s="2">
        <v>44917</v>
      </c>
      <c r="E699" s="1">
        <v>1814.75</v>
      </c>
      <c r="G699" s="3">
        <v>1680000</v>
      </c>
      <c r="H699" s="3">
        <f t="shared" si="30"/>
        <v>3192000000</v>
      </c>
      <c r="J699" s="3">
        <v>7500000</v>
      </c>
      <c r="K699" s="3"/>
      <c r="L699" s="3">
        <f t="shared" si="31"/>
        <v>13610625000</v>
      </c>
      <c r="N699" s="4">
        <f t="shared" si="32"/>
        <v>0.76547733847637422</v>
      </c>
    </row>
    <row r="700" spans="1:14" x14ac:dyDescent="0.45">
      <c r="A700" s="2">
        <v>44916</v>
      </c>
      <c r="B700" s="1">
        <v>1875</v>
      </c>
      <c r="D700" s="2">
        <v>44916</v>
      </c>
      <c r="E700" s="1">
        <v>1886.5</v>
      </c>
      <c r="G700" s="3">
        <v>1680000</v>
      </c>
      <c r="H700" s="3">
        <f t="shared" si="30"/>
        <v>3150000000</v>
      </c>
      <c r="J700" s="3">
        <v>7500000</v>
      </c>
      <c r="K700" s="3"/>
      <c r="L700" s="3">
        <f t="shared" si="31"/>
        <v>14148750000</v>
      </c>
      <c r="N700" s="4">
        <f t="shared" si="32"/>
        <v>0.77736549165120594</v>
      </c>
    </row>
    <row r="701" spans="1:14" x14ac:dyDescent="0.45">
      <c r="A701" s="2">
        <v>44915</v>
      </c>
      <c r="B701" s="1">
        <v>1896.15</v>
      </c>
      <c r="D701" s="2">
        <v>44915</v>
      </c>
      <c r="E701" s="1">
        <v>1854.35</v>
      </c>
      <c r="G701" s="3">
        <v>1680000</v>
      </c>
      <c r="H701" s="3">
        <f t="shared" si="30"/>
        <v>3185532000</v>
      </c>
      <c r="J701" s="3">
        <v>7500000</v>
      </c>
      <c r="K701" s="3"/>
      <c r="L701" s="3">
        <f t="shared" si="31"/>
        <v>13907625000</v>
      </c>
      <c r="N701" s="4">
        <f t="shared" si="32"/>
        <v>0.77095068352792084</v>
      </c>
    </row>
    <row r="702" spans="1:14" x14ac:dyDescent="0.45">
      <c r="A702" s="2">
        <v>44914</v>
      </c>
      <c r="B702" s="1">
        <v>1898.4</v>
      </c>
      <c r="D702" s="2">
        <v>44914</v>
      </c>
      <c r="E702" s="1">
        <v>1898</v>
      </c>
      <c r="G702" s="3">
        <v>1680000</v>
      </c>
      <c r="H702" s="3">
        <f t="shared" si="30"/>
        <v>3189312000</v>
      </c>
      <c r="J702" s="3">
        <v>7500000</v>
      </c>
      <c r="K702" s="3"/>
      <c r="L702" s="3">
        <f t="shared" si="31"/>
        <v>14235000000</v>
      </c>
      <c r="N702" s="4">
        <f t="shared" si="32"/>
        <v>0.77595279241306636</v>
      </c>
    </row>
    <row r="703" spans="1:14" x14ac:dyDescent="0.45">
      <c r="A703" s="2">
        <v>44911</v>
      </c>
      <c r="B703" s="1">
        <v>1926.25</v>
      </c>
      <c r="D703" s="2">
        <v>44911</v>
      </c>
      <c r="E703" s="1">
        <v>1889.05</v>
      </c>
      <c r="G703" s="3">
        <v>1680000</v>
      </c>
      <c r="H703" s="3">
        <f t="shared" si="30"/>
        <v>3236100000</v>
      </c>
      <c r="J703" s="3">
        <v>7500000</v>
      </c>
      <c r="K703" s="3"/>
      <c r="L703" s="3">
        <f t="shared" si="31"/>
        <v>14167875000</v>
      </c>
      <c r="N703" s="4">
        <f t="shared" si="32"/>
        <v>0.77158889388846252</v>
      </c>
    </row>
    <row r="704" spans="1:14" x14ac:dyDescent="0.45">
      <c r="A704" s="2">
        <v>44910</v>
      </c>
      <c r="B704" s="1">
        <v>1919.55</v>
      </c>
      <c r="D704" s="2">
        <v>44910</v>
      </c>
      <c r="E704" s="1">
        <v>1934.7</v>
      </c>
      <c r="G704" s="3">
        <v>1680000</v>
      </c>
      <c r="H704" s="3">
        <f t="shared" si="30"/>
        <v>3224844000</v>
      </c>
      <c r="J704" s="3">
        <v>7500000</v>
      </c>
      <c r="K704" s="3"/>
      <c r="L704" s="3">
        <f t="shared" si="31"/>
        <v>14510250000</v>
      </c>
      <c r="N704" s="4">
        <f t="shared" si="32"/>
        <v>0.77775407039851141</v>
      </c>
    </row>
    <row r="705" spans="1:14" x14ac:dyDescent="0.45">
      <c r="A705" s="2">
        <v>44909</v>
      </c>
      <c r="B705" s="1">
        <v>1900</v>
      </c>
      <c r="D705" s="2">
        <v>44909</v>
      </c>
      <c r="E705" s="1">
        <v>1940.45</v>
      </c>
      <c r="G705" s="3">
        <v>1680000</v>
      </c>
      <c r="H705" s="3">
        <f t="shared" si="30"/>
        <v>3192000000</v>
      </c>
      <c r="J705" s="3">
        <v>7500000</v>
      </c>
      <c r="K705" s="3"/>
      <c r="L705" s="3">
        <f t="shared" si="31"/>
        <v>14553375000</v>
      </c>
      <c r="N705" s="4">
        <f t="shared" si="32"/>
        <v>0.78066943234816666</v>
      </c>
    </row>
    <row r="706" spans="1:14" x14ac:dyDescent="0.45">
      <c r="A706" s="2">
        <v>44908</v>
      </c>
      <c r="B706" s="1">
        <v>1862.35</v>
      </c>
      <c r="D706" s="2">
        <v>44908</v>
      </c>
      <c r="E706" s="1">
        <v>1951.35</v>
      </c>
      <c r="G706" s="3">
        <v>1680000</v>
      </c>
      <c r="H706" s="3">
        <f t="shared" si="30"/>
        <v>3128748000</v>
      </c>
      <c r="J706" s="3">
        <v>7500000</v>
      </c>
      <c r="K706" s="3"/>
      <c r="L706" s="3">
        <f t="shared" si="31"/>
        <v>14635125000</v>
      </c>
      <c r="N706" s="4">
        <f t="shared" si="32"/>
        <v>0.78621651677044091</v>
      </c>
    </row>
    <row r="707" spans="1:14" x14ac:dyDescent="0.45">
      <c r="A707" s="2">
        <v>44907</v>
      </c>
      <c r="B707" s="1">
        <v>1877.15</v>
      </c>
      <c r="D707" s="2">
        <v>44907</v>
      </c>
      <c r="E707" s="1">
        <v>1909.8</v>
      </c>
      <c r="G707" s="3">
        <v>1680000</v>
      </c>
      <c r="H707" s="3">
        <f t="shared" ref="H707:H770" si="33">+G707*B707</f>
        <v>3153612000</v>
      </c>
      <c r="J707" s="3">
        <v>7500000</v>
      </c>
      <c r="K707" s="3"/>
      <c r="L707" s="3">
        <f t="shared" ref="L707:L770" si="34">+(J707*E707)</f>
        <v>14323500000</v>
      </c>
      <c r="N707" s="4">
        <f t="shared" ref="N707:N770" si="35">1- (H707/L707)</f>
        <v>0.77982951094355424</v>
      </c>
    </row>
    <row r="708" spans="1:14" x14ac:dyDescent="0.45">
      <c r="A708" s="2">
        <v>44904</v>
      </c>
      <c r="B708" s="1">
        <v>1855.4</v>
      </c>
      <c r="D708" s="2">
        <v>44904</v>
      </c>
      <c r="E708" s="1">
        <v>1895.85</v>
      </c>
      <c r="G708" s="3">
        <v>1680000</v>
      </c>
      <c r="H708" s="3">
        <f t="shared" si="33"/>
        <v>3117072000</v>
      </c>
      <c r="J708" s="3">
        <v>7500000</v>
      </c>
      <c r="K708" s="3"/>
      <c r="L708" s="3">
        <f t="shared" si="34"/>
        <v>14218875000</v>
      </c>
      <c r="N708" s="4">
        <f t="shared" si="35"/>
        <v>0.78077928106126537</v>
      </c>
    </row>
    <row r="709" spans="1:14" x14ac:dyDescent="0.45">
      <c r="A709" s="2">
        <v>44903</v>
      </c>
      <c r="B709" s="1">
        <v>1885</v>
      </c>
      <c r="D709" s="2">
        <v>44903</v>
      </c>
      <c r="E709" s="1">
        <v>1951</v>
      </c>
      <c r="G709" s="3">
        <v>1680000</v>
      </c>
      <c r="H709" s="3">
        <f t="shared" si="33"/>
        <v>3166800000</v>
      </c>
      <c r="J709" s="3">
        <v>7500000</v>
      </c>
      <c r="K709" s="3"/>
      <c r="L709" s="3">
        <f t="shared" si="34"/>
        <v>14632500000</v>
      </c>
      <c r="N709" s="4">
        <f t="shared" si="35"/>
        <v>0.78357765248590461</v>
      </c>
    </row>
    <row r="710" spans="1:14" x14ac:dyDescent="0.45">
      <c r="A710" s="2">
        <v>44902</v>
      </c>
      <c r="B710" s="1">
        <v>1885</v>
      </c>
      <c r="D710" s="2">
        <v>44902</v>
      </c>
      <c r="E710" s="1">
        <v>1945.45</v>
      </c>
      <c r="G710" s="3">
        <v>1680000</v>
      </c>
      <c r="H710" s="3">
        <f t="shared" si="33"/>
        <v>3166800000</v>
      </c>
      <c r="J710" s="3">
        <v>7500000</v>
      </c>
      <c r="K710" s="3"/>
      <c r="L710" s="3">
        <f t="shared" si="34"/>
        <v>14590875000</v>
      </c>
      <c r="N710" s="4">
        <f t="shared" si="35"/>
        <v>0.78296024056130975</v>
      </c>
    </row>
    <row r="711" spans="1:14" x14ac:dyDescent="0.45">
      <c r="A711" s="2">
        <v>44901</v>
      </c>
      <c r="B711" s="1">
        <v>1850</v>
      </c>
      <c r="D711" s="2">
        <v>44901</v>
      </c>
      <c r="E711" s="1">
        <v>1938.6</v>
      </c>
      <c r="G711" s="3">
        <v>1680000</v>
      </c>
      <c r="H711" s="3">
        <f t="shared" si="33"/>
        <v>3108000000</v>
      </c>
      <c r="J711" s="3">
        <v>7500000</v>
      </c>
      <c r="K711" s="3"/>
      <c r="L711" s="3">
        <f t="shared" si="34"/>
        <v>14539500000</v>
      </c>
      <c r="N711" s="4">
        <f t="shared" si="35"/>
        <v>0.78623749097286699</v>
      </c>
    </row>
    <row r="712" spans="1:14" x14ac:dyDescent="0.45">
      <c r="A712" s="2">
        <v>44900</v>
      </c>
      <c r="B712" s="1">
        <v>1900</v>
      </c>
      <c r="D712" s="2">
        <v>44900</v>
      </c>
      <c r="E712" s="1">
        <v>1938.1</v>
      </c>
      <c r="G712" s="3">
        <v>1680000</v>
      </c>
      <c r="H712" s="3">
        <f t="shared" si="33"/>
        <v>3192000000</v>
      </c>
      <c r="J712" s="3">
        <v>7500000</v>
      </c>
      <c r="K712" s="3"/>
      <c r="L712" s="3">
        <f t="shared" si="34"/>
        <v>14535750000</v>
      </c>
      <c r="N712" s="4">
        <f t="shared" si="35"/>
        <v>0.780403487952118</v>
      </c>
    </row>
    <row r="713" spans="1:14" x14ac:dyDescent="0.45">
      <c r="A713" s="2">
        <v>44897</v>
      </c>
      <c r="B713" s="1">
        <v>1845.8</v>
      </c>
      <c r="D713" s="2">
        <v>44897</v>
      </c>
      <c r="E713" s="1">
        <v>1927.7</v>
      </c>
      <c r="G713" s="3">
        <v>1680000</v>
      </c>
      <c r="H713" s="3">
        <f t="shared" si="33"/>
        <v>3100944000</v>
      </c>
      <c r="J713" s="3">
        <v>7500000</v>
      </c>
      <c r="K713" s="3"/>
      <c r="L713" s="3">
        <f t="shared" si="34"/>
        <v>14457750000</v>
      </c>
      <c r="N713" s="4">
        <f t="shared" si="35"/>
        <v>0.7855168335321886</v>
      </c>
    </row>
    <row r="714" spans="1:14" x14ac:dyDescent="0.45">
      <c r="A714" s="2">
        <v>44896</v>
      </c>
      <c r="B714" s="1">
        <v>1900</v>
      </c>
      <c r="D714" s="2">
        <v>44896</v>
      </c>
      <c r="E714" s="1">
        <v>1956.45</v>
      </c>
      <c r="G714" s="3">
        <v>1680000</v>
      </c>
      <c r="H714" s="3">
        <f t="shared" si="33"/>
        <v>3192000000</v>
      </c>
      <c r="J714" s="3">
        <v>7500000</v>
      </c>
      <c r="K714" s="3"/>
      <c r="L714" s="3">
        <f t="shared" si="34"/>
        <v>14673375000</v>
      </c>
      <c r="N714" s="4">
        <f t="shared" si="35"/>
        <v>0.78246313475938556</v>
      </c>
    </row>
    <row r="715" spans="1:14" x14ac:dyDescent="0.45">
      <c r="A715" s="2">
        <v>44895</v>
      </c>
      <c r="B715" s="1">
        <v>1893</v>
      </c>
      <c r="D715" s="2">
        <v>44895</v>
      </c>
      <c r="E715" s="1">
        <v>2020.55</v>
      </c>
      <c r="G715" s="3">
        <v>1680000</v>
      </c>
      <c r="H715" s="3">
        <f t="shared" si="33"/>
        <v>3180240000</v>
      </c>
      <c r="J715" s="3">
        <v>7240000</v>
      </c>
      <c r="K715" s="3"/>
      <c r="L715" s="3">
        <f t="shared" si="34"/>
        <v>14628782000</v>
      </c>
      <c r="N715" s="4">
        <f t="shared" si="35"/>
        <v>0.78260391056480305</v>
      </c>
    </row>
    <row r="716" spans="1:14" x14ac:dyDescent="0.45">
      <c r="A716" s="2">
        <v>44894</v>
      </c>
      <c r="B716" s="1">
        <v>1842.5</v>
      </c>
      <c r="D716" s="2">
        <v>44894</v>
      </c>
      <c r="E716" s="1">
        <v>1921.15</v>
      </c>
      <c r="G716" s="3">
        <v>1680000</v>
      </c>
      <c r="H716" s="3">
        <f t="shared" si="33"/>
        <v>3095400000</v>
      </c>
      <c r="J716" s="3">
        <v>7240000</v>
      </c>
      <c r="K716" s="3"/>
      <c r="L716" s="3">
        <f t="shared" si="34"/>
        <v>13909126000</v>
      </c>
      <c r="N716" s="4">
        <f t="shared" si="35"/>
        <v>0.77745546341301386</v>
      </c>
    </row>
    <row r="717" spans="1:14" x14ac:dyDescent="0.45">
      <c r="A717" s="2">
        <v>44893</v>
      </c>
      <c r="B717" s="1">
        <v>1880</v>
      </c>
      <c r="D717" s="2">
        <v>44893</v>
      </c>
      <c r="E717" s="1">
        <v>1927.15</v>
      </c>
      <c r="G717" s="3">
        <v>1680000</v>
      </c>
      <c r="H717" s="3">
        <f t="shared" si="33"/>
        <v>3158400000</v>
      </c>
      <c r="J717" s="3">
        <v>7240000</v>
      </c>
      <c r="K717" s="3"/>
      <c r="L717" s="3">
        <f t="shared" si="34"/>
        <v>13952566000</v>
      </c>
      <c r="N717" s="4">
        <f t="shared" si="35"/>
        <v>0.77363303638914882</v>
      </c>
    </row>
    <row r="718" spans="1:14" x14ac:dyDescent="0.45">
      <c r="A718" s="2">
        <v>44890</v>
      </c>
      <c r="B718" s="1">
        <v>1856</v>
      </c>
      <c r="D718" s="2">
        <v>44890</v>
      </c>
      <c r="E718" s="1">
        <v>1911.3</v>
      </c>
      <c r="G718" s="3">
        <v>1680000</v>
      </c>
      <c r="H718" s="3">
        <f t="shared" si="33"/>
        <v>3118080000</v>
      </c>
      <c r="J718" s="3">
        <v>7240000</v>
      </c>
      <c r="K718" s="3"/>
      <c r="L718" s="3">
        <f t="shared" si="34"/>
        <v>13837812000</v>
      </c>
      <c r="N718" s="4">
        <f t="shared" si="35"/>
        <v>0.774669579265855</v>
      </c>
    </row>
    <row r="719" spans="1:14" x14ac:dyDescent="0.45">
      <c r="A719" s="2">
        <v>44889</v>
      </c>
      <c r="B719" s="1">
        <v>1850.1</v>
      </c>
      <c r="D719" s="2">
        <v>44889</v>
      </c>
      <c r="E719" s="1">
        <v>1922.85</v>
      </c>
      <c r="G719" s="3">
        <v>1680000</v>
      </c>
      <c r="H719" s="3">
        <f t="shared" si="33"/>
        <v>3108168000</v>
      </c>
      <c r="J719" s="3">
        <v>7240000</v>
      </c>
      <c r="K719" s="3"/>
      <c r="L719" s="3">
        <f t="shared" si="34"/>
        <v>13921434000</v>
      </c>
      <c r="N719" s="4">
        <f t="shared" si="35"/>
        <v>0.77673506910279499</v>
      </c>
    </row>
    <row r="720" spans="1:14" x14ac:dyDescent="0.45">
      <c r="A720" s="2">
        <v>44888</v>
      </c>
      <c r="B720" s="1">
        <v>1862.1</v>
      </c>
      <c r="D720" s="2">
        <v>44888</v>
      </c>
      <c r="E720" s="1">
        <v>1935.5</v>
      </c>
      <c r="G720" s="3">
        <v>1680000</v>
      </c>
      <c r="H720" s="3">
        <f t="shared" si="33"/>
        <v>3128328000</v>
      </c>
      <c r="J720" s="3">
        <v>7240000</v>
      </c>
      <c r="K720" s="3"/>
      <c r="L720" s="3">
        <f t="shared" si="34"/>
        <v>14013020000</v>
      </c>
      <c r="N720" s="4">
        <f t="shared" si="35"/>
        <v>0.77675561727593334</v>
      </c>
    </row>
    <row r="721" spans="1:14" x14ac:dyDescent="0.45">
      <c r="A721" s="2">
        <v>44887</v>
      </c>
      <c r="B721" s="1">
        <v>1894.55</v>
      </c>
      <c r="D721" s="2">
        <v>44887</v>
      </c>
      <c r="E721" s="1">
        <v>1886.5</v>
      </c>
      <c r="G721" s="3">
        <v>1680000</v>
      </c>
      <c r="H721" s="3">
        <f t="shared" si="33"/>
        <v>3182844000</v>
      </c>
      <c r="J721" s="3">
        <v>7240000</v>
      </c>
      <c r="K721" s="3"/>
      <c r="L721" s="3">
        <f t="shared" si="34"/>
        <v>13658260000</v>
      </c>
      <c r="N721" s="4">
        <f t="shared" si="35"/>
        <v>0.76696563105402882</v>
      </c>
    </row>
    <row r="722" spans="1:14" x14ac:dyDescent="0.45">
      <c r="A722" s="2">
        <v>44886</v>
      </c>
      <c r="B722" s="1">
        <v>1941</v>
      </c>
      <c r="D722" s="2">
        <v>44886</v>
      </c>
      <c r="E722" s="1">
        <v>1873.25</v>
      </c>
      <c r="G722" s="3">
        <v>1680000</v>
      </c>
      <c r="H722" s="3">
        <f t="shared" si="33"/>
        <v>3260880000</v>
      </c>
      <c r="J722" s="3">
        <v>7240000</v>
      </c>
      <c r="K722" s="3"/>
      <c r="L722" s="3">
        <f t="shared" si="34"/>
        <v>13562330000</v>
      </c>
      <c r="N722" s="4">
        <f t="shared" si="35"/>
        <v>0.75956343784585689</v>
      </c>
    </row>
    <row r="723" spans="1:14" x14ac:dyDescent="0.45">
      <c r="A723" s="2">
        <v>44883</v>
      </c>
      <c r="B723" s="1">
        <v>1965</v>
      </c>
      <c r="D723" s="2">
        <v>44883</v>
      </c>
      <c r="E723" s="1">
        <v>1913.85</v>
      </c>
      <c r="G723" s="3">
        <v>1680000</v>
      </c>
      <c r="H723" s="3">
        <f t="shared" si="33"/>
        <v>3301200000</v>
      </c>
      <c r="J723" s="3">
        <v>7240000</v>
      </c>
      <c r="K723" s="3"/>
      <c r="L723" s="3">
        <f t="shared" si="34"/>
        <v>13856274000</v>
      </c>
      <c r="N723" s="4">
        <f t="shared" si="35"/>
        <v>0.76175413390352986</v>
      </c>
    </row>
    <row r="724" spans="1:14" x14ac:dyDescent="0.45">
      <c r="A724" s="2">
        <v>44882</v>
      </c>
      <c r="B724" s="1">
        <v>1980</v>
      </c>
      <c r="D724" s="2">
        <v>44882</v>
      </c>
      <c r="E724" s="1">
        <v>1962.25</v>
      </c>
      <c r="G724" s="3">
        <v>1680000</v>
      </c>
      <c r="H724" s="3">
        <f t="shared" si="33"/>
        <v>3326400000</v>
      </c>
      <c r="J724" s="3">
        <v>7240000</v>
      </c>
      <c r="K724" s="3"/>
      <c r="L724" s="3">
        <f t="shared" si="34"/>
        <v>14206690000</v>
      </c>
      <c r="N724" s="4">
        <f t="shared" si="35"/>
        <v>0.76585679000527218</v>
      </c>
    </row>
    <row r="725" spans="1:14" x14ac:dyDescent="0.45">
      <c r="A725" s="2">
        <v>44881</v>
      </c>
      <c r="B725" s="1">
        <v>1920</v>
      </c>
      <c r="D725" s="2">
        <v>44881</v>
      </c>
      <c r="E725" s="1">
        <v>1964.15</v>
      </c>
      <c r="G725" s="3">
        <v>1680000</v>
      </c>
      <c r="H725" s="3">
        <f t="shared" si="33"/>
        <v>3225600000</v>
      </c>
      <c r="J725" s="3">
        <v>7240000</v>
      </c>
      <c r="K725" s="3"/>
      <c r="L725" s="3">
        <f t="shared" si="34"/>
        <v>14220446000</v>
      </c>
      <c r="N725" s="4">
        <f t="shared" si="35"/>
        <v>0.77317167126825703</v>
      </c>
    </row>
    <row r="726" spans="1:14" x14ac:dyDescent="0.45">
      <c r="A726" s="2">
        <v>44880</v>
      </c>
      <c r="B726" s="1">
        <v>1931</v>
      </c>
      <c r="D726" s="2">
        <v>44880</v>
      </c>
      <c r="E726" s="1">
        <v>1950.85</v>
      </c>
      <c r="G726" s="3">
        <v>1680000</v>
      </c>
      <c r="H726" s="3">
        <f t="shared" si="33"/>
        <v>3244080000</v>
      </c>
      <c r="J726" s="3">
        <v>7240000</v>
      </c>
      <c r="K726" s="3"/>
      <c r="L726" s="3">
        <f t="shared" si="34"/>
        <v>14124154000</v>
      </c>
      <c r="N726" s="4">
        <f t="shared" si="35"/>
        <v>0.77031686287192846</v>
      </c>
    </row>
    <row r="727" spans="1:14" x14ac:dyDescent="0.45">
      <c r="A727" s="2">
        <v>44879</v>
      </c>
      <c r="B727" s="1">
        <v>1951</v>
      </c>
      <c r="D727" s="2">
        <v>44879</v>
      </c>
      <c r="E727" s="1">
        <v>1841.35</v>
      </c>
      <c r="G727" s="3">
        <v>1680000</v>
      </c>
      <c r="H727" s="3">
        <f t="shared" si="33"/>
        <v>3277680000</v>
      </c>
      <c r="J727" s="3">
        <v>7240000</v>
      </c>
      <c r="K727" s="3"/>
      <c r="L727" s="3">
        <f t="shared" si="34"/>
        <v>13331374000</v>
      </c>
      <c r="N727" s="4">
        <f t="shared" si="35"/>
        <v>0.75413787056007875</v>
      </c>
    </row>
    <row r="728" spans="1:14" x14ac:dyDescent="0.45">
      <c r="A728" s="2">
        <v>44876</v>
      </c>
      <c r="B728" s="1">
        <v>1976.65</v>
      </c>
      <c r="D728" s="2">
        <v>44876</v>
      </c>
      <c r="E728" s="1">
        <v>1827.2</v>
      </c>
      <c r="G728" s="3">
        <v>1680000</v>
      </c>
      <c r="H728" s="3">
        <f t="shared" si="33"/>
        <v>3320772000</v>
      </c>
      <c r="J728" s="3">
        <v>7240000</v>
      </c>
      <c r="K728" s="3"/>
      <c r="L728" s="3">
        <f t="shared" si="34"/>
        <v>13228928000</v>
      </c>
      <c r="N728" s="4">
        <f t="shared" si="35"/>
        <v>0.7489764854718387</v>
      </c>
    </row>
    <row r="729" spans="1:14" x14ac:dyDescent="0.45">
      <c r="A729" s="2">
        <v>44875</v>
      </c>
      <c r="B729" s="1">
        <v>1936.05</v>
      </c>
      <c r="D729" s="2">
        <v>44875</v>
      </c>
      <c r="E729" s="1">
        <v>1853.2</v>
      </c>
      <c r="G729" s="3">
        <v>1680000</v>
      </c>
      <c r="H729" s="3">
        <f t="shared" si="33"/>
        <v>3252564000</v>
      </c>
      <c r="J729" s="3">
        <v>7240000</v>
      </c>
      <c r="K729" s="3"/>
      <c r="L729" s="3">
        <f t="shared" si="34"/>
        <v>13417168000</v>
      </c>
      <c r="N729" s="4">
        <f t="shared" si="35"/>
        <v>0.75758192787032252</v>
      </c>
    </row>
    <row r="730" spans="1:14" x14ac:dyDescent="0.45">
      <c r="A730" s="2">
        <v>44874</v>
      </c>
      <c r="B730" s="1">
        <v>1950</v>
      </c>
      <c r="D730" s="2">
        <v>44874</v>
      </c>
      <c r="E730" s="1">
        <v>1870.3</v>
      </c>
      <c r="G730" s="3">
        <v>1680000</v>
      </c>
      <c r="H730" s="3">
        <f t="shared" si="33"/>
        <v>3276000000</v>
      </c>
      <c r="J730" s="3">
        <v>7240000</v>
      </c>
      <c r="K730" s="3"/>
      <c r="L730" s="3">
        <f t="shared" si="34"/>
        <v>13540972000</v>
      </c>
      <c r="N730" s="4">
        <f t="shared" si="35"/>
        <v>0.75806758923953166</v>
      </c>
    </row>
    <row r="731" spans="1:14" x14ac:dyDescent="0.45">
      <c r="A731" s="2">
        <v>44872</v>
      </c>
      <c r="B731" s="1">
        <v>1950</v>
      </c>
      <c r="D731" s="2">
        <v>44872</v>
      </c>
      <c r="E731" s="1">
        <v>1895.3</v>
      </c>
      <c r="G731" s="3">
        <v>1680000</v>
      </c>
      <c r="H731" s="3">
        <f t="shared" si="33"/>
        <v>3276000000</v>
      </c>
      <c r="J731" s="3">
        <v>7240000</v>
      </c>
      <c r="K731" s="3"/>
      <c r="L731" s="3">
        <f t="shared" si="34"/>
        <v>13721972000</v>
      </c>
      <c r="N731" s="4">
        <f t="shared" si="35"/>
        <v>0.76125880449253214</v>
      </c>
    </row>
    <row r="732" spans="1:14" x14ac:dyDescent="0.45">
      <c r="A732" s="2">
        <v>44869</v>
      </c>
      <c r="B732" s="1">
        <v>1949</v>
      </c>
      <c r="D732" s="2">
        <v>44869</v>
      </c>
      <c r="E732" s="1">
        <v>1831.5</v>
      </c>
      <c r="G732" s="3">
        <v>1680000</v>
      </c>
      <c r="H732" s="3">
        <f t="shared" si="33"/>
        <v>3274320000</v>
      </c>
      <c r="J732" s="3">
        <v>7240000</v>
      </c>
      <c r="K732" s="3"/>
      <c r="L732" s="3">
        <f t="shared" si="34"/>
        <v>13260060000</v>
      </c>
      <c r="N732" s="4">
        <f t="shared" si="35"/>
        <v>0.75306899063805144</v>
      </c>
    </row>
    <row r="733" spans="1:14" x14ac:dyDescent="0.45">
      <c r="A733" s="2">
        <v>44868</v>
      </c>
      <c r="B733" s="1">
        <v>1947</v>
      </c>
      <c r="D733" s="2">
        <v>44868</v>
      </c>
      <c r="E733" s="1">
        <v>1917.55</v>
      </c>
      <c r="G733" s="3">
        <v>1680000</v>
      </c>
      <c r="H733" s="3">
        <f t="shared" si="33"/>
        <v>3270960000</v>
      </c>
      <c r="J733" s="3">
        <v>7240000</v>
      </c>
      <c r="K733" s="3"/>
      <c r="L733" s="3">
        <f t="shared" si="34"/>
        <v>13883062000</v>
      </c>
      <c r="N733" s="4">
        <f t="shared" si="35"/>
        <v>0.76439203397636635</v>
      </c>
    </row>
    <row r="734" spans="1:14" x14ac:dyDescent="0.45">
      <c r="A734" s="2">
        <v>44867</v>
      </c>
      <c r="B734" s="1">
        <v>1965.65</v>
      </c>
      <c r="D734" s="2">
        <v>44867</v>
      </c>
      <c r="E734" s="1">
        <v>1999.05</v>
      </c>
      <c r="G734" s="3">
        <v>1680000</v>
      </c>
      <c r="H734" s="3">
        <f t="shared" si="33"/>
        <v>3302292000</v>
      </c>
      <c r="J734" s="3">
        <v>7240000</v>
      </c>
      <c r="K734" s="3"/>
      <c r="L734" s="3">
        <f t="shared" si="34"/>
        <v>14473122000</v>
      </c>
      <c r="N734" s="4">
        <f t="shared" si="35"/>
        <v>0.77183278079187057</v>
      </c>
    </row>
    <row r="735" spans="1:14" x14ac:dyDescent="0.45">
      <c r="A735" s="2">
        <v>44866</v>
      </c>
      <c r="B735" s="1">
        <v>1955</v>
      </c>
      <c r="D735" s="2">
        <v>44866</v>
      </c>
      <c r="E735" s="1">
        <v>2038.8</v>
      </c>
      <c r="G735" s="3">
        <v>1680000</v>
      </c>
      <c r="H735" s="3">
        <f t="shared" si="33"/>
        <v>3284400000</v>
      </c>
      <c r="J735" s="3">
        <v>7240000</v>
      </c>
      <c r="K735" s="3"/>
      <c r="L735" s="3">
        <f t="shared" si="34"/>
        <v>14760912000</v>
      </c>
      <c r="N735" s="4">
        <f t="shared" si="35"/>
        <v>0.77749342317060077</v>
      </c>
    </row>
    <row r="736" spans="1:14" x14ac:dyDescent="0.45">
      <c r="A736" s="2">
        <v>44865</v>
      </c>
      <c r="B736" s="1">
        <v>1955</v>
      </c>
      <c r="D736" s="2">
        <v>44865</v>
      </c>
      <c r="E736" s="1">
        <v>2095.35</v>
      </c>
      <c r="G736" s="3">
        <v>1680000</v>
      </c>
      <c r="H736" s="3">
        <f t="shared" si="33"/>
        <v>3284400000</v>
      </c>
      <c r="J736" s="3">
        <v>7240000</v>
      </c>
      <c r="K736" s="3"/>
      <c r="L736" s="3">
        <f t="shared" si="34"/>
        <v>15170334000</v>
      </c>
      <c r="N736" s="4">
        <f t="shared" si="35"/>
        <v>0.78349850438362134</v>
      </c>
    </row>
    <row r="737" spans="1:14" x14ac:dyDescent="0.45">
      <c r="A737" s="2">
        <v>44862</v>
      </c>
      <c r="B737" s="1">
        <v>1955</v>
      </c>
      <c r="D737" s="2">
        <v>44862</v>
      </c>
      <c r="E737" s="1">
        <v>2036.2</v>
      </c>
      <c r="G737" s="3">
        <v>1680000</v>
      </c>
      <c r="H737" s="3">
        <f t="shared" si="33"/>
        <v>3284400000</v>
      </c>
      <c r="J737" s="3">
        <v>7240000</v>
      </c>
      <c r="K737" s="3"/>
      <c r="L737" s="3">
        <f t="shared" si="34"/>
        <v>14742088000</v>
      </c>
      <c r="N737" s="4">
        <f t="shared" si="35"/>
        <v>0.7772093071212165</v>
      </c>
    </row>
    <row r="738" spans="1:14" x14ac:dyDescent="0.45">
      <c r="A738" s="2">
        <v>44861</v>
      </c>
      <c r="B738" s="1">
        <v>1955</v>
      </c>
      <c r="D738" s="2">
        <v>44861</v>
      </c>
      <c r="E738" s="1">
        <v>2033.1</v>
      </c>
      <c r="G738" s="3">
        <v>1680000</v>
      </c>
      <c r="H738" s="3">
        <f t="shared" si="33"/>
        <v>3284400000</v>
      </c>
      <c r="J738" s="3">
        <v>7240000</v>
      </c>
      <c r="K738" s="3"/>
      <c r="L738" s="3">
        <f t="shared" si="34"/>
        <v>14719644000</v>
      </c>
      <c r="N738" s="4">
        <f t="shared" si="35"/>
        <v>0.77686960363987068</v>
      </c>
    </row>
    <row r="739" spans="1:14" x14ac:dyDescent="0.45">
      <c r="A739" s="2">
        <v>44859</v>
      </c>
      <c r="B739" s="1">
        <v>2000</v>
      </c>
      <c r="D739" s="2">
        <v>44859</v>
      </c>
      <c r="E739" s="1">
        <v>2028.3</v>
      </c>
      <c r="G739" s="3">
        <v>1680000</v>
      </c>
      <c r="H739" s="3">
        <f t="shared" si="33"/>
        <v>3360000000</v>
      </c>
      <c r="J739" s="3">
        <v>7240000</v>
      </c>
      <c r="K739" s="3"/>
      <c r="L739" s="3">
        <f t="shared" si="34"/>
        <v>14684892000</v>
      </c>
      <c r="N739" s="4">
        <f t="shared" si="35"/>
        <v>0.77119341429273025</v>
      </c>
    </row>
    <row r="740" spans="1:14" x14ac:dyDescent="0.45">
      <c r="A740" s="2">
        <v>44858</v>
      </c>
      <c r="B740" s="1">
        <v>2010</v>
      </c>
      <c r="D740" s="2">
        <v>44858</v>
      </c>
      <c r="E740" s="1">
        <v>2045.55</v>
      </c>
      <c r="G740" s="3">
        <v>1680000</v>
      </c>
      <c r="H740" s="3">
        <f t="shared" si="33"/>
        <v>3376800000</v>
      </c>
      <c r="J740" s="3">
        <v>7240000</v>
      </c>
      <c r="K740" s="3"/>
      <c r="L740" s="3">
        <f t="shared" si="34"/>
        <v>14809782000</v>
      </c>
      <c r="N740" s="4">
        <f t="shared" si="35"/>
        <v>0.77198854108723547</v>
      </c>
    </row>
    <row r="741" spans="1:14" x14ac:dyDescent="0.45">
      <c r="A741" s="2">
        <v>44855</v>
      </c>
      <c r="B741" s="1">
        <v>1954.75</v>
      </c>
      <c r="D741" s="2">
        <v>44855</v>
      </c>
      <c r="E741" s="1">
        <v>2025.1</v>
      </c>
      <c r="G741" s="3">
        <v>1680000</v>
      </c>
      <c r="H741" s="3">
        <f t="shared" si="33"/>
        <v>3283980000</v>
      </c>
      <c r="J741" s="3">
        <v>7240000</v>
      </c>
      <c r="K741" s="3"/>
      <c r="L741" s="3">
        <f t="shared" si="34"/>
        <v>14661724000</v>
      </c>
      <c r="N741" s="4">
        <f t="shared" si="35"/>
        <v>0.77601679038563265</v>
      </c>
    </row>
    <row r="742" spans="1:14" x14ac:dyDescent="0.45">
      <c r="A742" s="2">
        <v>44854</v>
      </c>
      <c r="B742" s="1">
        <v>1932.65</v>
      </c>
      <c r="D742" s="2">
        <v>44854</v>
      </c>
      <c r="E742" s="1">
        <v>2038.75</v>
      </c>
      <c r="G742" s="3">
        <v>1680000</v>
      </c>
      <c r="H742" s="3">
        <f t="shared" si="33"/>
        <v>3246852000</v>
      </c>
      <c r="J742" s="3">
        <v>7240000</v>
      </c>
      <c r="K742" s="3"/>
      <c r="L742" s="3">
        <f t="shared" si="34"/>
        <v>14760550000</v>
      </c>
      <c r="N742" s="4">
        <f t="shared" si="35"/>
        <v>0.78003177388376455</v>
      </c>
    </row>
    <row r="743" spans="1:14" x14ac:dyDescent="0.45">
      <c r="A743" s="2">
        <v>44853</v>
      </c>
      <c r="B743" s="1">
        <v>1926</v>
      </c>
      <c r="D743" s="2">
        <v>44853</v>
      </c>
      <c r="E743" s="1">
        <v>2013.3</v>
      </c>
      <c r="G743" s="3">
        <v>1680000</v>
      </c>
      <c r="H743" s="3">
        <f t="shared" si="33"/>
        <v>3235680000</v>
      </c>
      <c r="J743" s="3">
        <v>7240000</v>
      </c>
      <c r="K743" s="3"/>
      <c r="L743" s="3">
        <f t="shared" si="34"/>
        <v>14576292000</v>
      </c>
      <c r="N743" s="4">
        <f t="shared" si="35"/>
        <v>0.77801761929577151</v>
      </c>
    </row>
    <row r="744" spans="1:14" x14ac:dyDescent="0.45">
      <c r="A744" s="2">
        <v>44852</v>
      </c>
      <c r="B744" s="1">
        <v>1926</v>
      </c>
      <c r="D744" s="2">
        <v>44852</v>
      </c>
      <c r="E744" s="1">
        <v>1985.95</v>
      </c>
      <c r="G744" s="3">
        <v>1680000</v>
      </c>
      <c r="H744" s="3">
        <f t="shared" si="33"/>
        <v>3235680000</v>
      </c>
      <c r="J744" s="3">
        <v>7240000</v>
      </c>
      <c r="K744" s="3"/>
      <c r="L744" s="3">
        <f t="shared" si="34"/>
        <v>14378278000</v>
      </c>
      <c r="N744" s="4">
        <f t="shared" si="35"/>
        <v>0.77496053421696254</v>
      </c>
    </row>
    <row r="745" spans="1:14" x14ac:dyDescent="0.45">
      <c r="A745" s="2">
        <v>44851</v>
      </c>
      <c r="B745" s="1">
        <v>1915.25</v>
      </c>
      <c r="D745" s="2">
        <v>44851</v>
      </c>
      <c r="E745" s="1">
        <v>1961.7</v>
      </c>
      <c r="G745" s="3">
        <v>1680000</v>
      </c>
      <c r="H745" s="3">
        <f t="shared" si="33"/>
        <v>3217620000</v>
      </c>
      <c r="J745" s="3">
        <v>7240000</v>
      </c>
      <c r="K745" s="3"/>
      <c r="L745" s="3">
        <f t="shared" si="34"/>
        <v>14202708000</v>
      </c>
      <c r="N745" s="4">
        <f t="shared" si="35"/>
        <v>0.77345024624881398</v>
      </c>
    </row>
    <row r="746" spans="1:14" x14ac:dyDescent="0.45">
      <c r="A746" s="2">
        <v>44848</v>
      </c>
      <c r="B746" s="1">
        <v>1915</v>
      </c>
      <c r="D746" s="2">
        <v>44848</v>
      </c>
      <c r="E746" s="1">
        <v>2046.05</v>
      </c>
      <c r="G746" s="3">
        <v>1680000</v>
      </c>
      <c r="H746" s="3">
        <f t="shared" si="33"/>
        <v>3217200000</v>
      </c>
      <c r="J746" s="3">
        <v>7240000</v>
      </c>
      <c r="K746" s="3"/>
      <c r="L746" s="3">
        <f t="shared" si="34"/>
        <v>14813402000</v>
      </c>
      <c r="N746" s="4">
        <f t="shared" si="35"/>
        <v>0.78281828846607959</v>
      </c>
    </row>
    <row r="747" spans="1:14" x14ac:dyDescent="0.45">
      <c r="A747" s="2">
        <v>44847</v>
      </c>
      <c r="B747" s="1">
        <v>1917.1</v>
      </c>
      <c r="D747" s="2">
        <v>44847</v>
      </c>
      <c r="E747" s="1">
        <v>2060.1</v>
      </c>
      <c r="G747" s="3">
        <v>1680000</v>
      </c>
      <c r="H747" s="3">
        <f t="shared" si="33"/>
        <v>3220728000</v>
      </c>
      <c r="J747" s="3">
        <v>7240000</v>
      </c>
      <c r="K747" s="3"/>
      <c r="L747" s="3">
        <f t="shared" si="34"/>
        <v>14915124000</v>
      </c>
      <c r="N747" s="4">
        <f t="shared" si="35"/>
        <v>0.7840629417495959</v>
      </c>
    </row>
    <row r="748" spans="1:14" x14ac:dyDescent="0.45">
      <c r="A748" s="2">
        <v>44846</v>
      </c>
      <c r="B748" s="1">
        <v>1975.05</v>
      </c>
      <c r="D748" s="2">
        <v>44846</v>
      </c>
      <c r="E748" s="1">
        <v>2051.85</v>
      </c>
      <c r="G748" s="3">
        <v>1680000</v>
      </c>
      <c r="H748" s="3">
        <f t="shared" si="33"/>
        <v>3318084000</v>
      </c>
      <c r="J748" s="3">
        <v>7240000</v>
      </c>
      <c r="K748" s="3"/>
      <c r="L748" s="3">
        <f t="shared" si="34"/>
        <v>14855394000</v>
      </c>
      <c r="N748" s="4">
        <f t="shared" si="35"/>
        <v>0.77664113116084299</v>
      </c>
    </row>
    <row r="749" spans="1:14" x14ac:dyDescent="0.45">
      <c r="A749" s="2">
        <v>44845</v>
      </c>
      <c r="B749" s="1">
        <v>2080</v>
      </c>
      <c r="D749" s="2">
        <v>44845</v>
      </c>
      <c r="E749" s="1">
        <v>2030.6</v>
      </c>
      <c r="G749" s="3">
        <v>1680000</v>
      </c>
      <c r="H749" s="3">
        <f t="shared" si="33"/>
        <v>3494400000</v>
      </c>
      <c r="J749" s="3">
        <v>7240000</v>
      </c>
      <c r="K749" s="3"/>
      <c r="L749" s="3">
        <f t="shared" si="34"/>
        <v>14701544000</v>
      </c>
      <c r="N749" s="4">
        <f t="shared" si="35"/>
        <v>0.76231067974901134</v>
      </c>
    </row>
    <row r="750" spans="1:14" x14ac:dyDescent="0.45">
      <c r="A750" s="2">
        <v>44844</v>
      </c>
      <c r="B750" s="1">
        <v>2032.9</v>
      </c>
      <c r="D750" s="2">
        <v>44844</v>
      </c>
      <c r="E750" s="1">
        <v>2032.25</v>
      </c>
      <c r="G750" s="3">
        <v>1680000</v>
      </c>
      <c r="H750" s="3">
        <f t="shared" si="33"/>
        <v>3415272000</v>
      </c>
      <c r="J750" s="3">
        <v>7240000</v>
      </c>
      <c r="K750" s="3"/>
      <c r="L750" s="3">
        <f t="shared" si="34"/>
        <v>14713490000</v>
      </c>
      <c r="N750" s="4">
        <f t="shared" si="35"/>
        <v>0.7678815834992242</v>
      </c>
    </row>
    <row r="751" spans="1:14" x14ac:dyDescent="0.45">
      <c r="A751" s="2">
        <v>44841</v>
      </c>
      <c r="B751" s="1">
        <v>2039.25</v>
      </c>
      <c r="D751" s="2">
        <v>44841</v>
      </c>
      <c r="E751" s="1">
        <v>2068.65</v>
      </c>
      <c r="G751" s="3">
        <v>1680000</v>
      </c>
      <c r="H751" s="3">
        <f t="shared" si="33"/>
        <v>3425940000</v>
      </c>
      <c r="J751" s="3">
        <v>7240000</v>
      </c>
      <c r="K751" s="3"/>
      <c r="L751" s="3">
        <f t="shared" si="34"/>
        <v>14977026000</v>
      </c>
      <c r="N751" s="4">
        <f t="shared" si="35"/>
        <v>0.77125365209354646</v>
      </c>
    </row>
    <row r="752" spans="1:14" x14ac:dyDescent="0.45">
      <c r="A752" s="2">
        <v>44840</v>
      </c>
      <c r="B752" s="1">
        <v>1915</v>
      </c>
      <c r="D752" s="2">
        <v>44840</v>
      </c>
      <c r="E752" s="1">
        <v>2043.6</v>
      </c>
      <c r="G752" s="3">
        <v>1680000</v>
      </c>
      <c r="H752" s="3">
        <f t="shared" si="33"/>
        <v>3217200000</v>
      </c>
      <c r="J752" s="3">
        <v>7240000</v>
      </c>
      <c r="K752" s="3"/>
      <c r="L752" s="3">
        <f t="shared" si="34"/>
        <v>14795664000</v>
      </c>
      <c r="N752" s="4">
        <f t="shared" si="35"/>
        <v>0.78255791696810628</v>
      </c>
    </row>
    <row r="753" spans="1:14" x14ac:dyDescent="0.45">
      <c r="A753" s="2">
        <v>44838</v>
      </c>
      <c r="B753" s="1">
        <v>1963.35</v>
      </c>
      <c r="D753" s="2">
        <v>44838</v>
      </c>
      <c r="E753" s="1">
        <v>2024.15</v>
      </c>
      <c r="G753" s="3">
        <v>1680000</v>
      </c>
      <c r="H753" s="3">
        <f t="shared" si="33"/>
        <v>3298428000</v>
      </c>
      <c r="J753" s="3">
        <v>7240000</v>
      </c>
      <c r="K753" s="3"/>
      <c r="L753" s="3">
        <f t="shared" si="34"/>
        <v>14654846000</v>
      </c>
      <c r="N753" s="4">
        <f t="shared" si="35"/>
        <v>0.77492578222930486</v>
      </c>
    </row>
    <row r="754" spans="1:14" x14ac:dyDescent="0.45">
      <c r="A754" s="2">
        <v>44837</v>
      </c>
      <c r="B754" s="1">
        <v>2028.8</v>
      </c>
      <c r="D754" s="2">
        <v>44837</v>
      </c>
      <c r="E754" s="1">
        <v>2049.9499999999998</v>
      </c>
      <c r="G754" s="3">
        <v>1680000</v>
      </c>
      <c r="H754" s="3">
        <f t="shared" si="33"/>
        <v>3408384000</v>
      </c>
      <c r="J754" s="3">
        <v>7240000</v>
      </c>
      <c r="K754" s="3"/>
      <c r="L754" s="3">
        <f t="shared" si="34"/>
        <v>14841637999.999998</v>
      </c>
      <c r="N754" s="4">
        <f t="shared" si="35"/>
        <v>0.77034987647589837</v>
      </c>
    </row>
    <row r="755" spans="1:14" x14ac:dyDescent="0.45">
      <c r="A755" s="2">
        <v>44834</v>
      </c>
      <c r="B755" s="1">
        <v>1980.15</v>
      </c>
      <c r="D755" s="2">
        <v>44834</v>
      </c>
      <c r="E755" s="1">
        <v>2006.25</v>
      </c>
      <c r="G755" s="3">
        <v>1680000</v>
      </c>
      <c r="H755" s="3">
        <f t="shared" si="33"/>
        <v>3326652000</v>
      </c>
      <c r="J755" s="3">
        <v>7240000</v>
      </c>
      <c r="K755" s="3"/>
      <c r="L755" s="3">
        <f t="shared" si="34"/>
        <v>14525250000</v>
      </c>
      <c r="N755" s="4">
        <f t="shared" si="35"/>
        <v>0.77097454432798063</v>
      </c>
    </row>
    <row r="756" spans="1:14" x14ac:dyDescent="0.45">
      <c r="A756" s="2">
        <v>44833</v>
      </c>
      <c r="B756" s="1">
        <v>1939</v>
      </c>
      <c r="D756" s="2">
        <v>44833</v>
      </c>
      <c r="E756" s="1">
        <v>1933.3</v>
      </c>
      <c r="G756" s="3">
        <v>1680000</v>
      </c>
      <c r="H756" s="3">
        <f t="shared" si="33"/>
        <v>3257520000</v>
      </c>
      <c r="J756" s="3">
        <v>7240000</v>
      </c>
      <c r="K756" s="3"/>
      <c r="L756" s="3">
        <f t="shared" si="34"/>
        <v>13997092000</v>
      </c>
      <c r="N756" s="4">
        <f t="shared" si="35"/>
        <v>0.7672716589988835</v>
      </c>
    </row>
    <row r="757" spans="1:14" x14ac:dyDescent="0.45">
      <c r="A757" s="2">
        <v>44832</v>
      </c>
      <c r="B757" s="1">
        <v>1900</v>
      </c>
      <c r="D757" s="2">
        <v>44832</v>
      </c>
      <c r="E757" s="1">
        <v>1933.3</v>
      </c>
      <c r="G757" s="3">
        <v>1680000</v>
      </c>
      <c r="H757" s="3">
        <f t="shared" si="33"/>
        <v>3192000000</v>
      </c>
      <c r="J757" s="3">
        <v>7240000</v>
      </c>
      <c r="K757" s="3"/>
      <c r="L757" s="3">
        <f t="shared" si="34"/>
        <v>13997092000</v>
      </c>
      <c r="N757" s="4">
        <f t="shared" si="35"/>
        <v>0.77195263130370217</v>
      </c>
    </row>
    <row r="758" spans="1:14" x14ac:dyDescent="0.45">
      <c r="A758" s="2">
        <v>44831</v>
      </c>
      <c r="B758" s="1">
        <v>1868.6</v>
      </c>
      <c r="D758" s="2">
        <v>44831</v>
      </c>
      <c r="E758" s="1">
        <v>1876.7</v>
      </c>
      <c r="G758" s="3">
        <v>1680000</v>
      </c>
      <c r="H758" s="3">
        <f t="shared" si="33"/>
        <v>3139248000</v>
      </c>
      <c r="J758" s="3">
        <v>7240000</v>
      </c>
      <c r="K758" s="3"/>
      <c r="L758" s="3">
        <f t="shared" si="34"/>
        <v>13587308000</v>
      </c>
      <c r="N758" s="4">
        <f t="shared" si="35"/>
        <v>0.76895732399677696</v>
      </c>
    </row>
    <row r="759" spans="1:14" x14ac:dyDescent="0.45">
      <c r="A759" s="2">
        <v>44830</v>
      </c>
      <c r="B759" s="1">
        <v>1840.05</v>
      </c>
      <c r="D759" s="2">
        <v>44830</v>
      </c>
      <c r="E759" s="1">
        <v>1855.8</v>
      </c>
      <c r="G759" s="3">
        <v>1680000</v>
      </c>
      <c r="H759" s="3">
        <f t="shared" si="33"/>
        <v>3091284000</v>
      </c>
      <c r="J759" s="3">
        <v>7240000</v>
      </c>
      <c r="K759" s="3"/>
      <c r="L759" s="3">
        <f t="shared" si="34"/>
        <v>13435992000</v>
      </c>
      <c r="N759" s="4">
        <f t="shared" si="35"/>
        <v>0.76992513838948407</v>
      </c>
    </row>
    <row r="760" spans="1:14" x14ac:dyDescent="0.45">
      <c r="A760" s="2">
        <v>44827</v>
      </c>
      <c r="B760" s="1">
        <v>1826.25</v>
      </c>
      <c r="D760" s="2">
        <v>44827</v>
      </c>
      <c r="E760" s="1">
        <v>1900.3</v>
      </c>
      <c r="G760" s="3">
        <v>1680000</v>
      </c>
      <c r="H760" s="3">
        <f t="shared" si="33"/>
        <v>3068100000</v>
      </c>
      <c r="J760" s="3">
        <v>7240000</v>
      </c>
      <c r="K760" s="3"/>
      <c r="L760" s="3">
        <f t="shared" si="34"/>
        <v>13758172000</v>
      </c>
      <c r="N760" s="4">
        <f t="shared" si="35"/>
        <v>0.77699799072144171</v>
      </c>
    </row>
    <row r="761" spans="1:14" x14ac:dyDescent="0.45">
      <c r="A761" s="2">
        <v>44826</v>
      </c>
      <c r="B761" s="1">
        <v>1811</v>
      </c>
      <c r="D761" s="2">
        <v>44826</v>
      </c>
      <c r="E761" s="1">
        <v>1980.8</v>
      </c>
      <c r="G761" s="3">
        <v>1680000</v>
      </c>
      <c r="H761" s="3">
        <f t="shared" si="33"/>
        <v>3042480000</v>
      </c>
      <c r="J761" s="3">
        <v>7240000</v>
      </c>
      <c r="K761" s="3"/>
      <c r="L761" s="3">
        <f t="shared" si="34"/>
        <v>14340992000</v>
      </c>
      <c r="N761" s="4">
        <f t="shared" si="35"/>
        <v>0.78784731209668069</v>
      </c>
    </row>
    <row r="762" spans="1:14" x14ac:dyDescent="0.45">
      <c r="A762" s="2">
        <v>44825</v>
      </c>
      <c r="B762" s="1">
        <v>1870</v>
      </c>
      <c r="D762" s="2">
        <v>44825</v>
      </c>
      <c r="E762" s="1">
        <v>1972.5</v>
      </c>
      <c r="G762" s="3">
        <v>1680000</v>
      </c>
      <c r="H762" s="3">
        <f t="shared" si="33"/>
        <v>3141600000</v>
      </c>
      <c r="J762" s="3">
        <v>7240000</v>
      </c>
      <c r="K762" s="3"/>
      <c r="L762" s="3">
        <f t="shared" si="34"/>
        <v>14280900000</v>
      </c>
      <c r="N762" s="4">
        <f t="shared" si="35"/>
        <v>0.78001386467239464</v>
      </c>
    </row>
    <row r="763" spans="1:14" x14ac:dyDescent="0.45">
      <c r="A763" s="2">
        <v>44824</v>
      </c>
      <c r="B763" s="1">
        <v>1850</v>
      </c>
      <c r="D763" s="2">
        <v>44824</v>
      </c>
      <c r="E763" s="1">
        <v>1969.8</v>
      </c>
      <c r="G763" s="3">
        <v>1680000</v>
      </c>
      <c r="H763" s="3">
        <f t="shared" si="33"/>
        <v>3108000000</v>
      </c>
      <c r="J763" s="3">
        <v>7240000</v>
      </c>
      <c r="K763" s="3"/>
      <c r="L763" s="3">
        <f t="shared" si="34"/>
        <v>14261352000</v>
      </c>
      <c r="N763" s="4">
        <f t="shared" si="35"/>
        <v>0.78206834807807846</v>
      </c>
    </row>
    <row r="764" spans="1:14" x14ac:dyDescent="0.45">
      <c r="A764" s="2">
        <v>44823</v>
      </c>
      <c r="B764" s="1">
        <v>1824</v>
      </c>
      <c r="D764" s="2">
        <v>44823</v>
      </c>
      <c r="E764" s="1">
        <v>1908.8</v>
      </c>
      <c r="G764" s="3">
        <v>1680000</v>
      </c>
      <c r="H764" s="3">
        <f t="shared" si="33"/>
        <v>3064320000</v>
      </c>
      <c r="J764" s="3">
        <v>7240000</v>
      </c>
      <c r="K764" s="3"/>
      <c r="L764" s="3">
        <f t="shared" si="34"/>
        <v>13819712000</v>
      </c>
      <c r="N764" s="4">
        <f t="shared" si="35"/>
        <v>0.77826455428304153</v>
      </c>
    </row>
    <row r="765" spans="1:14" x14ac:dyDescent="0.45">
      <c r="A765" s="2">
        <v>44820</v>
      </c>
      <c r="B765" s="1">
        <v>1820</v>
      </c>
      <c r="D765" s="2">
        <v>44820</v>
      </c>
      <c r="E765" s="1">
        <v>1882.7</v>
      </c>
      <c r="G765" s="3">
        <v>1680000</v>
      </c>
      <c r="H765" s="3">
        <f t="shared" si="33"/>
        <v>3057600000</v>
      </c>
      <c r="J765" s="3">
        <v>7240000</v>
      </c>
      <c r="K765" s="3"/>
      <c r="L765" s="3">
        <f t="shared" si="34"/>
        <v>13630748000</v>
      </c>
      <c r="N765" s="4">
        <f t="shared" si="35"/>
        <v>0.77568362352528264</v>
      </c>
    </row>
    <row r="766" spans="1:14" x14ac:dyDescent="0.45">
      <c r="A766" s="2">
        <v>44819</v>
      </c>
      <c r="B766" s="1">
        <v>1835.2</v>
      </c>
      <c r="D766" s="2">
        <v>44819</v>
      </c>
      <c r="E766" s="1">
        <v>1940.5</v>
      </c>
      <c r="G766" s="3">
        <v>1680000</v>
      </c>
      <c r="H766" s="3">
        <f t="shared" si="33"/>
        <v>3083136000</v>
      </c>
      <c r="J766" s="3">
        <v>7240000</v>
      </c>
      <c r="K766" s="3"/>
      <c r="L766" s="3">
        <f t="shared" si="34"/>
        <v>14049220000</v>
      </c>
      <c r="N766" s="4">
        <f t="shared" si="35"/>
        <v>0.78054753217616346</v>
      </c>
    </row>
    <row r="767" spans="1:14" x14ac:dyDescent="0.45">
      <c r="A767" s="2">
        <v>44818</v>
      </c>
      <c r="B767" s="1">
        <v>1803.1</v>
      </c>
      <c r="D767" s="2">
        <v>44818</v>
      </c>
      <c r="E767" s="1">
        <v>2020.35</v>
      </c>
      <c r="G767" s="3">
        <v>1680000</v>
      </c>
      <c r="H767" s="3">
        <f t="shared" si="33"/>
        <v>3029208000</v>
      </c>
      <c r="J767" s="3">
        <v>7240000</v>
      </c>
      <c r="K767" s="3"/>
      <c r="L767" s="3">
        <f t="shared" si="34"/>
        <v>14627334000</v>
      </c>
      <c r="N767" s="4">
        <f t="shared" si="35"/>
        <v>0.79290771647109448</v>
      </c>
    </row>
    <row r="768" spans="1:14" x14ac:dyDescent="0.45">
      <c r="A768" s="2">
        <v>44817</v>
      </c>
      <c r="B768" s="1">
        <v>1880.35</v>
      </c>
      <c r="D768" s="2">
        <v>44817</v>
      </c>
      <c r="E768" s="1">
        <v>2029.75</v>
      </c>
      <c r="G768" s="3">
        <v>1680000</v>
      </c>
      <c r="H768" s="3">
        <f t="shared" si="33"/>
        <v>3158988000</v>
      </c>
      <c r="J768" s="3">
        <v>7240000</v>
      </c>
      <c r="K768" s="3"/>
      <c r="L768" s="3">
        <f t="shared" si="34"/>
        <v>14695390000</v>
      </c>
      <c r="N768" s="4">
        <f t="shared" si="35"/>
        <v>0.78503544308793438</v>
      </c>
    </row>
    <row r="769" spans="1:14" x14ac:dyDescent="0.45">
      <c r="A769" s="2">
        <v>44816</v>
      </c>
      <c r="B769" s="1">
        <v>1863.35</v>
      </c>
      <c r="D769" s="2">
        <v>44816</v>
      </c>
      <c r="E769" s="1">
        <v>2030.2</v>
      </c>
      <c r="G769" s="3">
        <v>1680000</v>
      </c>
      <c r="H769" s="3">
        <f t="shared" si="33"/>
        <v>3130428000</v>
      </c>
      <c r="J769" s="3">
        <v>7240000</v>
      </c>
      <c r="K769" s="3"/>
      <c r="L769" s="3">
        <f t="shared" si="34"/>
        <v>14698648000</v>
      </c>
      <c r="N769" s="4">
        <f t="shared" si="35"/>
        <v>0.78702612648455827</v>
      </c>
    </row>
    <row r="770" spans="1:14" x14ac:dyDescent="0.45">
      <c r="A770" s="2">
        <v>44813</v>
      </c>
      <c r="B770" s="1">
        <v>1832.45</v>
      </c>
      <c r="D770" s="2">
        <v>44813</v>
      </c>
      <c r="E770" s="1">
        <v>2031.15</v>
      </c>
      <c r="G770" s="3">
        <v>1680000</v>
      </c>
      <c r="H770" s="3">
        <f t="shared" si="33"/>
        <v>3078516000</v>
      </c>
      <c r="J770" s="3">
        <v>7240000</v>
      </c>
      <c r="K770" s="3"/>
      <c r="L770" s="3">
        <f t="shared" si="34"/>
        <v>14705526000</v>
      </c>
      <c r="N770" s="4">
        <f t="shared" si="35"/>
        <v>0.79065583917229487</v>
      </c>
    </row>
    <row r="771" spans="1:14" x14ac:dyDescent="0.45">
      <c r="A771" s="2">
        <v>44812</v>
      </c>
      <c r="B771" s="1">
        <v>1730</v>
      </c>
      <c r="D771" s="2">
        <v>44812</v>
      </c>
      <c r="E771" s="1">
        <v>2051.4</v>
      </c>
      <c r="G771" s="3">
        <v>1680000</v>
      </c>
      <c r="H771" s="3">
        <f t="shared" ref="H771:H834" si="36">+G771*B771</f>
        <v>2906400000</v>
      </c>
      <c r="J771" s="3">
        <v>7240000</v>
      </c>
      <c r="K771" s="3"/>
      <c r="L771" s="3">
        <f t="shared" ref="L771:L834" si="37">+(J771*E771)</f>
        <v>14852136000</v>
      </c>
      <c r="N771" s="4">
        <f t="shared" ref="N771:N834" si="38">1- (H771/L771)</f>
        <v>0.80431097587579325</v>
      </c>
    </row>
    <row r="772" spans="1:14" x14ac:dyDescent="0.45">
      <c r="A772" s="2">
        <v>44811</v>
      </c>
      <c r="B772" s="1">
        <v>1699.2</v>
      </c>
      <c r="D772" s="2">
        <v>44811</v>
      </c>
      <c r="E772" s="1">
        <v>1942.9</v>
      </c>
      <c r="G772" s="3">
        <v>1680000</v>
      </c>
      <c r="H772" s="3">
        <f t="shared" si="36"/>
        <v>2854656000</v>
      </c>
      <c r="J772" s="3">
        <v>7240000</v>
      </c>
      <c r="K772" s="3"/>
      <c r="L772" s="3">
        <f t="shared" si="37"/>
        <v>14066596000</v>
      </c>
      <c r="N772" s="4">
        <f t="shared" si="38"/>
        <v>0.79706135016602453</v>
      </c>
    </row>
    <row r="773" spans="1:14" x14ac:dyDescent="0.45">
      <c r="A773" s="2">
        <v>44810</v>
      </c>
      <c r="B773" s="1">
        <v>1736</v>
      </c>
      <c r="D773" s="2">
        <v>44810</v>
      </c>
      <c r="E773" s="1">
        <v>1926.85</v>
      </c>
      <c r="G773" s="3">
        <v>1680000</v>
      </c>
      <c r="H773" s="3">
        <f t="shared" si="36"/>
        <v>2916480000</v>
      </c>
      <c r="J773" s="3">
        <v>7240000</v>
      </c>
      <c r="K773" s="3"/>
      <c r="L773" s="3">
        <f t="shared" si="37"/>
        <v>13950394000</v>
      </c>
      <c r="N773" s="4">
        <f t="shared" si="38"/>
        <v>0.79093923798854715</v>
      </c>
    </row>
    <row r="774" spans="1:14" x14ac:dyDescent="0.45">
      <c r="A774" s="2">
        <v>44809</v>
      </c>
      <c r="B774" s="1">
        <v>1709</v>
      </c>
      <c r="D774" s="2">
        <v>44809</v>
      </c>
      <c r="E774" s="1">
        <v>1942.2</v>
      </c>
      <c r="G774" s="3">
        <v>1680000</v>
      </c>
      <c r="H774" s="3">
        <f t="shared" si="36"/>
        <v>2871120000</v>
      </c>
      <c r="J774" s="3">
        <v>7240000</v>
      </c>
      <c r="K774" s="3"/>
      <c r="L774" s="3">
        <f t="shared" si="37"/>
        <v>14061528000</v>
      </c>
      <c r="N774" s="4">
        <f t="shared" si="38"/>
        <v>0.79581735356214489</v>
      </c>
    </row>
    <row r="775" spans="1:14" x14ac:dyDescent="0.45">
      <c r="A775" s="2">
        <v>44806</v>
      </c>
      <c r="B775" s="1">
        <v>1685.65</v>
      </c>
      <c r="D775" s="2">
        <v>44806</v>
      </c>
      <c r="E775" s="1">
        <v>1942.7</v>
      </c>
      <c r="G775" s="3">
        <v>1680000</v>
      </c>
      <c r="H775" s="3">
        <f t="shared" si="36"/>
        <v>2831892000</v>
      </c>
      <c r="J775" s="3">
        <v>7240000</v>
      </c>
      <c r="K775" s="3"/>
      <c r="L775" s="3">
        <f t="shared" si="37"/>
        <v>14065148000</v>
      </c>
      <c r="N775" s="4">
        <f t="shared" si="38"/>
        <v>0.79865892630493474</v>
      </c>
    </row>
    <row r="776" spans="1:14" x14ac:dyDescent="0.45">
      <c r="A776" s="2">
        <v>44805</v>
      </c>
      <c r="B776" s="1">
        <v>1598.4</v>
      </c>
      <c r="D776" s="2">
        <v>44805</v>
      </c>
      <c r="E776" s="1">
        <v>1915.35</v>
      </c>
      <c r="G776" s="3">
        <v>1680000</v>
      </c>
      <c r="H776" s="3">
        <f t="shared" si="36"/>
        <v>2685312000</v>
      </c>
      <c r="J776" s="3">
        <v>7240000</v>
      </c>
      <c r="K776" s="3"/>
      <c r="L776" s="3">
        <f t="shared" si="37"/>
        <v>13867134000</v>
      </c>
      <c r="N776" s="4">
        <f t="shared" si="38"/>
        <v>0.80635421854292311</v>
      </c>
    </row>
    <row r="777" spans="1:14" x14ac:dyDescent="0.45">
      <c r="A777" s="2">
        <v>44803</v>
      </c>
      <c r="B777" s="1">
        <v>1511.05</v>
      </c>
      <c r="D777" s="2">
        <v>44803</v>
      </c>
      <c r="E777" s="1">
        <v>1913.55</v>
      </c>
      <c r="G777" s="3">
        <v>1680000</v>
      </c>
      <c r="H777" s="3">
        <f t="shared" si="36"/>
        <v>2538564000</v>
      </c>
      <c r="J777" s="3">
        <v>7240000</v>
      </c>
      <c r="K777" s="3"/>
      <c r="L777" s="3">
        <f t="shared" si="37"/>
        <v>13854102000</v>
      </c>
      <c r="N777" s="4">
        <f t="shared" si="38"/>
        <v>0.81676444998022968</v>
      </c>
    </row>
    <row r="778" spans="1:14" x14ac:dyDescent="0.45">
      <c r="A778" s="2">
        <v>44802</v>
      </c>
      <c r="B778" s="1">
        <v>1500</v>
      </c>
      <c r="D778" s="2">
        <v>44802</v>
      </c>
      <c r="E778" s="1">
        <v>1843.8</v>
      </c>
      <c r="G778" s="3">
        <v>1680000</v>
      </c>
      <c r="H778" s="3">
        <f t="shared" si="36"/>
        <v>2520000000</v>
      </c>
      <c r="J778" s="3">
        <v>7240000</v>
      </c>
      <c r="K778" s="3"/>
      <c r="L778" s="3">
        <f t="shared" si="37"/>
        <v>13349112000</v>
      </c>
      <c r="N778" s="4">
        <f t="shared" si="38"/>
        <v>0.81122339823053402</v>
      </c>
    </row>
    <row r="779" spans="1:14" x14ac:dyDescent="0.45">
      <c r="A779" s="2">
        <v>44799</v>
      </c>
      <c r="B779" s="1">
        <v>1492.6</v>
      </c>
      <c r="D779" s="2">
        <v>44799</v>
      </c>
      <c r="E779" s="1">
        <v>1911.65</v>
      </c>
      <c r="G779" s="3">
        <v>1680000</v>
      </c>
      <c r="H779" s="3">
        <f t="shared" si="36"/>
        <v>2507568000</v>
      </c>
      <c r="J779" s="3">
        <v>7240000</v>
      </c>
      <c r="K779" s="3"/>
      <c r="L779" s="3">
        <f t="shared" si="37"/>
        <v>13840346000</v>
      </c>
      <c r="N779" s="4">
        <f t="shared" si="38"/>
        <v>0.81882187049370003</v>
      </c>
    </row>
    <row r="780" spans="1:14" x14ac:dyDescent="0.45">
      <c r="A780" s="2">
        <v>44798</v>
      </c>
      <c r="B780" s="1">
        <v>1491.85</v>
      </c>
      <c r="D780" s="2">
        <v>44798</v>
      </c>
      <c r="E780" s="1">
        <v>1928.6</v>
      </c>
      <c r="G780" s="3">
        <v>1680000</v>
      </c>
      <c r="H780" s="3">
        <f t="shared" si="36"/>
        <v>2506308000</v>
      </c>
      <c r="J780" s="3">
        <v>7240000</v>
      </c>
      <c r="K780" s="3"/>
      <c r="L780" s="3">
        <f t="shared" si="37"/>
        <v>13963064000</v>
      </c>
      <c r="N780" s="4">
        <f t="shared" si="38"/>
        <v>0.82050443942676199</v>
      </c>
    </row>
    <row r="781" spans="1:14" x14ac:dyDescent="0.45">
      <c r="A781" s="2">
        <v>44797</v>
      </c>
      <c r="B781" s="1">
        <v>1520</v>
      </c>
      <c r="D781" s="2">
        <v>44797</v>
      </c>
      <c r="E781" s="1">
        <v>1908.85</v>
      </c>
      <c r="G781" s="3">
        <v>1680000</v>
      </c>
      <c r="H781" s="3">
        <f t="shared" si="36"/>
        <v>2553600000</v>
      </c>
      <c r="J781" s="3">
        <v>7240000</v>
      </c>
      <c r="K781" s="3"/>
      <c r="L781" s="3">
        <f t="shared" si="37"/>
        <v>13820074000</v>
      </c>
      <c r="N781" s="4">
        <f t="shared" si="38"/>
        <v>0.81522530197739895</v>
      </c>
    </row>
    <row r="782" spans="1:14" x14ac:dyDescent="0.45">
      <c r="A782" s="2">
        <v>44796</v>
      </c>
      <c r="B782" s="1">
        <v>1491.3</v>
      </c>
      <c r="D782" s="2">
        <v>44796</v>
      </c>
      <c r="E782" s="1">
        <v>1830.1</v>
      </c>
      <c r="G782" s="3">
        <v>1680000</v>
      </c>
      <c r="H782" s="3">
        <f t="shared" si="36"/>
        <v>2505384000</v>
      </c>
      <c r="J782" s="3">
        <v>7240000</v>
      </c>
      <c r="K782" s="3"/>
      <c r="L782" s="3">
        <f t="shared" si="37"/>
        <v>13249924000</v>
      </c>
      <c r="N782" s="4">
        <f t="shared" si="38"/>
        <v>0.81091333052174486</v>
      </c>
    </row>
    <row r="783" spans="1:14" x14ac:dyDescent="0.45">
      <c r="A783" s="2">
        <v>44795</v>
      </c>
      <c r="B783" s="1">
        <v>1532.95</v>
      </c>
      <c r="D783" s="2">
        <v>44795</v>
      </c>
      <c r="E783" s="1">
        <v>1810.75</v>
      </c>
      <c r="G783" s="3">
        <v>1680000</v>
      </c>
      <c r="H783" s="3">
        <f t="shared" si="36"/>
        <v>2575356000</v>
      </c>
      <c r="J783" s="3">
        <v>7240000</v>
      </c>
      <c r="K783" s="3"/>
      <c r="L783" s="3">
        <f t="shared" si="37"/>
        <v>13109830000</v>
      </c>
      <c r="N783" s="4">
        <f t="shared" si="38"/>
        <v>0.80355534739962309</v>
      </c>
    </row>
    <row r="784" spans="1:14" x14ac:dyDescent="0.45">
      <c r="A784" s="2">
        <v>44792</v>
      </c>
      <c r="B784" s="1">
        <v>1487.75</v>
      </c>
      <c r="D784" s="2">
        <v>44792</v>
      </c>
      <c r="E784" s="1">
        <v>1774.65</v>
      </c>
      <c r="G784" s="3">
        <v>1680000</v>
      </c>
      <c r="H784" s="3">
        <f t="shared" si="36"/>
        <v>2499420000</v>
      </c>
      <c r="J784" s="3">
        <v>7240000</v>
      </c>
      <c r="K784" s="3"/>
      <c r="L784" s="3">
        <f t="shared" si="37"/>
        <v>12848466000</v>
      </c>
      <c r="N784" s="4">
        <f t="shared" si="38"/>
        <v>0.80546938443857807</v>
      </c>
    </row>
    <row r="785" spans="1:14" x14ac:dyDescent="0.45">
      <c r="A785" s="2">
        <v>44791</v>
      </c>
      <c r="B785" s="1">
        <v>1520.15</v>
      </c>
      <c r="D785" s="2">
        <v>44791</v>
      </c>
      <c r="E785" s="1">
        <v>1778.15</v>
      </c>
      <c r="G785" s="3">
        <v>1680000</v>
      </c>
      <c r="H785" s="3">
        <f t="shared" si="36"/>
        <v>2553852000</v>
      </c>
      <c r="J785" s="3">
        <v>7240000</v>
      </c>
      <c r="K785" s="3"/>
      <c r="L785" s="3">
        <f t="shared" si="37"/>
        <v>12873806000</v>
      </c>
      <c r="N785" s="4">
        <f t="shared" si="38"/>
        <v>0.80162416615568077</v>
      </c>
    </row>
    <row r="786" spans="1:14" x14ac:dyDescent="0.45">
      <c r="A786" s="2">
        <v>44790</v>
      </c>
      <c r="B786" s="1">
        <v>1508.35</v>
      </c>
      <c r="D786" s="2">
        <v>44790</v>
      </c>
      <c r="E786" s="1">
        <v>1792.95</v>
      </c>
      <c r="G786" s="3">
        <v>1680000</v>
      </c>
      <c r="H786" s="3">
        <f t="shared" si="36"/>
        <v>2534028000</v>
      </c>
      <c r="J786" s="3">
        <v>7240000</v>
      </c>
      <c r="K786" s="3"/>
      <c r="L786" s="3">
        <f t="shared" si="37"/>
        <v>12980958000</v>
      </c>
      <c r="N786" s="4">
        <f t="shared" si="38"/>
        <v>0.80478882991532674</v>
      </c>
    </row>
    <row r="787" spans="1:14" x14ac:dyDescent="0.45">
      <c r="A787" s="2">
        <v>44789</v>
      </c>
      <c r="B787" s="1">
        <v>1556.25</v>
      </c>
      <c r="D787" s="2">
        <v>44789</v>
      </c>
      <c r="E787" s="1">
        <v>1819.55</v>
      </c>
      <c r="G787" s="3">
        <v>1680000</v>
      </c>
      <c r="H787" s="3">
        <f t="shared" si="36"/>
        <v>2614500000</v>
      </c>
      <c r="J787" s="3">
        <v>7240000</v>
      </c>
      <c r="K787" s="3"/>
      <c r="L787" s="3">
        <f t="shared" si="37"/>
        <v>13173542000</v>
      </c>
      <c r="N787" s="4">
        <f t="shared" si="38"/>
        <v>0.80153401416262993</v>
      </c>
    </row>
    <row r="788" spans="1:14" x14ac:dyDescent="0.45">
      <c r="A788" s="2">
        <v>44785</v>
      </c>
      <c r="B788" s="1">
        <v>1532.65</v>
      </c>
      <c r="D788" s="2">
        <v>44785</v>
      </c>
      <c r="E788" s="1">
        <v>1713.2</v>
      </c>
      <c r="G788" s="3">
        <v>1680000</v>
      </c>
      <c r="H788" s="3">
        <f t="shared" si="36"/>
        <v>2574852000</v>
      </c>
      <c r="J788" s="3">
        <v>7240000</v>
      </c>
      <c r="K788" s="3"/>
      <c r="L788" s="3">
        <f t="shared" si="37"/>
        <v>12403568000</v>
      </c>
      <c r="N788" s="4">
        <f t="shared" si="38"/>
        <v>0.79241037740108333</v>
      </c>
    </row>
    <row r="789" spans="1:14" x14ac:dyDescent="0.45">
      <c r="A789" s="2">
        <v>44784</v>
      </c>
      <c r="B789" s="1">
        <v>1570.35</v>
      </c>
      <c r="D789" s="2">
        <v>44784</v>
      </c>
      <c r="E789" s="1">
        <v>1582.55</v>
      </c>
      <c r="G789" s="3">
        <v>1680000</v>
      </c>
      <c r="H789" s="3">
        <f t="shared" si="36"/>
        <v>2638188000</v>
      </c>
      <c r="J789" s="3">
        <v>7240000</v>
      </c>
      <c r="K789" s="3"/>
      <c r="L789" s="3">
        <f t="shared" si="37"/>
        <v>11457662000</v>
      </c>
      <c r="N789" s="4">
        <f t="shared" si="38"/>
        <v>0.7697446477300518</v>
      </c>
    </row>
    <row r="790" spans="1:14" x14ac:dyDescent="0.45">
      <c r="A790" s="2">
        <v>44783</v>
      </c>
      <c r="B790" s="1">
        <v>1590.05</v>
      </c>
      <c r="D790" s="2">
        <v>44783</v>
      </c>
      <c r="E790" s="1">
        <v>1540.85</v>
      </c>
      <c r="G790" s="3">
        <v>1680000</v>
      </c>
      <c r="H790" s="3">
        <f t="shared" si="36"/>
        <v>2671284000</v>
      </c>
      <c r="J790" s="3">
        <v>7240000</v>
      </c>
      <c r="K790" s="3"/>
      <c r="L790" s="3">
        <f t="shared" si="37"/>
        <v>11155754000</v>
      </c>
      <c r="N790" s="4">
        <f t="shared" si="38"/>
        <v>0.76054653051689736</v>
      </c>
    </row>
    <row r="791" spans="1:14" x14ac:dyDescent="0.45">
      <c r="A791" s="2">
        <v>44781</v>
      </c>
      <c r="B791" s="1">
        <v>1586.85</v>
      </c>
      <c r="D791" s="2">
        <v>44781</v>
      </c>
      <c r="E791" s="1">
        <v>1529.85</v>
      </c>
      <c r="G791" s="3">
        <v>1680000</v>
      </c>
      <c r="H791" s="3">
        <f t="shared" si="36"/>
        <v>2665908000</v>
      </c>
      <c r="J791" s="3">
        <v>7240000</v>
      </c>
      <c r="K791" s="3"/>
      <c r="L791" s="3">
        <f t="shared" si="37"/>
        <v>11076114000</v>
      </c>
      <c r="N791" s="4">
        <f t="shared" si="38"/>
        <v>0.75931016961363884</v>
      </c>
    </row>
    <row r="792" spans="1:14" x14ac:dyDescent="0.45">
      <c r="A792" s="2">
        <v>44778</v>
      </c>
      <c r="B792" s="1">
        <v>1551.3</v>
      </c>
      <c r="D792" s="2">
        <v>44778</v>
      </c>
      <c r="E792" s="1">
        <v>1521.35</v>
      </c>
      <c r="G792" s="3">
        <v>1680000</v>
      </c>
      <c r="H792" s="3">
        <f t="shared" si="36"/>
        <v>2606184000</v>
      </c>
      <c r="J792" s="3">
        <v>7240000</v>
      </c>
      <c r="K792" s="3"/>
      <c r="L792" s="3">
        <f t="shared" si="37"/>
        <v>11014574000</v>
      </c>
      <c r="N792" s="4">
        <f t="shared" si="38"/>
        <v>0.76338767164304311</v>
      </c>
    </row>
    <row r="793" spans="1:14" x14ac:dyDescent="0.45">
      <c r="A793" s="2">
        <v>44777</v>
      </c>
      <c r="B793" s="1">
        <v>1579.9</v>
      </c>
      <c r="D793" s="2">
        <v>44777</v>
      </c>
      <c r="E793" s="1">
        <v>1535.7</v>
      </c>
      <c r="G793" s="3">
        <v>1680000</v>
      </c>
      <c r="H793" s="3">
        <f t="shared" si="36"/>
        <v>2654232000</v>
      </c>
      <c r="J793" s="3">
        <v>7240000</v>
      </c>
      <c r="K793" s="3"/>
      <c r="L793" s="3">
        <f t="shared" si="37"/>
        <v>11118468000</v>
      </c>
      <c r="N793" s="4">
        <f t="shared" si="38"/>
        <v>0.76127718315149173</v>
      </c>
    </row>
    <row r="794" spans="1:14" x14ac:dyDescent="0.45">
      <c r="A794" s="2">
        <v>44776</v>
      </c>
      <c r="B794" s="1">
        <v>1575</v>
      </c>
      <c r="D794" s="2">
        <v>44776</v>
      </c>
      <c r="E794" s="1">
        <v>1545.3</v>
      </c>
      <c r="G794" s="3">
        <v>1680000</v>
      </c>
      <c r="H794" s="3">
        <f t="shared" si="36"/>
        <v>2646000000</v>
      </c>
      <c r="J794" s="3">
        <v>7240000</v>
      </c>
      <c r="K794" s="3"/>
      <c r="L794" s="3">
        <f t="shared" si="37"/>
        <v>11187972000</v>
      </c>
      <c r="N794" s="4">
        <f t="shared" si="38"/>
        <v>0.76349601160961078</v>
      </c>
    </row>
    <row r="795" spans="1:14" x14ac:dyDescent="0.45">
      <c r="A795" s="2">
        <v>44775</v>
      </c>
      <c r="B795" s="1">
        <v>1550</v>
      </c>
      <c r="D795" s="2">
        <v>44775</v>
      </c>
      <c r="E795" s="1">
        <v>1558.1</v>
      </c>
      <c r="G795" s="3">
        <v>1680000</v>
      </c>
      <c r="H795" s="3">
        <f t="shared" si="36"/>
        <v>2604000000</v>
      </c>
      <c r="J795" s="3">
        <v>7240000</v>
      </c>
      <c r="K795" s="3"/>
      <c r="L795" s="3">
        <f t="shared" si="37"/>
        <v>11280644000</v>
      </c>
      <c r="N795" s="4">
        <f t="shared" si="38"/>
        <v>0.76916211521257116</v>
      </c>
    </row>
    <row r="796" spans="1:14" x14ac:dyDescent="0.45">
      <c r="A796" s="2">
        <v>44774</v>
      </c>
      <c r="B796" s="1">
        <v>1550</v>
      </c>
      <c r="D796" s="2">
        <v>44774</v>
      </c>
      <c r="E796" s="1">
        <v>1499.3</v>
      </c>
      <c r="G796" s="3">
        <v>1680000</v>
      </c>
      <c r="H796" s="3">
        <f t="shared" si="36"/>
        <v>2604000000</v>
      </c>
      <c r="J796" s="3">
        <v>7240000</v>
      </c>
      <c r="K796" s="3"/>
      <c r="L796" s="3">
        <f t="shared" si="37"/>
        <v>10854932000</v>
      </c>
      <c r="N796" s="4">
        <f t="shared" si="38"/>
        <v>0.76010904536297419</v>
      </c>
    </row>
    <row r="797" spans="1:14" x14ac:dyDescent="0.45">
      <c r="A797" s="2">
        <v>44771</v>
      </c>
      <c r="B797" s="1">
        <v>1550.5</v>
      </c>
      <c r="D797" s="2">
        <v>44771</v>
      </c>
      <c r="E797" s="1">
        <v>1478.35</v>
      </c>
      <c r="G797" s="3">
        <v>1680000</v>
      </c>
      <c r="H797" s="3">
        <f t="shared" si="36"/>
        <v>2604840000</v>
      </c>
      <c r="J797" s="3">
        <v>7240000</v>
      </c>
      <c r="K797" s="3"/>
      <c r="L797" s="3">
        <f t="shared" si="37"/>
        <v>10703254000</v>
      </c>
      <c r="N797" s="4">
        <f t="shared" si="38"/>
        <v>0.75663102080918576</v>
      </c>
    </row>
    <row r="798" spans="1:14" x14ac:dyDescent="0.45">
      <c r="A798" s="2">
        <v>44770</v>
      </c>
      <c r="B798" s="1">
        <v>1520</v>
      </c>
      <c r="D798" s="2">
        <v>44770</v>
      </c>
      <c r="E798" s="1">
        <v>1440.5</v>
      </c>
      <c r="G798" s="3">
        <v>1680000</v>
      </c>
      <c r="H798" s="3">
        <f t="shared" si="36"/>
        <v>2553600000</v>
      </c>
      <c r="J798" s="3">
        <v>7240000</v>
      </c>
      <c r="K798" s="3"/>
      <c r="L798" s="3">
        <f t="shared" si="37"/>
        <v>10429220000</v>
      </c>
      <c r="N798" s="4">
        <f t="shared" si="38"/>
        <v>0.75514947426557311</v>
      </c>
    </row>
    <row r="799" spans="1:14" x14ac:dyDescent="0.45">
      <c r="A799" s="2">
        <v>44769</v>
      </c>
      <c r="B799" s="1">
        <v>1556.9</v>
      </c>
      <c r="D799" s="2">
        <v>44769</v>
      </c>
      <c r="E799" s="1">
        <v>1420.4</v>
      </c>
      <c r="G799" s="3">
        <v>1680000</v>
      </c>
      <c r="H799" s="3">
        <f t="shared" si="36"/>
        <v>2615592000</v>
      </c>
      <c r="J799" s="3">
        <v>7240000</v>
      </c>
      <c r="K799" s="3"/>
      <c r="L799" s="3">
        <f t="shared" si="37"/>
        <v>10283696000</v>
      </c>
      <c r="N799" s="4">
        <f t="shared" si="38"/>
        <v>0.74565642547193156</v>
      </c>
    </row>
    <row r="800" spans="1:14" x14ac:dyDescent="0.45">
      <c r="A800" s="2">
        <v>44768</v>
      </c>
      <c r="B800" s="1">
        <v>1431.1</v>
      </c>
      <c r="D800" s="2">
        <v>44768</v>
      </c>
      <c r="E800" s="1">
        <v>1430.2</v>
      </c>
      <c r="G800" s="3">
        <v>1680000</v>
      </c>
      <c r="H800" s="3">
        <f t="shared" si="36"/>
        <v>2404248000</v>
      </c>
      <c r="J800" s="3">
        <v>7240000</v>
      </c>
      <c r="K800" s="3"/>
      <c r="L800" s="3">
        <f t="shared" si="37"/>
        <v>10354648000</v>
      </c>
      <c r="N800" s="4">
        <f t="shared" si="38"/>
        <v>0.76780977972404274</v>
      </c>
    </row>
    <row r="801" spans="1:14" x14ac:dyDescent="0.45">
      <c r="A801" s="2">
        <v>44767</v>
      </c>
      <c r="B801" s="1">
        <v>1469</v>
      </c>
      <c r="D801" s="2">
        <v>44767</v>
      </c>
      <c r="E801" s="1">
        <v>1457.75</v>
      </c>
      <c r="G801" s="3">
        <v>1680000</v>
      </c>
      <c r="H801" s="3">
        <f t="shared" si="36"/>
        <v>2467920000</v>
      </c>
      <c r="J801" s="3">
        <v>7240000</v>
      </c>
      <c r="K801" s="3"/>
      <c r="L801" s="3">
        <f t="shared" si="37"/>
        <v>10554110000</v>
      </c>
      <c r="N801" s="4">
        <f t="shared" si="38"/>
        <v>0.76616502954773069</v>
      </c>
    </row>
    <row r="802" spans="1:14" x14ac:dyDescent="0.45">
      <c r="A802" s="2">
        <v>44764</v>
      </c>
      <c r="B802" s="1">
        <v>1413.15</v>
      </c>
      <c r="D802" s="2">
        <v>44764</v>
      </c>
      <c r="E802" s="1">
        <v>1444.1</v>
      </c>
      <c r="G802" s="3">
        <v>1680000</v>
      </c>
      <c r="H802" s="3">
        <f t="shared" si="36"/>
        <v>2374092000</v>
      </c>
      <c r="J802" s="3">
        <v>7240000</v>
      </c>
      <c r="K802" s="3"/>
      <c r="L802" s="3">
        <f t="shared" si="37"/>
        <v>10455284000</v>
      </c>
      <c r="N802" s="4">
        <f t="shared" si="38"/>
        <v>0.77292898021708445</v>
      </c>
    </row>
    <row r="803" spans="1:14" x14ac:dyDescent="0.45">
      <c r="A803" s="2">
        <v>44763</v>
      </c>
      <c r="B803" s="1">
        <v>1455</v>
      </c>
      <c r="D803" s="2">
        <v>44763</v>
      </c>
      <c r="E803" s="1">
        <v>1448.35</v>
      </c>
      <c r="G803" s="3">
        <v>1680000</v>
      </c>
      <c r="H803" s="3">
        <f t="shared" si="36"/>
        <v>2444400000</v>
      </c>
      <c r="J803" s="3">
        <v>7240000</v>
      </c>
      <c r="K803" s="3"/>
      <c r="L803" s="3">
        <f t="shared" si="37"/>
        <v>10486054000</v>
      </c>
      <c r="N803" s="4">
        <f t="shared" si="38"/>
        <v>0.76689038603081772</v>
      </c>
    </row>
    <row r="804" spans="1:14" x14ac:dyDescent="0.45">
      <c r="A804" s="2">
        <v>44762</v>
      </c>
      <c r="B804" s="1">
        <v>1475</v>
      </c>
      <c r="D804" s="2">
        <v>44762</v>
      </c>
      <c r="E804" s="1">
        <v>1454.05</v>
      </c>
      <c r="G804" s="3">
        <v>1680000</v>
      </c>
      <c r="H804" s="3">
        <f t="shared" si="36"/>
        <v>2478000000</v>
      </c>
      <c r="J804" s="3">
        <v>7240000</v>
      </c>
      <c r="K804" s="3"/>
      <c r="L804" s="3">
        <f t="shared" si="37"/>
        <v>10527322000</v>
      </c>
      <c r="N804" s="4">
        <f t="shared" si="38"/>
        <v>0.76461250069105891</v>
      </c>
    </row>
    <row r="805" spans="1:14" x14ac:dyDescent="0.45">
      <c r="A805" s="2">
        <v>44761</v>
      </c>
      <c r="B805" s="1">
        <v>1450.4</v>
      </c>
      <c r="D805" s="2">
        <v>44761</v>
      </c>
      <c r="E805" s="1">
        <v>1431.5</v>
      </c>
      <c r="G805" s="3">
        <v>1680000</v>
      </c>
      <c r="H805" s="3">
        <f t="shared" si="36"/>
        <v>2436672000</v>
      </c>
      <c r="J805" s="3">
        <v>7240000</v>
      </c>
      <c r="K805" s="3"/>
      <c r="L805" s="3">
        <f t="shared" si="37"/>
        <v>10364060000</v>
      </c>
      <c r="N805" s="4">
        <f t="shared" si="38"/>
        <v>0.76489213686528257</v>
      </c>
    </row>
    <row r="806" spans="1:14" x14ac:dyDescent="0.45">
      <c r="A806" s="2">
        <v>44760</v>
      </c>
      <c r="B806" s="1">
        <v>1456.3</v>
      </c>
      <c r="D806" s="2">
        <v>44760</v>
      </c>
      <c r="E806" s="1">
        <v>1443.05</v>
      </c>
      <c r="G806" s="3">
        <v>1680000</v>
      </c>
      <c r="H806" s="3">
        <f t="shared" si="36"/>
        <v>2446584000</v>
      </c>
      <c r="J806" s="3">
        <v>7240000</v>
      </c>
      <c r="K806" s="3"/>
      <c r="L806" s="3">
        <f t="shared" si="37"/>
        <v>10447682000</v>
      </c>
      <c r="N806" s="4">
        <f t="shared" si="38"/>
        <v>0.76582518495490193</v>
      </c>
    </row>
    <row r="807" spans="1:14" x14ac:dyDescent="0.45">
      <c r="A807" s="2">
        <v>44757</v>
      </c>
      <c r="B807" s="1">
        <v>1469.8</v>
      </c>
      <c r="D807" s="2">
        <v>44757</v>
      </c>
      <c r="E807" s="1">
        <v>1430.75</v>
      </c>
      <c r="G807" s="3">
        <v>1680000</v>
      </c>
      <c r="H807" s="3">
        <f t="shared" si="36"/>
        <v>2469264000</v>
      </c>
      <c r="J807" s="3">
        <v>7240000</v>
      </c>
      <c r="K807" s="3"/>
      <c r="L807" s="3">
        <f t="shared" si="37"/>
        <v>10358630000</v>
      </c>
      <c r="N807" s="4">
        <f t="shared" si="38"/>
        <v>0.76162253116483547</v>
      </c>
    </row>
    <row r="808" spans="1:14" x14ac:dyDescent="0.45">
      <c r="A808" s="2">
        <v>44756</v>
      </c>
      <c r="B808" s="1">
        <v>1450</v>
      </c>
      <c r="D808" s="2">
        <v>44756</v>
      </c>
      <c r="E808" s="1">
        <v>1454.5</v>
      </c>
      <c r="G808" s="3">
        <v>1680000</v>
      </c>
      <c r="H808" s="3">
        <f t="shared" si="36"/>
        <v>2436000000</v>
      </c>
      <c r="J808" s="3">
        <v>7240000</v>
      </c>
      <c r="K808" s="3"/>
      <c r="L808" s="3">
        <f t="shared" si="37"/>
        <v>10530580000</v>
      </c>
      <c r="N808" s="4">
        <f t="shared" si="38"/>
        <v>0.76867371027996556</v>
      </c>
    </row>
    <row r="809" spans="1:14" x14ac:dyDescent="0.45">
      <c r="A809" s="2">
        <v>44755</v>
      </c>
      <c r="B809" s="1">
        <v>1450</v>
      </c>
      <c r="D809" s="2">
        <v>44755</v>
      </c>
      <c r="E809" s="1">
        <v>1448.9</v>
      </c>
      <c r="G809" s="3">
        <v>1680000</v>
      </c>
      <c r="H809" s="3">
        <f t="shared" si="36"/>
        <v>2436000000</v>
      </c>
      <c r="J809" s="3">
        <v>7240000</v>
      </c>
      <c r="K809" s="3"/>
      <c r="L809" s="3">
        <f t="shared" si="37"/>
        <v>10490036000</v>
      </c>
      <c r="N809" s="4">
        <f t="shared" si="38"/>
        <v>0.76777963393071291</v>
      </c>
    </row>
    <row r="810" spans="1:14" x14ac:dyDescent="0.45">
      <c r="A810" s="2">
        <v>44754</v>
      </c>
      <c r="B810" s="1">
        <v>1419.05</v>
      </c>
      <c r="D810" s="2">
        <v>44754</v>
      </c>
      <c r="E810" s="1">
        <v>1450.9</v>
      </c>
      <c r="G810" s="3">
        <v>1680000</v>
      </c>
      <c r="H810" s="3">
        <f t="shared" si="36"/>
        <v>2384004000</v>
      </c>
      <c r="J810" s="3">
        <v>7240000</v>
      </c>
      <c r="K810" s="3"/>
      <c r="L810" s="3">
        <f t="shared" si="37"/>
        <v>10504516000</v>
      </c>
      <c r="N810" s="4">
        <f t="shared" si="38"/>
        <v>0.77304961028190156</v>
      </c>
    </row>
    <row r="811" spans="1:14" x14ac:dyDescent="0.45">
      <c r="A811" s="2">
        <v>44753</v>
      </c>
      <c r="B811" s="1">
        <v>1375</v>
      </c>
      <c r="D811" s="2">
        <v>44753</v>
      </c>
      <c r="E811" s="1">
        <v>1451.75</v>
      </c>
      <c r="G811" s="3">
        <v>1680000</v>
      </c>
      <c r="H811" s="3">
        <f t="shared" si="36"/>
        <v>2310000000</v>
      </c>
      <c r="J811" s="3">
        <v>7240000</v>
      </c>
      <c r="K811" s="3"/>
      <c r="L811" s="3">
        <f t="shared" si="37"/>
        <v>10510670000</v>
      </c>
      <c r="N811" s="4">
        <f t="shared" si="38"/>
        <v>0.78022333495390872</v>
      </c>
    </row>
    <row r="812" spans="1:14" x14ac:dyDescent="0.45">
      <c r="A812" s="2">
        <v>44750</v>
      </c>
      <c r="B812" s="1">
        <v>1370</v>
      </c>
      <c r="D812" s="2">
        <v>44750</v>
      </c>
      <c r="E812" s="1">
        <v>1484.75</v>
      </c>
      <c r="G812" s="3">
        <v>1680000</v>
      </c>
      <c r="H812" s="3">
        <f t="shared" si="36"/>
        <v>2301600000</v>
      </c>
      <c r="J812" s="3">
        <v>7240000</v>
      </c>
      <c r="K812" s="3"/>
      <c r="L812" s="3">
        <f t="shared" si="37"/>
        <v>10749590000</v>
      </c>
      <c r="N812" s="4">
        <f t="shared" si="38"/>
        <v>0.78588950834403914</v>
      </c>
    </row>
    <row r="813" spans="1:14" x14ac:dyDescent="0.45">
      <c r="A813" s="2">
        <v>44749</v>
      </c>
      <c r="B813" s="1">
        <v>1350</v>
      </c>
      <c r="D813" s="2">
        <v>44749</v>
      </c>
      <c r="E813" s="1">
        <v>1499.25</v>
      </c>
      <c r="G813" s="3">
        <v>1680000</v>
      </c>
      <c r="H813" s="3">
        <f t="shared" si="36"/>
        <v>2268000000</v>
      </c>
      <c r="J813" s="3">
        <v>7240000</v>
      </c>
      <c r="K813" s="3"/>
      <c r="L813" s="3">
        <f t="shared" si="37"/>
        <v>10854570000</v>
      </c>
      <c r="N813" s="4">
        <f t="shared" si="38"/>
        <v>0.79105574886890961</v>
      </c>
    </row>
    <row r="814" spans="1:14" x14ac:dyDescent="0.45">
      <c r="A814" s="2">
        <v>44748</v>
      </c>
      <c r="B814" s="1">
        <v>1311</v>
      </c>
      <c r="D814" s="2">
        <v>44748</v>
      </c>
      <c r="E814" s="1">
        <v>1458.05</v>
      </c>
      <c r="G814" s="3">
        <v>1680000</v>
      </c>
      <c r="H814" s="3">
        <f t="shared" si="36"/>
        <v>2202480000</v>
      </c>
      <c r="J814" s="3">
        <v>7240000</v>
      </c>
      <c r="K814" s="3"/>
      <c r="L814" s="3">
        <f t="shared" si="37"/>
        <v>10556282000</v>
      </c>
      <c r="N814" s="4">
        <f t="shared" si="38"/>
        <v>0.79135835893736073</v>
      </c>
    </row>
    <row r="815" spans="1:14" x14ac:dyDescent="0.45">
      <c r="A815" s="2">
        <v>44747</v>
      </c>
      <c r="B815" s="1">
        <v>1380</v>
      </c>
      <c r="D815" s="2">
        <v>44747</v>
      </c>
      <c r="E815" s="1">
        <v>1439</v>
      </c>
      <c r="G815" s="3">
        <v>1680000</v>
      </c>
      <c r="H815" s="3">
        <f t="shared" si="36"/>
        <v>2318400000</v>
      </c>
      <c r="J815" s="3">
        <v>7240000</v>
      </c>
      <c r="K815" s="3"/>
      <c r="L815" s="3">
        <f t="shared" si="37"/>
        <v>10418360000</v>
      </c>
      <c r="N815" s="4">
        <f t="shared" si="38"/>
        <v>0.77746977451345511</v>
      </c>
    </row>
    <row r="816" spans="1:14" x14ac:dyDescent="0.45">
      <c r="A816" s="2">
        <v>44746</v>
      </c>
      <c r="B816" s="1">
        <v>1401.85</v>
      </c>
      <c r="D816" s="2">
        <v>44746</v>
      </c>
      <c r="E816" s="1">
        <v>1477.05</v>
      </c>
      <c r="G816" s="3">
        <v>1680000</v>
      </c>
      <c r="H816" s="3">
        <f t="shared" si="36"/>
        <v>2355108000</v>
      </c>
      <c r="J816" s="3">
        <v>7240000</v>
      </c>
      <c r="K816" s="3"/>
      <c r="L816" s="3">
        <f t="shared" si="37"/>
        <v>10693842000</v>
      </c>
      <c r="N816" s="4">
        <f t="shared" si="38"/>
        <v>0.77976970297485226</v>
      </c>
    </row>
    <row r="817" spans="1:14" x14ac:dyDescent="0.45">
      <c r="A817" s="2">
        <v>44743</v>
      </c>
      <c r="B817" s="1">
        <v>1421</v>
      </c>
      <c r="D817" s="2">
        <v>44743</v>
      </c>
      <c r="E817" s="1">
        <v>1464.4</v>
      </c>
      <c r="G817" s="3">
        <v>1680000</v>
      </c>
      <c r="H817" s="3">
        <f t="shared" si="36"/>
        <v>2387280000</v>
      </c>
      <c r="J817" s="3">
        <v>7240000</v>
      </c>
      <c r="K817" s="3"/>
      <c r="L817" s="3">
        <f t="shared" si="37"/>
        <v>10602256000</v>
      </c>
      <c r="N817" s="4">
        <f t="shared" si="38"/>
        <v>0.77483282803207165</v>
      </c>
    </row>
    <row r="818" spans="1:14" x14ac:dyDescent="0.45">
      <c r="A818" s="2">
        <v>44742</v>
      </c>
      <c r="B818" s="1">
        <v>1449.35</v>
      </c>
      <c r="D818" s="2">
        <v>44742</v>
      </c>
      <c r="E818" s="1">
        <v>1483.55</v>
      </c>
      <c r="G818" s="3">
        <v>1680000</v>
      </c>
      <c r="H818" s="3">
        <f t="shared" si="36"/>
        <v>2434908000</v>
      </c>
      <c r="J818" s="3">
        <v>7240000</v>
      </c>
      <c r="K818" s="3"/>
      <c r="L818" s="3">
        <f t="shared" si="37"/>
        <v>10740902000</v>
      </c>
      <c r="N818" s="4">
        <f t="shared" si="38"/>
        <v>0.77330507251625602</v>
      </c>
    </row>
    <row r="819" spans="1:14" x14ac:dyDescent="0.45">
      <c r="A819" s="2">
        <v>44741</v>
      </c>
      <c r="B819" s="1">
        <v>1463</v>
      </c>
      <c r="D819" s="2">
        <v>44741</v>
      </c>
      <c r="E819" s="1">
        <v>1469.35</v>
      </c>
      <c r="G819" s="3">
        <v>1680000</v>
      </c>
      <c r="H819" s="3">
        <f t="shared" si="36"/>
        <v>2457840000</v>
      </c>
      <c r="J819" s="3">
        <v>7240000</v>
      </c>
      <c r="K819" s="3"/>
      <c r="L819" s="3">
        <f t="shared" si="37"/>
        <v>10638094000</v>
      </c>
      <c r="N819" s="4">
        <f t="shared" si="38"/>
        <v>0.76895861232284657</v>
      </c>
    </row>
    <row r="820" spans="1:14" x14ac:dyDescent="0.45">
      <c r="A820" s="2">
        <v>44740</v>
      </c>
      <c r="B820" s="1">
        <v>1454</v>
      </c>
      <c r="D820" s="2">
        <v>44740</v>
      </c>
      <c r="E820" s="1">
        <v>1470.5</v>
      </c>
      <c r="G820" s="3">
        <v>1680000</v>
      </c>
      <c r="H820" s="3">
        <f t="shared" si="36"/>
        <v>2442720000</v>
      </c>
      <c r="J820" s="3">
        <v>7240000</v>
      </c>
      <c r="K820" s="3"/>
      <c r="L820" s="3">
        <f t="shared" si="37"/>
        <v>10646420000</v>
      </c>
      <c r="N820" s="4">
        <f t="shared" si="38"/>
        <v>0.77055949323810258</v>
      </c>
    </row>
    <row r="821" spans="1:14" x14ac:dyDescent="0.45">
      <c r="A821" s="2">
        <v>44739</v>
      </c>
      <c r="B821" s="1">
        <v>1465.9</v>
      </c>
      <c r="D821" s="2">
        <v>44739</v>
      </c>
      <c r="E821" s="1">
        <v>1403.35</v>
      </c>
      <c r="G821" s="3">
        <v>1680000</v>
      </c>
      <c r="H821" s="3">
        <f t="shared" si="36"/>
        <v>2462712000</v>
      </c>
      <c r="J821" s="3">
        <v>7240000</v>
      </c>
      <c r="K821" s="3"/>
      <c r="L821" s="3">
        <f t="shared" si="37"/>
        <v>10160254000</v>
      </c>
      <c r="N821" s="4">
        <f t="shared" si="38"/>
        <v>0.75761314628551613</v>
      </c>
    </row>
    <row r="822" spans="1:14" x14ac:dyDescent="0.45">
      <c r="A822" s="2">
        <v>44736</v>
      </c>
      <c r="B822" s="1">
        <v>1490</v>
      </c>
      <c r="D822" s="2">
        <v>44736</v>
      </c>
      <c r="E822" s="1">
        <v>1406.25</v>
      </c>
      <c r="G822" s="3">
        <v>1680000</v>
      </c>
      <c r="H822" s="3">
        <f t="shared" si="36"/>
        <v>2503200000</v>
      </c>
      <c r="J822" s="3">
        <v>7240000</v>
      </c>
      <c r="K822" s="3"/>
      <c r="L822" s="3">
        <f t="shared" si="37"/>
        <v>10181250000</v>
      </c>
      <c r="N822" s="4">
        <f t="shared" si="38"/>
        <v>0.75413627992633514</v>
      </c>
    </row>
    <row r="823" spans="1:14" x14ac:dyDescent="0.45">
      <c r="A823" s="2">
        <v>44735</v>
      </c>
      <c r="B823" s="1">
        <v>1470</v>
      </c>
      <c r="D823" s="2">
        <v>44735</v>
      </c>
      <c r="E823" s="1">
        <v>1386.2</v>
      </c>
      <c r="G823" s="3">
        <v>1680000</v>
      </c>
      <c r="H823" s="3">
        <f t="shared" si="36"/>
        <v>2469600000</v>
      </c>
      <c r="J823" s="3">
        <v>7240000</v>
      </c>
      <c r="K823" s="3"/>
      <c r="L823" s="3">
        <f t="shared" si="37"/>
        <v>10036088000</v>
      </c>
      <c r="N823" s="4">
        <f t="shared" si="38"/>
        <v>0.75392802454502195</v>
      </c>
    </row>
    <row r="824" spans="1:14" x14ac:dyDescent="0.45">
      <c r="A824" s="2">
        <v>44734</v>
      </c>
      <c r="B824" s="1">
        <v>1490</v>
      </c>
      <c r="D824" s="2">
        <v>44734</v>
      </c>
      <c r="E824" s="1">
        <v>1352.9</v>
      </c>
      <c r="G824" s="3">
        <v>1680000</v>
      </c>
      <c r="H824" s="3">
        <f t="shared" si="36"/>
        <v>2503200000</v>
      </c>
      <c r="J824" s="3">
        <v>7240000</v>
      </c>
      <c r="K824" s="3"/>
      <c r="L824" s="3">
        <f t="shared" si="37"/>
        <v>9794996000</v>
      </c>
      <c r="N824" s="4">
        <f t="shared" si="38"/>
        <v>0.74444093698455815</v>
      </c>
    </row>
    <row r="825" spans="1:14" x14ac:dyDescent="0.45">
      <c r="A825" s="2">
        <v>44733</v>
      </c>
      <c r="B825" s="1">
        <v>1476</v>
      </c>
      <c r="D825" s="2">
        <v>44733</v>
      </c>
      <c r="E825" s="1">
        <v>1308.8</v>
      </c>
      <c r="G825" s="3">
        <v>1680000</v>
      </c>
      <c r="H825" s="3">
        <f t="shared" si="36"/>
        <v>2479680000</v>
      </c>
      <c r="J825" s="3">
        <v>7240000</v>
      </c>
      <c r="K825" s="3"/>
      <c r="L825" s="3">
        <f t="shared" si="37"/>
        <v>9475712000</v>
      </c>
      <c r="N825" s="4">
        <f t="shared" si="38"/>
        <v>0.73831201285982528</v>
      </c>
    </row>
    <row r="826" spans="1:14" x14ac:dyDescent="0.45">
      <c r="A826" s="2">
        <v>44732</v>
      </c>
      <c r="B826" s="1">
        <v>1475</v>
      </c>
      <c r="D826" s="2">
        <v>44732</v>
      </c>
      <c r="E826" s="1">
        <v>1311.3</v>
      </c>
      <c r="G826" s="3">
        <v>1680000</v>
      </c>
      <c r="H826" s="3">
        <f t="shared" si="36"/>
        <v>2478000000</v>
      </c>
      <c r="J826" s="3">
        <v>7240000</v>
      </c>
      <c r="K826" s="3"/>
      <c r="L826" s="3">
        <f t="shared" si="37"/>
        <v>9493812000</v>
      </c>
      <c r="N826" s="4">
        <f t="shared" si="38"/>
        <v>0.73898787968415636</v>
      </c>
    </row>
    <row r="827" spans="1:14" x14ac:dyDescent="0.45">
      <c r="A827" s="2">
        <v>44729</v>
      </c>
      <c r="B827" s="1">
        <v>1460.65</v>
      </c>
      <c r="D827" s="2">
        <v>44729</v>
      </c>
      <c r="E827" s="1">
        <v>1353.15</v>
      </c>
      <c r="G827" s="3">
        <v>1680000</v>
      </c>
      <c r="H827" s="3">
        <f t="shared" si="36"/>
        <v>2453892000</v>
      </c>
      <c r="J827" s="3">
        <v>7240000</v>
      </c>
      <c r="K827" s="3"/>
      <c r="L827" s="3">
        <f t="shared" si="37"/>
        <v>9796806000</v>
      </c>
      <c r="N827" s="4">
        <f t="shared" si="38"/>
        <v>0.74952122150831602</v>
      </c>
    </row>
    <row r="828" spans="1:14" x14ac:dyDescent="0.45">
      <c r="A828" s="2">
        <v>44728</v>
      </c>
      <c r="B828" s="1">
        <v>1457.65</v>
      </c>
      <c r="D828" s="2">
        <v>44728</v>
      </c>
      <c r="E828" s="1">
        <v>1328.05</v>
      </c>
      <c r="G828" s="3">
        <v>1680000</v>
      </c>
      <c r="H828" s="3">
        <f t="shared" si="36"/>
        <v>2448852000</v>
      </c>
      <c r="J828" s="3">
        <v>7240000</v>
      </c>
      <c r="K828" s="3"/>
      <c r="L828" s="3">
        <f t="shared" si="37"/>
        <v>9615082000</v>
      </c>
      <c r="N828" s="4">
        <f t="shared" si="38"/>
        <v>0.74531137643963929</v>
      </c>
    </row>
    <row r="829" spans="1:14" x14ac:dyDescent="0.45">
      <c r="A829" s="2">
        <v>44727</v>
      </c>
      <c r="B829" s="1">
        <v>1456.05</v>
      </c>
      <c r="D829" s="2">
        <v>44727</v>
      </c>
      <c r="E829" s="1">
        <v>1359.55</v>
      </c>
      <c r="G829" s="3">
        <v>1680000</v>
      </c>
      <c r="H829" s="3">
        <f t="shared" si="36"/>
        <v>2446164000</v>
      </c>
      <c r="J829" s="3">
        <v>7240000</v>
      </c>
      <c r="K829" s="3"/>
      <c r="L829" s="3">
        <f t="shared" si="37"/>
        <v>9843142000</v>
      </c>
      <c r="N829" s="4">
        <f t="shared" si="38"/>
        <v>0.75148545047912552</v>
      </c>
    </row>
    <row r="830" spans="1:14" x14ac:dyDescent="0.45">
      <c r="A830" s="2">
        <v>44726</v>
      </c>
      <c r="B830" s="1">
        <v>1488</v>
      </c>
      <c r="D830" s="2">
        <v>44726</v>
      </c>
      <c r="E830" s="1">
        <v>1353.3</v>
      </c>
      <c r="G830" s="3">
        <v>1680000</v>
      </c>
      <c r="H830" s="3">
        <f t="shared" si="36"/>
        <v>2499840000</v>
      </c>
      <c r="J830" s="3">
        <v>7240000</v>
      </c>
      <c r="K830" s="3"/>
      <c r="L830" s="3">
        <f t="shared" si="37"/>
        <v>9797892000</v>
      </c>
      <c r="N830" s="4">
        <f t="shared" si="38"/>
        <v>0.74485940445148813</v>
      </c>
    </row>
    <row r="831" spans="1:14" x14ac:dyDescent="0.45">
      <c r="A831" s="2">
        <v>44725</v>
      </c>
      <c r="B831" s="1">
        <v>1415</v>
      </c>
      <c r="D831" s="2">
        <v>44725</v>
      </c>
      <c r="E831" s="1">
        <v>1365.85</v>
      </c>
      <c r="G831" s="3">
        <v>1680000</v>
      </c>
      <c r="H831" s="3">
        <f t="shared" si="36"/>
        <v>2377200000</v>
      </c>
      <c r="J831" s="3">
        <v>7240000</v>
      </c>
      <c r="K831" s="3"/>
      <c r="L831" s="3">
        <f t="shared" si="37"/>
        <v>9888754000</v>
      </c>
      <c r="N831" s="4">
        <f t="shared" si="38"/>
        <v>0.75960570967788255</v>
      </c>
    </row>
    <row r="832" spans="1:14" x14ac:dyDescent="0.45">
      <c r="A832" s="2">
        <v>44722</v>
      </c>
      <c r="B832" s="1">
        <v>1488</v>
      </c>
      <c r="D832" s="2">
        <v>44722</v>
      </c>
      <c r="E832" s="1">
        <v>1371.65</v>
      </c>
      <c r="G832" s="3">
        <v>1680000</v>
      </c>
      <c r="H832" s="3">
        <f t="shared" si="36"/>
        <v>2499840000</v>
      </c>
      <c r="J832" s="3">
        <v>7240000</v>
      </c>
      <c r="K832" s="3"/>
      <c r="L832" s="3">
        <f t="shared" si="37"/>
        <v>9930746000</v>
      </c>
      <c r="N832" s="4">
        <f t="shared" si="38"/>
        <v>0.74827268767119803</v>
      </c>
    </row>
    <row r="833" spans="1:14" x14ac:dyDescent="0.45">
      <c r="A833" s="2">
        <v>44721</v>
      </c>
      <c r="B833" s="1">
        <v>1460</v>
      </c>
      <c r="D833" s="2">
        <v>44721</v>
      </c>
      <c r="E833" s="1">
        <v>1368.15</v>
      </c>
      <c r="G833" s="3">
        <v>1680000</v>
      </c>
      <c r="H833" s="3">
        <f t="shared" si="36"/>
        <v>2452800000</v>
      </c>
      <c r="J833" s="3">
        <v>7240000</v>
      </c>
      <c r="K833" s="3"/>
      <c r="L833" s="3">
        <f t="shared" si="37"/>
        <v>9905406000</v>
      </c>
      <c r="N833" s="4">
        <f t="shared" si="38"/>
        <v>0.75237764105782234</v>
      </c>
    </row>
    <row r="834" spans="1:14" x14ac:dyDescent="0.45">
      <c r="A834" s="2">
        <v>44720</v>
      </c>
      <c r="B834" s="1">
        <v>1480.65</v>
      </c>
      <c r="D834" s="2">
        <v>44720</v>
      </c>
      <c r="E834" s="1">
        <v>1365.55</v>
      </c>
      <c r="G834" s="3">
        <v>1680000</v>
      </c>
      <c r="H834" s="3">
        <f t="shared" si="36"/>
        <v>2487492000</v>
      </c>
      <c r="J834" s="3">
        <v>7240000</v>
      </c>
      <c r="K834" s="3"/>
      <c r="L834" s="3">
        <f t="shared" si="37"/>
        <v>9886582000</v>
      </c>
      <c r="N834" s="4">
        <f t="shared" si="38"/>
        <v>0.74839717103443837</v>
      </c>
    </row>
    <row r="835" spans="1:14" x14ac:dyDescent="0.45">
      <c r="A835" s="2">
        <v>44719</v>
      </c>
      <c r="B835" s="1">
        <v>1479.4</v>
      </c>
      <c r="D835" s="2">
        <v>44719</v>
      </c>
      <c r="E835" s="1">
        <v>1391.25</v>
      </c>
      <c r="G835" s="3">
        <v>1680000</v>
      </c>
      <c r="H835" s="3">
        <f t="shared" ref="H835:H898" si="39">+G835*B835</f>
        <v>2485392000</v>
      </c>
      <c r="J835" s="3">
        <v>7240000</v>
      </c>
      <c r="K835" s="3"/>
      <c r="L835" s="3">
        <f t="shared" ref="L835:L898" si="40">+(J835*E835)</f>
        <v>10072650000</v>
      </c>
      <c r="N835" s="4">
        <f t="shared" ref="N835:N898" si="41">1- (H835/L835)</f>
        <v>0.7532534139476702</v>
      </c>
    </row>
    <row r="836" spans="1:14" x14ac:dyDescent="0.45">
      <c r="A836" s="2">
        <v>44718</v>
      </c>
      <c r="B836" s="1">
        <v>1445</v>
      </c>
      <c r="D836" s="2">
        <v>44718</v>
      </c>
      <c r="E836" s="1">
        <v>1411.05</v>
      </c>
      <c r="G836" s="3">
        <v>1680000</v>
      </c>
      <c r="H836" s="3">
        <f t="shared" si="39"/>
        <v>2427600000</v>
      </c>
      <c r="J836" s="3">
        <v>7240000</v>
      </c>
      <c r="K836" s="3"/>
      <c r="L836" s="3">
        <f t="shared" si="40"/>
        <v>10216002000</v>
      </c>
      <c r="N836" s="4">
        <f t="shared" si="41"/>
        <v>0.76237279515019674</v>
      </c>
    </row>
    <row r="837" spans="1:14" x14ac:dyDescent="0.45">
      <c r="A837" s="2">
        <v>44715</v>
      </c>
      <c r="B837" s="1">
        <v>1422.1</v>
      </c>
      <c r="D837" s="2">
        <v>44715</v>
      </c>
      <c r="E837" s="1">
        <v>1412.95</v>
      </c>
      <c r="G837" s="3">
        <v>1680000</v>
      </c>
      <c r="H837" s="3">
        <f t="shared" si="39"/>
        <v>2389128000</v>
      </c>
      <c r="J837" s="3">
        <v>7240000</v>
      </c>
      <c r="K837" s="3"/>
      <c r="L837" s="3">
        <f t="shared" si="40"/>
        <v>10229758000</v>
      </c>
      <c r="N837" s="4">
        <f t="shared" si="41"/>
        <v>0.76645312626163786</v>
      </c>
    </row>
    <row r="838" spans="1:14" x14ac:dyDescent="0.45">
      <c r="A838" s="2">
        <v>44714</v>
      </c>
      <c r="B838" s="1">
        <v>1375</v>
      </c>
      <c r="D838" s="2">
        <v>44714</v>
      </c>
      <c r="E838" s="1">
        <v>1422.4</v>
      </c>
      <c r="G838" s="3">
        <v>1680000</v>
      </c>
      <c r="H838" s="3">
        <f t="shared" si="39"/>
        <v>2310000000</v>
      </c>
      <c r="J838" s="3">
        <v>7240000</v>
      </c>
      <c r="K838" s="3"/>
      <c r="L838" s="3">
        <f t="shared" si="40"/>
        <v>10298176000</v>
      </c>
      <c r="N838" s="4">
        <f t="shared" si="41"/>
        <v>0.77568843259233478</v>
      </c>
    </row>
    <row r="839" spans="1:14" x14ac:dyDescent="0.45">
      <c r="A839" s="2">
        <v>44713</v>
      </c>
      <c r="B839" s="1">
        <v>1360</v>
      </c>
      <c r="D839" s="2">
        <v>44713</v>
      </c>
      <c r="E839" s="1">
        <v>1411.65</v>
      </c>
      <c r="G839" s="3">
        <v>1680000</v>
      </c>
      <c r="H839" s="3">
        <f t="shared" si="39"/>
        <v>2284800000</v>
      </c>
      <c r="J839" s="3">
        <v>7240000</v>
      </c>
      <c r="K839" s="3"/>
      <c r="L839" s="3">
        <f t="shared" si="40"/>
        <v>10220346000</v>
      </c>
      <c r="N839" s="4">
        <f t="shared" si="41"/>
        <v>0.77644592462916617</v>
      </c>
    </row>
    <row r="840" spans="1:14" x14ac:dyDescent="0.45">
      <c r="A840" s="2">
        <v>44712</v>
      </c>
      <c r="B840" s="1">
        <v>1380</v>
      </c>
      <c r="D840" s="2">
        <v>44712</v>
      </c>
      <c r="E840" s="1">
        <v>1348</v>
      </c>
      <c r="G840" s="3">
        <v>1680000</v>
      </c>
      <c r="H840" s="3">
        <f t="shared" si="39"/>
        <v>2318400000</v>
      </c>
      <c r="J840" s="3">
        <v>7240000</v>
      </c>
      <c r="K840" s="3"/>
      <c r="L840" s="3">
        <f t="shared" si="40"/>
        <v>9759520000</v>
      </c>
      <c r="N840" s="4">
        <f t="shared" si="41"/>
        <v>0.76244733347541682</v>
      </c>
    </row>
    <row r="841" spans="1:14" x14ac:dyDescent="0.45">
      <c r="A841" s="2">
        <v>44711</v>
      </c>
      <c r="B841" s="1">
        <v>1375</v>
      </c>
      <c r="D841" s="2">
        <v>44711</v>
      </c>
      <c r="E841" s="1">
        <v>1416.8</v>
      </c>
      <c r="G841" s="3">
        <v>1680000</v>
      </c>
      <c r="H841" s="3">
        <f t="shared" si="39"/>
        <v>2310000000</v>
      </c>
      <c r="J841" s="3">
        <v>7240000</v>
      </c>
      <c r="K841" s="3"/>
      <c r="L841" s="3">
        <f t="shared" si="40"/>
        <v>10257632000</v>
      </c>
      <c r="N841" s="4">
        <f t="shared" si="41"/>
        <v>0.77480182560653377</v>
      </c>
    </row>
    <row r="842" spans="1:14" x14ac:dyDescent="0.45">
      <c r="A842" s="2">
        <v>44708</v>
      </c>
      <c r="B842" s="1">
        <v>1440</v>
      </c>
      <c r="D842" s="2">
        <v>44708</v>
      </c>
      <c r="E842" s="1">
        <v>1453.25</v>
      </c>
      <c r="G842" s="3">
        <v>1680000</v>
      </c>
      <c r="H842" s="3">
        <f t="shared" si="39"/>
        <v>2419200000</v>
      </c>
      <c r="J842" s="3">
        <v>7240000</v>
      </c>
      <c r="K842" s="3"/>
      <c r="L842" s="3">
        <f t="shared" si="40"/>
        <v>10521530000</v>
      </c>
      <c r="N842" s="4">
        <f t="shared" si="41"/>
        <v>0.77007146299064866</v>
      </c>
    </row>
    <row r="843" spans="1:14" x14ac:dyDescent="0.45">
      <c r="A843" s="2">
        <v>44707</v>
      </c>
      <c r="B843" s="1">
        <v>1391.1</v>
      </c>
      <c r="D843" s="2">
        <v>44707</v>
      </c>
      <c r="E843" s="1">
        <v>1450.3</v>
      </c>
      <c r="G843" s="3">
        <v>1680000</v>
      </c>
      <c r="H843" s="3">
        <f t="shared" si="39"/>
        <v>2337048000</v>
      </c>
      <c r="J843" s="3">
        <v>7240000</v>
      </c>
      <c r="K843" s="3"/>
      <c r="L843" s="3">
        <f t="shared" si="40"/>
        <v>10500172000</v>
      </c>
      <c r="N843" s="4">
        <f t="shared" si="41"/>
        <v>0.77742764594713309</v>
      </c>
    </row>
    <row r="844" spans="1:14" x14ac:dyDescent="0.45">
      <c r="A844" s="2">
        <v>44706</v>
      </c>
      <c r="B844" s="1">
        <v>1423</v>
      </c>
      <c r="D844" s="2">
        <v>44706</v>
      </c>
      <c r="E844" s="1">
        <v>1438.25</v>
      </c>
      <c r="G844" s="3">
        <v>1680000</v>
      </c>
      <c r="H844" s="3">
        <f t="shared" si="39"/>
        <v>2390640000</v>
      </c>
      <c r="J844" s="3">
        <v>7240000</v>
      </c>
      <c r="K844" s="3"/>
      <c r="L844" s="3">
        <f t="shared" si="40"/>
        <v>10412930000</v>
      </c>
      <c r="N844" s="4">
        <f t="shared" si="41"/>
        <v>0.7704162037005915</v>
      </c>
    </row>
    <row r="845" spans="1:14" x14ac:dyDescent="0.45">
      <c r="A845" s="2">
        <v>44705</v>
      </c>
      <c r="B845" s="1">
        <v>1403.05</v>
      </c>
      <c r="D845" s="2">
        <v>44705</v>
      </c>
      <c r="E845" s="1">
        <v>1473.55</v>
      </c>
      <c r="G845" s="3">
        <v>1680000</v>
      </c>
      <c r="H845" s="3">
        <f t="shared" si="39"/>
        <v>2357124000</v>
      </c>
      <c r="J845" s="3">
        <v>7240000</v>
      </c>
      <c r="K845" s="3"/>
      <c r="L845" s="3">
        <f t="shared" si="40"/>
        <v>10668502000</v>
      </c>
      <c r="N845" s="4">
        <f t="shared" si="41"/>
        <v>0.77905764089466356</v>
      </c>
    </row>
    <row r="846" spans="1:14" x14ac:dyDescent="0.45">
      <c r="A846" s="2">
        <v>44704</v>
      </c>
      <c r="B846" s="1">
        <v>1402</v>
      </c>
      <c r="D846" s="2">
        <v>44704</v>
      </c>
      <c r="E846" s="1">
        <v>1467.75</v>
      </c>
      <c r="G846" s="3">
        <v>1680000</v>
      </c>
      <c r="H846" s="3">
        <f t="shared" si="39"/>
        <v>2355360000</v>
      </c>
      <c r="J846" s="3">
        <v>7240000</v>
      </c>
      <c r="K846" s="3"/>
      <c r="L846" s="3">
        <f t="shared" si="40"/>
        <v>10626510000</v>
      </c>
      <c r="N846" s="4">
        <f t="shared" si="41"/>
        <v>0.77835055912053908</v>
      </c>
    </row>
    <row r="847" spans="1:14" x14ac:dyDescent="0.45">
      <c r="A847" s="2">
        <v>44701</v>
      </c>
      <c r="B847" s="1">
        <v>1403.3</v>
      </c>
      <c r="D847" s="2">
        <v>44701</v>
      </c>
      <c r="E847" s="1">
        <v>1442.9</v>
      </c>
      <c r="G847" s="3">
        <v>1680000</v>
      </c>
      <c r="H847" s="3">
        <f t="shared" si="39"/>
        <v>2357544000</v>
      </c>
      <c r="J847" s="3">
        <v>7240000</v>
      </c>
      <c r="K847" s="3"/>
      <c r="L847" s="3">
        <f t="shared" si="40"/>
        <v>10446596000</v>
      </c>
      <c r="N847" s="4">
        <f t="shared" si="41"/>
        <v>0.77432419134424268</v>
      </c>
    </row>
    <row r="848" spans="1:14" x14ac:dyDescent="0.45">
      <c r="A848" s="2">
        <v>44700</v>
      </c>
      <c r="B848" s="1">
        <v>1420</v>
      </c>
      <c r="D848" s="2">
        <v>44700</v>
      </c>
      <c r="E848" s="1">
        <v>1337.6</v>
      </c>
      <c r="G848" s="3">
        <v>1680000</v>
      </c>
      <c r="H848" s="3">
        <f t="shared" si="39"/>
        <v>2385600000</v>
      </c>
      <c r="J848" s="3">
        <v>7240000</v>
      </c>
      <c r="K848" s="3"/>
      <c r="L848" s="3">
        <f t="shared" si="40"/>
        <v>9684224000</v>
      </c>
      <c r="N848" s="4">
        <f t="shared" si="41"/>
        <v>0.75366121229744376</v>
      </c>
    </row>
    <row r="849" spans="1:14" x14ac:dyDescent="0.45">
      <c r="A849" s="2">
        <v>44699</v>
      </c>
      <c r="B849" s="1">
        <v>1444.55</v>
      </c>
      <c r="D849" s="2">
        <v>44699</v>
      </c>
      <c r="E849" s="1">
        <v>1352.5</v>
      </c>
      <c r="G849" s="3">
        <v>1680000</v>
      </c>
      <c r="H849" s="3">
        <f t="shared" si="39"/>
        <v>2426844000</v>
      </c>
      <c r="J849" s="3">
        <v>7240000</v>
      </c>
      <c r="K849" s="3"/>
      <c r="L849" s="3">
        <f t="shared" si="40"/>
        <v>9792100000</v>
      </c>
      <c r="N849" s="4">
        <f t="shared" si="41"/>
        <v>0.75216307023008344</v>
      </c>
    </row>
    <row r="850" spans="1:14" x14ac:dyDescent="0.45">
      <c r="A850" s="2">
        <v>44698</v>
      </c>
      <c r="B850" s="1">
        <v>1435.05</v>
      </c>
      <c r="D850" s="2">
        <v>44698</v>
      </c>
      <c r="E850" s="1">
        <v>1320.65</v>
      </c>
      <c r="G850" s="3">
        <v>1680000</v>
      </c>
      <c r="H850" s="3">
        <f t="shared" si="39"/>
        <v>2410884000</v>
      </c>
      <c r="J850" s="3">
        <v>7240000</v>
      </c>
      <c r="K850" s="3"/>
      <c r="L850" s="3">
        <f t="shared" si="40"/>
        <v>9561506000</v>
      </c>
      <c r="N850" s="4">
        <f t="shared" si="41"/>
        <v>0.74785520188974419</v>
      </c>
    </row>
    <row r="851" spans="1:14" x14ac:dyDescent="0.45">
      <c r="A851" s="2">
        <v>44697</v>
      </c>
      <c r="B851" s="1">
        <v>1410.05</v>
      </c>
      <c r="D851" s="2">
        <v>44697</v>
      </c>
      <c r="E851" s="1">
        <v>1315.7</v>
      </c>
      <c r="G851" s="3">
        <v>1680000</v>
      </c>
      <c r="H851" s="3">
        <f t="shared" si="39"/>
        <v>2368884000</v>
      </c>
      <c r="J851" s="3">
        <v>7240000</v>
      </c>
      <c r="K851" s="3"/>
      <c r="L851" s="3">
        <f t="shared" si="40"/>
        <v>9525668000</v>
      </c>
      <c r="N851" s="4">
        <f t="shared" si="41"/>
        <v>0.75131570825269156</v>
      </c>
    </row>
    <row r="852" spans="1:14" x14ac:dyDescent="0.45">
      <c r="A852" s="2">
        <v>44694</v>
      </c>
      <c r="B852" s="1">
        <v>1430</v>
      </c>
      <c r="D852" s="2">
        <v>44694</v>
      </c>
      <c r="E852" s="1">
        <v>1264.45</v>
      </c>
      <c r="G852" s="3">
        <v>1680000</v>
      </c>
      <c r="H852" s="3">
        <f t="shared" si="39"/>
        <v>2402400000</v>
      </c>
      <c r="J852" s="3">
        <v>7240000</v>
      </c>
      <c r="K852" s="3"/>
      <c r="L852" s="3">
        <f t="shared" si="40"/>
        <v>9154618000</v>
      </c>
      <c r="N852" s="4">
        <f t="shared" si="41"/>
        <v>0.73757506867026024</v>
      </c>
    </row>
    <row r="853" spans="1:14" x14ac:dyDescent="0.45">
      <c r="A853" s="2">
        <v>44693</v>
      </c>
      <c r="B853" s="1">
        <v>1425</v>
      </c>
      <c r="D853" s="2">
        <v>44693</v>
      </c>
      <c r="E853" s="1">
        <v>1210.8</v>
      </c>
      <c r="G853" s="3">
        <v>1680000</v>
      </c>
      <c r="H853" s="3">
        <f t="shared" si="39"/>
        <v>2394000000</v>
      </c>
      <c r="J853" s="3">
        <v>7240000</v>
      </c>
      <c r="K853" s="3"/>
      <c r="L853" s="3">
        <f t="shared" si="40"/>
        <v>8766192000</v>
      </c>
      <c r="N853" s="4">
        <f t="shared" si="41"/>
        <v>0.72690536552245266</v>
      </c>
    </row>
    <row r="854" spans="1:14" x14ac:dyDescent="0.45">
      <c r="A854" s="2">
        <v>44692</v>
      </c>
      <c r="B854" s="1">
        <v>1454.7</v>
      </c>
      <c r="D854" s="2">
        <v>44692</v>
      </c>
      <c r="E854" s="1">
        <v>1247.55</v>
      </c>
      <c r="G854" s="3">
        <v>1680000</v>
      </c>
      <c r="H854" s="3">
        <f t="shared" si="39"/>
        <v>2443896000</v>
      </c>
      <c r="J854" s="3">
        <v>7240000</v>
      </c>
      <c r="K854" s="3"/>
      <c r="L854" s="3">
        <f t="shared" si="40"/>
        <v>9032262000</v>
      </c>
      <c r="N854" s="4">
        <f t="shared" si="41"/>
        <v>0.72942591789299294</v>
      </c>
    </row>
    <row r="855" spans="1:14" x14ac:dyDescent="0.45">
      <c r="A855" s="2">
        <v>44691</v>
      </c>
      <c r="B855" s="1">
        <v>1450</v>
      </c>
      <c r="D855" s="2">
        <v>44691</v>
      </c>
      <c r="E855" s="1">
        <v>1260</v>
      </c>
      <c r="G855" s="3">
        <v>1680000</v>
      </c>
      <c r="H855" s="3">
        <f t="shared" si="39"/>
        <v>2436000000</v>
      </c>
      <c r="J855" s="3">
        <v>7240000</v>
      </c>
      <c r="K855" s="3"/>
      <c r="L855" s="3">
        <f t="shared" si="40"/>
        <v>9122400000</v>
      </c>
      <c r="N855" s="4">
        <f t="shared" si="41"/>
        <v>0.73296500920810315</v>
      </c>
    </row>
    <row r="856" spans="1:14" x14ac:dyDescent="0.45">
      <c r="A856" s="2">
        <v>44690</v>
      </c>
      <c r="B856" s="1">
        <v>1484.15</v>
      </c>
      <c r="D856" s="2">
        <v>44690</v>
      </c>
      <c r="E856" s="1">
        <v>1301.1500000000001</v>
      </c>
      <c r="G856" s="3">
        <v>1680000</v>
      </c>
      <c r="H856" s="3">
        <f t="shared" si="39"/>
        <v>2493372000</v>
      </c>
      <c r="J856" s="3">
        <v>7240000</v>
      </c>
      <c r="K856" s="3"/>
      <c r="L856" s="3">
        <f t="shared" si="40"/>
        <v>9420326000</v>
      </c>
      <c r="N856" s="4">
        <f t="shared" si="41"/>
        <v>0.73531998786453889</v>
      </c>
    </row>
    <row r="857" spans="1:14" x14ac:dyDescent="0.45">
      <c r="A857" s="2">
        <v>44687</v>
      </c>
      <c r="B857" s="1">
        <v>1443.4</v>
      </c>
      <c r="D857" s="2">
        <v>44687</v>
      </c>
      <c r="E857" s="1">
        <v>1307.55</v>
      </c>
      <c r="G857" s="3">
        <v>1680000</v>
      </c>
      <c r="H857" s="3">
        <f t="shared" si="39"/>
        <v>2424912000</v>
      </c>
      <c r="J857" s="3">
        <v>7240000</v>
      </c>
      <c r="K857" s="3"/>
      <c r="L857" s="3">
        <f t="shared" si="40"/>
        <v>9466662000</v>
      </c>
      <c r="N857" s="4">
        <f t="shared" si="41"/>
        <v>0.74384719767115381</v>
      </c>
    </row>
    <row r="858" spans="1:14" x14ac:dyDescent="0.45">
      <c r="A858" s="2">
        <v>44686</v>
      </c>
      <c r="B858" s="1">
        <v>1452</v>
      </c>
      <c r="D858" s="2">
        <v>44686</v>
      </c>
      <c r="E858" s="1">
        <v>1309.25</v>
      </c>
      <c r="G858" s="3">
        <v>1680000</v>
      </c>
      <c r="H858" s="3">
        <f t="shared" si="39"/>
        <v>2439360000</v>
      </c>
      <c r="J858" s="3">
        <v>7240000</v>
      </c>
      <c r="K858" s="3"/>
      <c r="L858" s="3">
        <f t="shared" si="40"/>
        <v>9478970000</v>
      </c>
      <c r="N858" s="4">
        <f t="shared" si="41"/>
        <v>0.74265558388727881</v>
      </c>
    </row>
    <row r="859" spans="1:14" x14ac:dyDescent="0.45">
      <c r="A859" s="2">
        <v>44685</v>
      </c>
      <c r="B859" s="1">
        <v>1482.4</v>
      </c>
      <c r="D859" s="2">
        <v>44685</v>
      </c>
      <c r="E859" s="1">
        <v>1333.65</v>
      </c>
      <c r="G859" s="3">
        <v>1680000</v>
      </c>
      <c r="H859" s="3">
        <f t="shared" si="39"/>
        <v>2490432000</v>
      </c>
      <c r="J859" s="3">
        <v>7240000</v>
      </c>
      <c r="K859" s="3"/>
      <c r="L859" s="3">
        <f t="shared" si="40"/>
        <v>9655626000</v>
      </c>
      <c r="N859" s="4">
        <f t="shared" si="41"/>
        <v>0.74207451697072768</v>
      </c>
    </row>
    <row r="860" spans="1:14" x14ac:dyDescent="0.45">
      <c r="A860" s="2">
        <v>44683</v>
      </c>
      <c r="B860" s="1">
        <v>1453.2</v>
      </c>
      <c r="D860" s="2">
        <v>44683</v>
      </c>
      <c r="E860" s="1">
        <v>1317.4</v>
      </c>
      <c r="G860" s="3">
        <v>1680000</v>
      </c>
      <c r="H860" s="3">
        <f t="shared" si="39"/>
        <v>2441376000</v>
      </c>
      <c r="J860" s="3">
        <v>7240000</v>
      </c>
      <c r="K860" s="3"/>
      <c r="L860" s="3">
        <f t="shared" si="40"/>
        <v>9537976000</v>
      </c>
      <c r="N860" s="4">
        <f t="shared" si="41"/>
        <v>0.74403626094257314</v>
      </c>
    </row>
    <row r="861" spans="1:14" x14ac:dyDescent="0.45">
      <c r="A861" s="2">
        <v>44680</v>
      </c>
      <c r="B861" s="1">
        <v>1490</v>
      </c>
      <c r="D861" s="2">
        <v>44680</v>
      </c>
      <c r="E861" s="1">
        <v>1323.95</v>
      </c>
      <c r="G861" s="3">
        <v>1680000</v>
      </c>
      <c r="H861" s="3">
        <f t="shared" si="39"/>
        <v>2503200000</v>
      </c>
      <c r="J861" s="3">
        <v>7240000</v>
      </c>
      <c r="K861" s="3"/>
      <c r="L861" s="3">
        <f t="shared" si="40"/>
        <v>9585398000</v>
      </c>
      <c r="N861" s="4">
        <f t="shared" si="41"/>
        <v>0.73885278420363976</v>
      </c>
    </row>
    <row r="862" spans="1:14" x14ac:dyDescent="0.45">
      <c r="A862" s="2">
        <v>44679</v>
      </c>
      <c r="B862" s="1">
        <v>1481.85</v>
      </c>
      <c r="D862" s="2">
        <v>44679</v>
      </c>
      <c r="E862" s="1">
        <v>1309.1500000000001</v>
      </c>
      <c r="G862" s="3">
        <v>1680000</v>
      </c>
      <c r="H862" s="3">
        <f t="shared" si="39"/>
        <v>2489508000</v>
      </c>
      <c r="J862" s="3">
        <v>7240000</v>
      </c>
      <c r="K862" s="3"/>
      <c r="L862" s="3">
        <f t="shared" si="40"/>
        <v>9478246000</v>
      </c>
      <c r="N862" s="4">
        <f t="shared" si="41"/>
        <v>0.73734507418355677</v>
      </c>
    </row>
    <row r="863" spans="1:14" x14ac:dyDescent="0.45">
      <c r="A863" s="2">
        <v>44678</v>
      </c>
      <c r="B863" s="1">
        <v>1480</v>
      </c>
      <c r="D863" s="2">
        <v>44678</v>
      </c>
      <c r="E863" s="1">
        <v>1327.3</v>
      </c>
      <c r="G863" s="3">
        <v>1680000</v>
      </c>
      <c r="H863" s="3">
        <f t="shared" si="39"/>
        <v>2486400000</v>
      </c>
      <c r="J863" s="3">
        <v>7240000</v>
      </c>
      <c r="K863" s="3"/>
      <c r="L863" s="3">
        <f t="shared" si="40"/>
        <v>9609652000</v>
      </c>
      <c r="N863" s="4">
        <f t="shared" si="41"/>
        <v>0.74126014136620144</v>
      </c>
    </row>
    <row r="864" spans="1:14" x14ac:dyDescent="0.45">
      <c r="A864" s="2">
        <v>44677</v>
      </c>
      <c r="B864" s="1">
        <v>1440</v>
      </c>
      <c r="D864" s="2">
        <v>44677</v>
      </c>
      <c r="E864" s="1">
        <v>1330.55</v>
      </c>
      <c r="G864" s="3">
        <v>1680000</v>
      </c>
      <c r="H864" s="3">
        <f t="shared" si="39"/>
        <v>2419200000</v>
      </c>
      <c r="J864" s="3">
        <v>7240000</v>
      </c>
      <c r="K864" s="3"/>
      <c r="L864" s="3">
        <f t="shared" si="40"/>
        <v>9633182000</v>
      </c>
      <c r="N864" s="4">
        <f t="shared" si="41"/>
        <v>0.74886802720015044</v>
      </c>
    </row>
    <row r="865" spans="1:14" x14ac:dyDescent="0.45">
      <c r="A865" s="2">
        <v>44676</v>
      </c>
      <c r="B865" s="1">
        <v>1455.25</v>
      </c>
      <c r="D865" s="2">
        <v>44676</v>
      </c>
      <c r="E865" s="1">
        <v>1320.5</v>
      </c>
      <c r="G865" s="3">
        <v>1680000</v>
      </c>
      <c r="H865" s="3">
        <f t="shared" si="39"/>
        <v>2444820000</v>
      </c>
      <c r="J865" s="3">
        <v>7240000</v>
      </c>
      <c r="K865" s="3"/>
      <c r="L865" s="3">
        <f t="shared" si="40"/>
        <v>9560420000</v>
      </c>
      <c r="N865" s="4">
        <f t="shared" si="41"/>
        <v>0.74427692507232945</v>
      </c>
    </row>
    <row r="866" spans="1:14" x14ac:dyDescent="0.45">
      <c r="A866" s="2">
        <v>44673</v>
      </c>
      <c r="B866" s="1">
        <v>1440.65</v>
      </c>
      <c r="D866" s="2">
        <v>44673</v>
      </c>
      <c r="E866" s="1">
        <v>1362.65</v>
      </c>
      <c r="G866" s="3">
        <v>1680000</v>
      </c>
      <c r="H866" s="3">
        <f t="shared" si="39"/>
        <v>2420292000</v>
      </c>
      <c r="J866" s="3">
        <v>7240000</v>
      </c>
      <c r="K866" s="3"/>
      <c r="L866" s="3">
        <f t="shared" si="40"/>
        <v>9865586000</v>
      </c>
      <c r="N866" s="4">
        <f t="shared" si="41"/>
        <v>0.75467326522722522</v>
      </c>
    </row>
    <row r="867" spans="1:14" x14ac:dyDescent="0.45">
      <c r="A867" s="2">
        <v>44672</v>
      </c>
      <c r="B867" s="1">
        <v>1485</v>
      </c>
      <c r="D867" s="2">
        <v>44672</v>
      </c>
      <c r="E867" s="1">
        <v>1374.5</v>
      </c>
      <c r="G867" s="3">
        <v>1680000</v>
      </c>
      <c r="H867" s="3">
        <f t="shared" si="39"/>
        <v>2494800000</v>
      </c>
      <c r="J867" s="3">
        <v>7240000</v>
      </c>
      <c r="K867" s="3"/>
      <c r="L867" s="3">
        <f t="shared" si="40"/>
        <v>9951380000</v>
      </c>
      <c r="N867" s="4">
        <f t="shared" si="41"/>
        <v>0.74930110195771849</v>
      </c>
    </row>
    <row r="868" spans="1:14" x14ac:dyDescent="0.45">
      <c r="A868" s="2">
        <v>44671</v>
      </c>
      <c r="B868" s="1">
        <v>1484.5</v>
      </c>
      <c r="D868" s="2">
        <v>44671</v>
      </c>
      <c r="E868" s="1">
        <v>1380.85</v>
      </c>
      <c r="G868" s="3">
        <v>1680000</v>
      </c>
      <c r="H868" s="3">
        <f t="shared" si="39"/>
        <v>2493960000</v>
      </c>
      <c r="J868" s="3">
        <v>7240000</v>
      </c>
      <c r="K868" s="3"/>
      <c r="L868" s="3">
        <f t="shared" si="40"/>
        <v>9997354000</v>
      </c>
      <c r="N868" s="4">
        <f t="shared" si="41"/>
        <v>0.75053799235277652</v>
      </c>
    </row>
    <row r="869" spans="1:14" x14ac:dyDescent="0.45">
      <c r="A869" s="2">
        <v>44670</v>
      </c>
      <c r="B869" s="1">
        <v>1405</v>
      </c>
      <c r="D869" s="2">
        <v>44670</v>
      </c>
      <c r="E869" s="1">
        <v>1323.2</v>
      </c>
      <c r="G869" s="3">
        <v>1680000</v>
      </c>
      <c r="H869" s="3">
        <f t="shared" si="39"/>
        <v>2360400000</v>
      </c>
      <c r="J869" s="3">
        <v>7240000</v>
      </c>
      <c r="K869" s="3"/>
      <c r="L869" s="3">
        <f t="shared" si="40"/>
        <v>9579968000</v>
      </c>
      <c r="N869" s="4">
        <f t="shared" si="41"/>
        <v>0.7536108680112501</v>
      </c>
    </row>
    <row r="870" spans="1:14" x14ac:dyDescent="0.45">
      <c r="A870" s="2">
        <v>44669</v>
      </c>
      <c r="B870" s="1">
        <v>1370</v>
      </c>
      <c r="D870" s="2">
        <v>44669</v>
      </c>
      <c r="E870" s="1">
        <v>1328.25</v>
      </c>
      <c r="G870" s="3">
        <v>1680000</v>
      </c>
      <c r="H870" s="3">
        <f t="shared" si="39"/>
        <v>2301600000</v>
      </c>
      <c r="J870" s="3">
        <v>7240000</v>
      </c>
      <c r="K870" s="3"/>
      <c r="L870" s="3">
        <f t="shared" si="40"/>
        <v>9616530000</v>
      </c>
      <c r="N870" s="4">
        <f t="shared" si="41"/>
        <v>0.76066210992946526</v>
      </c>
    </row>
    <row r="871" spans="1:14" x14ac:dyDescent="0.45">
      <c r="A871" s="2">
        <v>44664</v>
      </c>
      <c r="B871" s="1">
        <v>1400.55</v>
      </c>
      <c r="D871" s="2">
        <v>44664</v>
      </c>
      <c r="E871" s="1">
        <v>1322.9</v>
      </c>
      <c r="G871" s="3">
        <v>1680000</v>
      </c>
      <c r="H871" s="3">
        <f t="shared" si="39"/>
        <v>2352924000</v>
      </c>
      <c r="J871" s="3">
        <v>7240000</v>
      </c>
      <c r="K871" s="3"/>
      <c r="L871" s="3">
        <f t="shared" si="40"/>
        <v>9577796000</v>
      </c>
      <c r="N871" s="4">
        <f t="shared" si="41"/>
        <v>0.75433554859593999</v>
      </c>
    </row>
    <row r="872" spans="1:14" x14ac:dyDescent="0.45">
      <c r="A872" s="2">
        <v>44663</v>
      </c>
      <c r="B872" s="1">
        <v>1410</v>
      </c>
      <c r="D872" s="2">
        <v>44663</v>
      </c>
      <c r="E872" s="1">
        <v>1306.05</v>
      </c>
      <c r="G872" s="3">
        <v>1680000</v>
      </c>
      <c r="H872" s="3">
        <f t="shared" si="39"/>
        <v>2368800000</v>
      </c>
      <c r="J872" s="3">
        <v>7240000</v>
      </c>
      <c r="K872" s="3"/>
      <c r="L872" s="3">
        <f t="shared" si="40"/>
        <v>9455802000</v>
      </c>
      <c r="N872" s="4">
        <f t="shared" si="41"/>
        <v>0.7494871402764145</v>
      </c>
    </row>
    <row r="873" spans="1:14" x14ac:dyDescent="0.45">
      <c r="A873" s="2">
        <v>44662</v>
      </c>
      <c r="B873" s="1">
        <v>1420</v>
      </c>
      <c r="D873" s="2">
        <v>44662</v>
      </c>
      <c r="E873" s="1">
        <v>1317.15</v>
      </c>
      <c r="G873" s="3">
        <v>1680000</v>
      </c>
      <c r="H873" s="3">
        <f t="shared" si="39"/>
        <v>2385600000</v>
      </c>
      <c r="J873" s="3">
        <v>7240000</v>
      </c>
      <c r="K873" s="3"/>
      <c r="L873" s="3">
        <f t="shared" si="40"/>
        <v>9536166000</v>
      </c>
      <c r="N873" s="4">
        <f t="shared" si="41"/>
        <v>0.74983656953958233</v>
      </c>
    </row>
    <row r="874" spans="1:14" x14ac:dyDescent="0.45">
      <c r="A874" s="2">
        <v>44659</v>
      </c>
      <c r="B874" s="1">
        <v>1439</v>
      </c>
      <c r="D874" s="2">
        <v>44659</v>
      </c>
      <c r="E874" s="1">
        <v>1322.75</v>
      </c>
      <c r="G874" s="3">
        <v>1680000</v>
      </c>
      <c r="H874" s="3">
        <f t="shared" si="39"/>
        <v>2417520000</v>
      </c>
      <c r="J874" s="3">
        <v>7240000</v>
      </c>
      <c r="K874" s="3"/>
      <c r="L874" s="3">
        <f t="shared" si="40"/>
        <v>9576710000</v>
      </c>
      <c r="N874" s="4">
        <f t="shared" si="41"/>
        <v>0.74756257629185807</v>
      </c>
    </row>
    <row r="875" spans="1:14" x14ac:dyDescent="0.45">
      <c r="A875" s="2">
        <v>44658</v>
      </c>
      <c r="B875" s="1">
        <v>1416.45</v>
      </c>
      <c r="D875" s="2">
        <v>44658</v>
      </c>
      <c r="E875" s="1">
        <v>1325</v>
      </c>
      <c r="G875" s="3">
        <v>1680000</v>
      </c>
      <c r="H875" s="3">
        <f t="shared" si="39"/>
        <v>2379636000</v>
      </c>
      <c r="J875" s="3">
        <v>7240000</v>
      </c>
      <c r="K875" s="3"/>
      <c r="L875" s="3">
        <f t="shared" si="40"/>
        <v>9593000000</v>
      </c>
      <c r="N875" s="4">
        <f t="shared" si="41"/>
        <v>0.75194037318878348</v>
      </c>
    </row>
    <row r="876" spans="1:14" x14ac:dyDescent="0.45">
      <c r="A876" s="2">
        <v>44657</v>
      </c>
      <c r="B876" s="1">
        <v>1404</v>
      </c>
      <c r="D876" s="2">
        <v>44657</v>
      </c>
      <c r="E876" s="1">
        <v>1321.35</v>
      </c>
      <c r="G876" s="3">
        <v>1680000</v>
      </c>
      <c r="H876" s="3">
        <f t="shared" si="39"/>
        <v>2358720000</v>
      </c>
      <c r="J876" s="3">
        <v>7240000</v>
      </c>
      <c r="K876" s="3"/>
      <c r="L876" s="3">
        <f t="shared" si="40"/>
        <v>9566574000</v>
      </c>
      <c r="N876" s="4">
        <f t="shared" si="41"/>
        <v>0.75344151417215821</v>
      </c>
    </row>
    <row r="877" spans="1:14" x14ac:dyDescent="0.45">
      <c r="A877" s="2">
        <v>44656</v>
      </c>
      <c r="B877" s="1">
        <v>1420</v>
      </c>
      <c r="D877" s="2">
        <v>44656</v>
      </c>
      <c r="E877" s="1">
        <v>1321.85</v>
      </c>
      <c r="G877" s="3">
        <v>1680000</v>
      </c>
      <c r="H877" s="3">
        <f t="shared" si="39"/>
        <v>2385600000</v>
      </c>
      <c r="J877" s="3">
        <v>7240000</v>
      </c>
      <c r="K877" s="3"/>
      <c r="L877" s="3">
        <f t="shared" si="40"/>
        <v>9570194000</v>
      </c>
      <c r="N877" s="4">
        <f t="shared" si="41"/>
        <v>0.75072605633699796</v>
      </c>
    </row>
    <row r="878" spans="1:14" x14ac:dyDescent="0.45">
      <c r="A878" s="2">
        <v>44655</v>
      </c>
      <c r="B878" s="1">
        <v>1411</v>
      </c>
      <c r="D878" s="2">
        <v>44655</v>
      </c>
      <c r="E878" s="1">
        <v>1316.6</v>
      </c>
      <c r="G878" s="3">
        <v>1680000</v>
      </c>
      <c r="H878" s="3">
        <f t="shared" si="39"/>
        <v>2370480000</v>
      </c>
      <c r="J878" s="3">
        <v>7240000</v>
      </c>
      <c r="K878" s="3"/>
      <c r="L878" s="3">
        <f t="shared" si="40"/>
        <v>9532184000</v>
      </c>
      <c r="N878" s="4">
        <f t="shared" si="41"/>
        <v>0.75131827081810421</v>
      </c>
    </row>
    <row r="879" spans="1:14" x14ac:dyDescent="0.45">
      <c r="A879" s="2">
        <v>44652</v>
      </c>
      <c r="B879" s="1">
        <v>1400</v>
      </c>
      <c r="D879" s="2">
        <v>44652</v>
      </c>
      <c r="E879" s="1">
        <v>1317.85</v>
      </c>
      <c r="G879" s="3">
        <v>1680000</v>
      </c>
      <c r="H879" s="3">
        <f t="shared" si="39"/>
        <v>2352000000</v>
      </c>
      <c r="J879" s="3">
        <v>7240000</v>
      </c>
      <c r="K879" s="3"/>
      <c r="L879" s="3">
        <f t="shared" si="40"/>
        <v>9541234000</v>
      </c>
      <c r="N879" s="4">
        <f t="shared" si="41"/>
        <v>0.75349100546113845</v>
      </c>
    </row>
    <row r="880" spans="1:14" x14ac:dyDescent="0.45">
      <c r="A880" s="2">
        <v>44651</v>
      </c>
      <c r="B880" s="1">
        <v>1417</v>
      </c>
      <c r="D880" s="2">
        <v>44651</v>
      </c>
      <c r="E880" s="1">
        <v>1314.6</v>
      </c>
      <c r="G880" s="3">
        <v>1680000</v>
      </c>
      <c r="H880" s="3">
        <f t="shared" si="39"/>
        <v>2380560000</v>
      </c>
      <c r="J880" s="3">
        <v>7240000</v>
      </c>
      <c r="K880" s="3"/>
      <c r="L880" s="3">
        <f t="shared" si="40"/>
        <v>9517704000</v>
      </c>
      <c r="N880" s="4">
        <f t="shared" si="41"/>
        <v>0.74988085361763712</v>
      </c>
    </row>
    <row r="881" spans="1:14" x14ac:dyDescent="0.45">
      <c r="A881" s="2">
        <v>44650</v>
      </c>
      <c r="B881" s="1">
        <v>1394</v>
      </c>
      <c r="D881" s="2">
        <v>44650</v>
      </c>
      <c r="E881" s="1">
        <v>1279.5999999999999</v>
      </c>
      <c r="G881" s="3">
        <v>1680000</v>
      </c>
      <c r="H881" s="3">
        <f t="shared" si="39"/>
        <v>2341920000</v>
      </c>
      <c r="J881" s="3">
        <v>7240000</v>
      </c>
      <c r="K881" s="3"/>
      <c r="L881" s="3">
        <f t="shared" si="40"/>
        <v>9264304000</v>
      </c>
      <c r="N881" s="4">
        <f t="shared" si="41"/>
        <v>0.74721036788084672</v>
      </c>
    </row>
    <row r="882" spans="1:14" x14ac:dyDescent="0.45">
      <c r="A882" s="2">
        <v>44649</v>
      </c>
      <c r="B882" s="1">
        <v>1378.3</v>
      </c>
      <c r="D882" s="2">
        <v>44649</v>
      </c>
      <c r="E882" s="1">
        <v>1242.2</v>
      </c>
      <c r="G882" s="3">
        <v>1680000</v>
      </c>
      <c r="H882" s="3">
        <f t="shared" si="39"/>
        <v>2315544000</v>
      </c>
      <c r="J882" s="3">
        <v>7240000</v>
      </c>
      <c r="K882" s="3"/>
      <c r="L882" s="3">
        <f t="shared" si="40"/>
        <v>8993528000</v>
      </c>
      <c r="N882" s="4">
        <f t="shared" si="41"/>
        <v>0.74253218536707732</v>
      </c>
    </row>
    <row r="883" spans="1:14" x14ac:dyDescent="0.45">
      <c r="A883" s="2">
        <v>44648</v>
      </c>
      <c r="B883" s="1">
        <v>1368.5</v>
      </c>
      <c r="D883" s="2">
        <v>44648</v>
      </c>
      <c r="E883" s="1">
        <v>1230.5999999999999</v>
      </c>
      <c r="G883" s="3">
        <v>1680000</v>
      </c>
      <c r="H883" s="3">
        <f t="shared" si="39"/>
        <v>2299080000</v>
      </c>
      <c r="J883" s="3">
        <v>7240000</v>
      </c>
      <c r="K883" s="3"/>
      <c r="L883" s="3">
        <f t="shared" si="40"/>
        <v>8909544000</v>
      </c>
      <c r="N883" s="4">
        <f t="shared" si="41"/>
        <v>0.7419531235268606</v>
      </c>
    </row>
    <row r="884" spans="1:14" x14ac:dyDescent="0.45">
      <c r="A884" s="2">
        <v>44645</v>
      </c>
      <c r="B884" s="1">
        <v>1391.65</v>
      </c>
      <c r="D884" s="2">
        <v>44645</v>
      </c>
      <c r="E884" s="1">
        <v>1220</v>
      </c>
      <c r="G884" s="3">
        <v>1680000</v>
      </c>
      <c r="H884" s="3">
        <f t="shared" si="39"/>
        <v>2337972000</v>
      </c>
      <c r="J884" s="3">
        <v>7240000</v>
      </c>
      <c r="K884" s="3"/>
      <c r="L884" s="3">
        <f t="shared" si="40"/>
        <v>8832800000</v>
      </c>
      <c r="N884" s="4">
        <f t="shared" si="41"/>
        <v>0.73530794312109404</v>
      </c>
    </row>
    <row r="885" spans="1:14" x14ac:dyDescent="0.45">
      <c r="A885" s="2">
        <v>44644</v>
      </c>
      <c r="B885" s="1">
        <v>1410</v>
      </c>
      <c r="D885" s="2">
        <v>44644</v>
      </c>
      <c r="E885" s="1">
        <v>1247.8</v>
      </c>
      <c r="G885" s="3">
        <v>1680000</v>
      </c>
      <c r="H885" s="3">
        <f t="shared" si="39"/>
        <v>2368800000</v>
      </c>
      <c r="J885" s="3">
        <v>7240000</v>
      </c>
      <c r="K885" s="3"/>
      <c r="L885" s="3">
        <f t="shared" si="40"/>
        <v>9034072000</v>
      </c>
      <c r="N885" s="4">
        <f t="shared" si="41"/>
        <v>0.73779265872576616</v>
      </c>
    </row>
    <row r="886" spans="1:14" x14ac:dyDescent="0.45">
      <c r="A886" s="2">
        <v>44643</v>
      </c>
      <c r="B886" s="1">
        <v>1385.45</v>
      </c>
      <c r="D886" s="2">
        <v>44643</v>
      </c>
      <c r="E886" s="1">
        <v>1235.8499999999999</v>
      </c>
      <c r="G886" s="3">
        <v>1680000</v>
      </c>
      <c r="H886" s="3">
        <f t="shared" si="39"/>
        <v>2327556000</v>
      </c>
      <c r="J886" s="3">
        <v>7240000</v>
      </c>
      <c r="K886" s="3"/>
      <c r="L886" s="3">
        <f t="shared" si="40"/>
        <v>8947554000</v>
      </c>
      <c r="N886" s="4">
        <f t="shared" si="41"/>
        <v>0.73986678370423919</v>
      </c>
    </row>
    <row r="887" spans="1:14" x14ac:dyDescent="0.45">
      <c r="A887" s="2">
        <v>44642</v>
      </c>
      <c r="B887" s="1">
        <v>1400.3</v>
      </c>
      <c r="D887" s="2">
        <v>44642</v>
      </c>
      <c r="E887" s="1">
        <v>1238.45</v>
      </c>
      <c r="G887" s="3">
        <v>1680000</v>
      </c>
      <c r="H887" s="3">
        <f t="shared" si="39"/>
        <v>2352504000</v>
      </c>
      <c r="J887" s="3">
        <v>7240000</v>
      </c>
      <c r="K887" s="3"/>
      <c r="L887" s="3">
        <f t="shared" si="40"/>
        <v>8966378000</v>
      </c>
      <c r="N887" s="4">
        <f t="shared" si="41"/>
        <v>0.73763051256594359</v>
      </c>
    </row>
    <row r="888" spans="1:14" x14ac:dyDescent="0.45">
      <c r="A888" s="2">
        <v>44641</v>
      </c>
      <c r="B888" s="1">
        <v>1456</v>
      </c>
      <c r="D888" s="2">
        <v>44641</v>
      </c>
      <c r="E888" s="1">
        <v>1162.3</v>
      </c>
      <c r="G888" s="3">
        <v>1680000</v>
      </c>
      <c r="H888" s="3">
        <f t="shared" si="39"/>
        <v>2446080000</v>
      </c>
      <c r="J888" s="3">
        <v>7240000</v>
      </c>
      <c r="K888" s="3"/>
      <c r="L888" s="3">
        <f t="shared" si="40"/>
        <v>8415052000</v>
      </c>
      <c r="N888" s="4">
        <f t="shared" si="41"/>
        <v>0.70932086931845462</v>
      </c>
    </row>
    <row r="889" spans="1:14" x14ac:dyDescent="0.45">
      <c r="A889" s="2">
        <v>44637</v>
      </c>
      <c r="B889" s="1">
        <v>1422</v>
      </c>
      <c r="D889" s="2">
        <v>44637</v>
      </c>
      <c r="E889" s="1">
        <v>1151.0999999999999</v>
      </c>
      <c r="G889" s="3">
        <v>1680000</v>
      </c>
      <c r="H889" s="3">
        <f t="shared" si="39"/>
        <v>2388960000</v>
      </c>
      <c r="J889" s="3">
        <v>7240000</v>
      </c>
      <c r="K889" s="3"/>
      <c r="L889" s="3">
        <f t="shared" si="40"/>
        <v>8333963999.999999</v>
      </c>
      <c r="N889" s="4">
        <f t="shared" si="41"/>
        <v>0.71334649393733884</v>
      </c>
    </row>
    <row r="890" spans="1:14" x14ac:dyDescent="0.45">
      <c r="A890" s="2">
        <v>44636</v>
      </c>
      <c r="B890" s="1">
        <v>1380</v>
      </c>
      <c r="D890" s="2">
        <v>44636</v>
      </c>
      <c r="E890" s="1">
        <v>1135.0999999999999</v>
      </c>
      <c r="G890" s="3">
        <v>1680000</v>
      </c>
      <c r="H890" s="3">
        <f t="shared" si="39"/>
        <v>2318400000</v>
      </c>
      <c r="J890" s="3">
        <v>7240000</v>
      </c>
      <c r="K890" s="3"/>
      <c r="L890" s="3">
        <f t="shared" si="40"/>
        <v>8218123999.999999</v>
      </c>
      <c r="N890" s="4">
        <f t="shared" si="41"/>
        <v>0.71789182056634826</v>
      </c>
    </row>
    <row r="891" spans="1:14" x14ac:dyDescent="0.45">
      <c r="A891" s="2">
        <v>44635</v>
      </c>
      <c r="B891" s="1">
        <v>1350</v>
      </c>
      <c r="D891" s="2">
        <v>44635</v>
      </c>
      <c r="E891" s="1">
        <v>1146.5999999999999</v>
      </c>
      <c r="G891" s="3">
        <v>1680000</v>
      </c>
      <c r="H891" s="3">
        <f t="shared" si="39"/>
        <v>2268000000</v>
      </c>
      <c r="J891" s="3">
        <v>7240000</v>
      </c>
      <c r="K891" s="3"/>
      <c r="L891" s="3">
        <f t="shared" si="40"/>
        <v>8301383999.999999</v>
      </c>
      <c r="N891" s="4">
        <f t="shared" si="41"/>
        <v>0.7267925444721024</v>
      </c>
    </row>
    <row r="892" spans="1:14" x14ac:dyDescent="0.45">
      <c r="A892" s="2">
        <v>44634</v>
      </c>
      <c r="B892" s="1">
        <v>1395</v>
      </c>
      <c r="D892" s="2">
        <v>44634</v>
      </c>
      <c r="E892" s="1">
        <v>1131.7</v>
      </c>
      <c r="G892" s="3">
        <v>1680000</v>
      </c>
      <c r="H892" s="3">
        <f t="shared" si="39"/>
        <v>2343600000</v>
      </c>
      <c r="J892" s="3">
        <v>7240000</v>
      </c>
      <c r="K892" s="3"/>
      <c r="L892" s="3">
        <f t="shared" si="40"/>
        <v>8193508000</v>
      </c>
      <c r="N892" s="4">
        <f t="shared" si="41"/>
        <v>0.71396866885343857</v>
      </c>
    </row>
    <row r="893" spans="1:14" x14ac:dyDescent="0.45">
      <c r="A893" s="2">
        <v>44631</v>
      </c>
      <c r="B893" s="1">
        <v>1362.4</v>
      </c>
      <c r="D893" s="2">
        <v>44631</v>
      </c>
      <c r="E893" s="1">
        <v>1120.7</v>
      </c>
      <c r="G893" s="3">
        <v>1680000</v>
      </c>
      <c r="H893" s="3">
        <f t="shared" si="39"/>
        <v>2288832000</v>
      </c>
      <c r="J893" s="3">
        <v>7240000</v>
      </c>
      <c r="K893" s="3"/>
      <c r="L893" s="3">
        <f t="shared" si="40"/>
        <v>8113868000</v>
      </c>
      <c r="N893" s="4">
        <f t="shared" si="41"/>
        <v>0.71791111218471881</v>
      </c>
    </row>
    <row r="894" spans="1:14" x14ac:dyDescent="0.45">
      <c r="A894" s="2">
        <v>44630</v>
      </c>
      <c r="B894" s="1">
        <v>1424.25</v>
      </c>
      <c r="D894" s="2">
        <v>44630</v>
      </c>
      <c r="E894" s="1">
        <v>1094.5999999999999</v>
      </c>
      <c r="G894" s="3">
        <v>1680000</v>
      </c>
      <c r="H894" s="3">
        <f t="shared" si="39"/>
        <v>2392740000</v>
      </c>
      <c r="J894" s="3">
        <v>7240000</v>
      </c>
      <c r="K894" s="3"/>
      <c r="L894" s="3">
        <f t="shared" si="40"/>
        <v>7924903999.999999</v>
      </c>
      <c r="N894" s="4">
        <f t="shared" si="41"/>
        <v>0.69807331420039909</v>
      </c>
    </row>
    <row r="895" spans="1:14" x14ac:dyDescent="0.45">
      <c r="A895" s="2">
        <v>44629</v>
      </c>
      <c r="B895" s="1">
        <v>1430</v>
      </c>
      <c r="D895" s="2">
        <v>44629</v>
      </c>
      <c r="E895" s="1">
        <v>1104.05</v>
      </c>
      <c r="G895" s="3">
        <v>1680000</v>
      </c>
      <c r="H895" s="3">
        <f t="shared" si="39"/>
        <v>2402400000</v>
      </c>
      <c r="J895" s="3">
        <v>7240000</v>
      </c>
      <c r="K895" s="3"/>
      <c r="L895" s="3">
        <f t="shared" si="40"/>
        <v>7993322000</v>
      </c>
      <c r="N895" s="4">
        <f t="shared" si="41"/>
        <v>0.69944911514887054</v>
      </c>
    </row>
    <row r="896" spans="1:14" x14ac:dyDescent="0.45">
      <c r="A896" s="2">
        <v>44628</v>
      </c>
      <c r="B896" s="1">
        <v>1444</v>
      </c>
      <c r="D896" s="2">
        <v>44628</v>
      </c>
      <c r="E896" s="1">
        <v>1102.55</v>
      </c>
      <c r="G896" s="3">
        <v>1680000</v>
      </c>
      <c r="H896" s="3">
        <f t="shared" si="39"/>
        <v>2425920000</v>
      </c>
      <c r="J896" s="3">
        <v>7240000</v>
      </c>
      <c r="K896" s="3"/>
      <c r="L896" s="3">
        <f t="shared" si="40"/>
        <v>7982462000</v>
      </c>
      <c r="N896" s="4">
        <f t="shared" si="41"/>
        <v>0.69609376154875524</v>
      </c>
    </row>
    <row r="897" spans="1:14" x14ac:dyDescent="0.45">
      <c r="A897" s="2">
        <v>44627</v>
      </c>
      <c r="B897" s="1">
        <v>1464.05</v>
      </c>
      <c r="D897" s="2">
        <v>44627</v>
      </c>
      <c r="E897" s="1">
        <v>1144.6500000000001</v>
      </c>
      <c r="G897" s="3">
        <v>1680000</v>
      </c>
      <c r="H897" s="3">
        <f t="shared" si="39"/>
        <v>2459604000</v>
      </c>
      <c r="J897" s="3">
        <v>7240000</v>
      </c>
      <c r="K897" s="3"/>
      <c r="L897" s="3">
        <f t="shared" si="40"/>
        <v>8287266000.000001</v>
      </c>
      <c r="N897" s="4">
        <f t="shared" si="41"/>
        <v>0.70320682357728115</v>
      </c>
    </row>
    <row r="898" spans="1:14" x14ac:dyDescent="0.45">
      <c r="A898" s="2">
        <v>44624</v>
      </c>
      <c r="B898" s="1">
        <v>1497</v>
      </c>
      <c r="D898" s="2">
        <v>44624</v>
      </c>
      <c r="E898" s="1">
        <v>1057.7</v>
      </c>
      <c r="G898" s="3">
        <v>1680000</v>
      </c>
      <c r="H898" s="3">
        <f t="shared" si="39"/>
        <v>2514960000</v>
      </c>
      <c r="J898" s="3">
        <v>7240000</v>
      </c>
      <c r="K898" s="3"/>
      <c r="L898" s="3">
        <f t="shared" si="40"/>
        <v>7657748000</v>
      </c>
      <c r="N898" s="4">
        <f t="shared" si="41"/>
        <v>0.67157968635165322</v>
      </c>
    </row>
    <row r="899" spans="1:14" x14ac:dyDescent="0.45">
      <c r="A899" s="2">
        <v>44623</v>
      </c>
      <c r="B899" s="1">
        <v>1450</v>
      </c>
      <c r="D899" s="2">
        <v>44623</v>
      </c>
      <c r="E899" s="1">
        <v>1056</v>
      </c>
      <c r="G899" s="3">
        <v>1680000</v>
      </c>
      <c r="H899" s="3">
        <f t="shared" ref="H899:H962" si="42">+G899*B899</f>
        <v>2436000000</v>
      </c>
      <c r="J899" s="3">
        <v>7240000</v>
      </c>
      <c r="K899" s="3"/>
      <c r="L899" s="3">
        <f t="shared" ref="L899:L962" si="43">+(J899*E899)</f>
        <v>7645440000</v>
      </c>
      <c r="N899" s="4">
        <f t="shared" ref="N899:N962" si="44">1- (H899/L899)</f>
        <v>0.68137870416875934</v>
      </c>
    </row>
    <row r="900" spans="1:14" x14ac:dyDescent="0.45">
      <c r="A900" s="2">
        <v>44622</v>
      </c>
      <c r="B900" s="1">
        <v>1450</v>
      </c>
      <c r="D900" s="2">
        <v>44622</v>
      </c>
      <c r="E900" s="1">
        <v>1110.3499999999999</v>
      </c>
      <c r="G900" s="3">
        <v>1680000</v>
      </c>
      <c r="H900" s="3">
        <f t="shared" si="42"/>
        <v>2436000000</v>
      </c>
      <c r="J900" s="3">
        <v>7240000</v>
      </c>
      <c r="K900" s="3"/>
      <c r="L900" s="3">
        <f t="shared" si="43"/>
        <v>8038933999.999999</v>
      </c>
      <c r="N900" s="4">
        <f t="shared" si="44"/>
        <v>0.69697474814446791</v>
      </c>
    </row>
    <row r="901" spans="1:14" x14ac:dyDescent="0.45">
      <c r="A901" s="2">
        <v>44620</v>
      </c>
      <c r="B901" s="1">
        <v>1480</v>
      </c>
      <c r="D901" s="2">
        <v>44620</v>
      </c>
      <c r="E901" s="1">
        <v>1094.45</v>
      </c>
      <c r="G901" s="3">
        <v>1680000</v>
      </c>
      <c r="H901" s="3">
        <f t="shared" si="42"/>
        <v>2486400000</v>
      </c>
      <c r="J901" s="3">
        <v>7240000</v>
      </c>
      <c r="K901" s="3"/>
      <c r="L901" s="3">
        <f t="shared" si="43"/>
        <v>7923818000</v>
      </c>
      <c r="N901" s="4">
        <f t="shared" si="44"/>
        <v>0.68621187412431728</v>
      </c>
    </row>
    <row r="902" spans="1:14" x14ac:dyDescent="0.45">
      <c r="A902" s="2">
        <v>44617</v>
      </c>
      <c r="B902" s="1">
        <v>1498</v>
      </c>
      <c r="D902" s="2">
        <v>44617</v>
      </c>
      <c r="E902" s="1">
        <v>997.05</v>
      </c>
      <c r="G902" s="3">
        <v>1680000</v>
      </c>
      <c r="H902" s="3">
        <f t="shared" si="42"/>
        <v>2516640000</v>
      </c>
      <c r="J902" s="3">
        <v>7240000</v>
      </c>
      <c r="K902" s="3"/>
      <c r="L902" s="3">
        <f t="shared" si="43"/>
        <v>7218642000</v>
      </c>
      <c r="N902" s="4">
        <f t="shared" si="44"/>
        <v>0.65136932957750227</v>
      </c>
    </row>
    <row r="903" spans="1:14" x14ac:dyDescent="0.45">
      <c r="A903" s="2">
        <v>44616</v>
      </c>
      <c r="B903" s="1">
        <v>1514.9</v>
      </c>
      <c r="D903" s="2">
        <v>44616</v>
      </c>
      <c r="E903" s="1">
        <v>962.55</v>
      </c>
      <c r="G903" s="3">
        <v>1680000</v>
      </c>
      <c r="H903" s="3">
        <f t="shared" si="42"/>
        <v>2545032000</v>
      </c>
      <c r="J903" s="3">
        <v>7240000</v>
      </c>
      <c r="K903" s="3"/>
      <c r="L903" s="3">
        <f t="shared" si="43"/>
        <v>6968862000</v>
      </c>
      <c r="N903" s="4">
        <f t="shared" si="44"/>
        <v>0.63479948376076323</v>
      </c>
    </row>
    <row r="904" spans="1:14" x14ac:dyDescent="0.45">
      <c r="A904" s="2">
        <v>44615</v>
      </c>
      <c r="B904" s="1">
        <v>1500</v>
      </c>
      <c r="D904" s="2">
        <v>44615</v>
      </c>
      <c r="E904" s="1">
        <v>1029.7</v>
      </c>
      <c r="G904" s="3">
        <v>1680000</v>
      </c>
      <c r="H904" s="3">
        <f t="shared" si="42"/>
        <v>2520000000</v>
      </c>
      <c r="J904" s="3">
        <v>7240000</v>
      </c>
      <c r="K904" s="3"/>
      <c r="L904" s="3">
        <f t="shared" si="43"/>
        <v>7455028000</v>
      </c>
      <c r="N904" s="4">
        <f t="shared" si="44"/>
        <v>0.66197310057051428</v>
      </c>
    </row>
    <row r="905" spans="1:14" x14ac:dyDescent="0.45">
      <c r="A905" s="2">
        <v>44614</v>
      </c>
      <c r="B905" s="1">
        <v>1499</v>
      </c>
      <c r="D905" s="2">
        <v>44614</v>
      </c>
      <c r="E905" s="1">
        <v>1048.3499999999999</v>
      </c>
      <c r="G905" s="3">
        <v>1680000</v>
      </c>
      <c r="H905" s="3">
        <f t="shared" si="42"/>
        <v>2518320000</v>
      </c>
      <c r="J905" s="3">
        <v>7240000</v>
      </c>
      <c r="K905" s="3"/>
      <c r="L905" s="3">
        <f t="shared" si="43"/>
        <v>7590053999.999999</v>
      </c>
      <c r="N905" s="4">
        <f t="shared" si="44"/>
        <v>0.6682078941730849</v>
      </c>
    </row>
    <row r="906" spans="1:14" x14ac:dyDescent="0.45">
      <c r="A906" s="2">
        <v>44613</v>
      </c>
      <c r="B906" s="1">
        <v>1498.55</v>
      </c>
      <c r="D906" s="2">
        <v>44613</v>
      </c>
      <c r="E906" s="1">
        <v>1061.5999999999999</v>
      </c>
      <c r="G906" s="3">
        <v>1680000</v>
      </c>
      <c r="H906" s="3">
        <f t="shared" si="42"/>
        <v>2517564000</v>
      </c>
      <c r="J906" s="3">
        <v>7240000</v>
      </c>
      <c r="K906" s="3"/>
      <c r="L906" s="3">
        <f t="shared" si="43"/>
        <v>7685983999.999999</v>
      </c>
      <c r="N906" s="4">
        <f t="shared" si="44"/>
        <v>0.67244740556316529</v>
      </c>
    </row>
    <row r="907" spans="1:14" x14ac:dyDescent="0.45">
      <c r="A907" s="2">
        <v>44610</v>
      </c>
      <c r="B907" s="1">
        <v>1500.05</v>
      </c>
      <c r="D907" s="2">
        <v>44610</v>
      </c>
      <c r="E907" s="1">
        <v>1076.2</v>
      </c>
      <c r="G907" s="3">
        <v>1680000</v>
      </c>
      <c r="H907" s="3">
        <f t="shared" si="42"/>
        <v>2520084000</v>
      </c>
      <c r="J907" s="3">
        <v>7240000</v>
      </c>
      <c r="K907" s="3"/>
      <c r="L907" s="3">
        <f t="shared" si="43"/>
        <v>7791688000</v>
      </c>
      <c r="N907" s="4">
        <f t="shared" si="44"/>
        <v>0.67656764490569943</v>
      </c>
    </row>
    <row r="908" spans="1:14" x14ac:dyDescent="0.45">
      <c r="A908" s="2">
        <v>44609</v>
      </c>
      <c r="B908" s="1">
        <v>1520</v>
      </c>
      <c r="D908" s="2">
        <v>44609</v>
      </c>
      <c r="E908" s="1">
        <v>1059.5</v>
      </c>
      <c r="G908" s="3">
        <v>1680000</v>
      </c>
      <c r="H908" s="3">
        <f t="shared" si="42"/>
        <v>2553600000</v>
      </c>
      <c r="J908" s="3">
        <v>7240000</v>
      </c>
      <c r="K908" s="3"/>
      <c r="L908" s="3">
        <f t="shared" si="43"/>
        <v>7670780000</v>
      </c>
      <c r="N908" s="4">
        <f t="shared" si="44"/>
        <v>0.66710034703120158</v>
      </c>
    </row>
    <row r="909" spans="1:14" x14ac:dyDescent="0.45">
      <c r="A909" s="2">
        <v>44608</v>
      </c>
      <c r="B909" s="1">
        <v>1500.1</v>
      </c>
      <c r="D909" s="2">
        <v>44608</v>
      </c>
      <c r="E909" s="1">
        <v>1078.6500000000001</v>
      </c>
      <c r="G909" s="3">
        <v>1680000</v>
      </c>
      <c r="H909" s="3">
        <f t="shared" si="42"/>
        <v>2520168000</v>
      </c>
      <c r="J909" s="3">
        <v>7240000</v>
      </c>
      <c r="K909" s="3"/>
      <c r="L909" s="3">
        <f t="shared" si="43"/>
        <v>7809426000.000001</v>
      </c>
      <c r="N909" s="4">
        <f t="shared" si="44"/>
        <v>0.67729151924866182</v>
      </c>
    </row>
    <row r="910" spans="1:14" x14ac:dyDescent="0.45">
      <c r="A910" s="2">
        <v>44607</v>
      </c>
      <c r="B910" s="1">
        <v>1460.45</v>
      </c>
      <c r="D910" s="2">
        <v>44607</v>
      </c>
      <c r="E910" s="1">
        <v>1105.6500000000001</v>
      </c>
      <c r="G910" s="3">
        <v>1680000</v>
      </c>
      <c r="H910" s="3">
        <f t="shared" si="42"/>
        <v>2453556000</v>
      </c>
      <c r="J910" s="3">
        <v>7240000</v>
      </c>
      <c r="K910" s="3"/>
      <c r="L910" s="3">
        <f t="shared" si="43"/>
        <v>8004906000.000001</v>
      </c>
      <c r="N910" s="4">
        <f t="shared" si="44"/>
        <v>0.69349346513250754</v>
      </c>
    </row>
    <row r="911" spans="1:14" x14ac:dyDescent="0.45">
      <c r="A911" s="2">
        <v>44606</v>
      </c>
      <c r="B911" s="1">
        <v>1501</v>
      </c>
      <c r="D911" s="2">
        <v>44606</v>
      </c>
      <c r="E911" s="1">
        <v>1089.8499999999999</v>
      </c>
      <c r="G911" s="3">
        <v>1680000</v>
      </c>
      <c r="H911" s="3">
        <f t="shared" si="42"/>
        <v>2521680000</v>
      </c>
      <c r="J911" s="3">
        <v>7240000</v>
      </c>
      <c r="K911" s="3"/>
      <c r="L911" s="3">
        <f t="shared" si="43"/>
        <v>7890513999.999999</v>
      </c>
      <c r="N911" s="4">
        <f t="shared" si="44"/>
        <v>0.68041625678631323</v>
      </c>
    </row>
    <row r="912" spans="1:14" x14ac:dyDescent="0.45">
      <c r="A912" s="2">
        <v>44603</v>
      </c>
      <c r="B912" s="1">
        <v>1519</v>
      </c>
      <c r="D912" s="2">
        <v>44603</v>
      </c>
      <c r="E912" s="1">
        <v>1133.9000000000001</v>
      </c>
      <c r="G912" s="3">
        <v>1680000</v>
      </c>
      <c r="H912" s="3">
        <f t="shared" si="42"/>
        <v>2551920000</v>
      </c>
      <c r="J912" s="3">
        <v>7240000</v>
      </c>
      <c r="K912" s="3"/>
      <c r="L912" s="3">
        <f t="shared" si="43"/>
        <v>8209436000.000001</v>
      </c>
      <c r="N912" s="4">
        <f t="shared" si="44"/>
        <v>0.68914795121126471</v>
      </c>
    </row>
    <row r="913" spans="1:14" x14ac:dyDescent="0.45">
      <c r="A913" s="2">
        <v>44602</v>
      </c>
      <c r="B913" s="1">
        <v>1510</v>
      </c>
      <c r="D913" s="2">
        <v>44602</v>
      </c>
      <c r="E913" s="1">
        <v>1146.4000000000001</v>
      </c>
      <c r="G913" s="3">
        <v>1680000</v>
      </c>
      <c r="H913" s="3">
        <f t="shared" si="42"/>
        <v>2536800000</v>
      </c>
      <c r="J913" s="3">
        <v>7240000</v>
      </c>
      <c r="K913" s="3"/>
      <c r="L913" s="3">
        <f t="shared" si="43"/>
        <v>8299936000.000001</v>
      </c>
      <c r="N913" s="4">
        <f t="shared" si="44"/>
        <v>0.6943590890339395</v>
      </c>
    </row>
    <row r="914" spans="1:14" x14ac:dyDescent="0.45">
      <c r="A914" s="2">
        <v>44601</v>
      </c>
      <c r="B914" s="1">
        <v>1508.1</v>
      </c>
      <c r="D914" s="2">
        <v>44601</v>
      </c>
      <c r="E914" s="1">
        <v>1149.5</v>
      </c>
      <c r="G914" s="3">
        <v>1680000</v>
      </c>
      <c r="H914" s="3">
        <f t="shared" si="42"/>
        <v>2533608000</v>
      </c>
      <c r="J914" s="3">
        <v>7240000</v>
      </c>
      <c r="K914" s="3"/>
      <c r="L914" s="3">
        <f t="shared" si="43"/>
        <v>8322380000</v>
      </c>
      <c r="N914" s="4">
        <f t="shared" si="44"/>
        <v>0.69556689312432263</v>
      </c>
    </row>
    <row r="915" spans="1:14" x14ac:dyDescent="0.45">
      <c r="A915" s="2">
        <v>44600</v>
      </c>
      <c r="B915" s="1">
        <v>1540.9</v>
      </c>
      <c r="D915" s="2">
        <v>44600</v>
      </c>
      <c r="E915" s="1">
        <v>1147.0999999999999</v>
      </c>
      <c r="G915" s="3">
        <v>1680000</v>
      </c>
      <c r="H915" s="3">
        <f t="shared" si="42"/>
        <v>2588712000</v>
      </c>
      <c r="J915" s="3">
        <v>7240000</v>
      </c>
      <c r="K915" s="3"/>
      <c r="L915" s="3">
        <f t="shared" si="43"/>
        <v>8305003999.999999</v>
      </c>
      <c r="N915" s="4">
        <f t="shared" si="44"/>
        <v>0.68829491232033124</v>
      </c>
    </row>
    <row r="916" spans="1:14" x14ac:dyDescent="0.45">
      <c r="A916" s="2">
        <v>44599</v>
      </c>
      <c r="B916" s="1">
        <v>1535.65</v>
      </c>
      <c r="D916" s="2">
        <v>44599</v>
      </c>
      <c r="E916" s="1">
        <v>1190.3</v>
      </c>
      <c r="G916" s="3">
        <v>1680000</v>
      </c>
      <c r="H916" s="3">
        <f t="shared" si="42"/>
        <v>2579892000</v>
      </c>
      <c r="J916" s="3">
        <v>7240000</v>
      </c>
      <c r="K916" s="3"/>
      <c r="L916" s="3">
        <f t="shared" si="43"/>
        <v>8617772000</v>
      </c>
      <c r="N916" s="4">
        <f t="shared" si="44"/>
        <v>0.70063120723082484</v>
      </c>
    </row>
    <row r="917" spans="1:14" x14ac:dyDescent="0.45">
      <c r="A917" s="2">
        <v>44596</v>
      </c>
      <c r="B917" s="1">
        <v>1548.2</v>
      </c>
      <c r="D917" s="2">
        <v>44596</v>
      </c>
      <c r="E917" s="1">
        <v>1193.8</v>
      </c>
      <c r="G917" s="3">
        <v>1680000</v>
      </c>
      <c r="H917" s="3">
        <f t="shared" si="42"/>
        <v>2600976000</v>
      </c>
      <c r="J917" s="3">
        <v>7240000</v>
      </c>
      <c r="K917" s="3"/>
      <c r="L917" s="3">
        <f t="shared" si="43"/>
        <v>8643112000</v>
      </c>
      <c r="N917" s="4">
        <f t="shared" si="44"/>
        <v>0.69906950181832661</v>
      </c>
    </row>
    <row r="918" spans="1:14" x14ac:dyDescent="0.45">
      <c r="A918" s="2">
        <v>44595</v>
      </c>
      <c r="B918" s="1">
        <v>1591</v>
      </c>
      <c r="D918" s="2">
        <v>44595</v>
      </c>
      <c r="E918" s="1">
        <v>1192.25</v>
      </c>
      <c r="G918" s="3">
        <v>1680000</v>
      </c>
      <c r="H918" s="3">
        <f t="shared" si="42"/>
        <v>2672880000</v>
      </c>
      <c r="J918" s="3">
        <v>7240000</v>
      </c>
      <c r="K918" s="3"/>
      <c r="L918" s="3">
        <f t="shared" si="43"/>
        <v>8631890000</v>
      </c>
      <c r="N918" s="4">
        <f t="shared" si="44"/>
        <v>0.69034823196310424</v>
      </c>
    </row>
    <row r="919" spans="1:14" x14ac:dyDescent="0.45">
      <c r="A919" s="2">
        <v>44594</v>
      </c>
      <c r="B919" s="1">
        <v>1591.5</v>
      </c>
      <c r="D919" s="2">
        <v>44594</v>
      </c>
      <c r="E919" s="1">
        <v>1209.7</v>
      </c>
      <c r="G919" s="3">
        <v>1680000</v>
      </c>
      <c r="H919" s="3">
        <f t="shared" si="42"/>
        <v>2673720000</v>
      </c>
      <c r="J919" s="3">
        <v>7240000</v>
      </c>
      <c r="K919" s="3"/>
      <c r="L919" s="3">
        <f t="shared" si="43"/>
        <v>8758228000</v>
      </c>
      <c r="N919" s="4">
        <f t="shared" si="44"/>
        <v>0.69471906874312928</v>
      </c>
    </row>
    <row r="920" spans="1:14" x14ac:dyDescent="0.45">
      <c r="A920" s="2">
        <v>44593</v>
      </c>
      <c r="B920" s="1">
        <v>1595</v>
      </c>
      <c r="D920" s="2">
        <v>44593</v>
      </c>
      <c r="E920" s="1">
        <v>1228.0999999999999</v>
      </c>
      <c r="G920" s="3">
        <v>1680000</v>
      </c>
      <c r="H920" s="3">
        <f t="shared" si="42"/>
        <v>2679600000</v>
      </c>
      <c r="J920" s="3">
        <v>7240000</v>
      </c>
      <c r="K920" s="3"/>
      <c r="L920" s="3">
        <f t="shared" si="43"/>
        <v>8891444000</v>
      </c>
      <c r="N920" s="4">
        <f t="shared" si="44"/>
        <v>0.69863162833843417</v>
      </c>
    </row>
    <row r="921" spans="1:14" x14ac:dyDescent="0.45">
      <c r="A921" s="2">
        <v>44592</v>
      </c>
      <c r="B921" s="1">
        <v>1494.4</v>
      </c>
      <c r="D921" s="2">
        <v>44592</v>
      </c>
      <c r="E921" s="1">
        <v>1231.55</v>
      </c>
      <c r="G921" s="3">
        <v>1680000</v>
      </c>
      <c r="H921" s="3">
        <f t="shared" si="42"/>
        <v>2510592000</v>
      </c>
      <c r="J921" s="3">
        <v>7240000</v>
      </c>
      <c r="K921" s="3"/>
      <c r="L921" s="3">
        <f t="shared" si="43"/>
        <v>8916422000</v>
      </c>
      <c r="N921" s="4">
        <f t="shared" si="44"/>
        <v>0.71843055431876146</v>
      </c>
    </row>
    <row r="922" spans="1:14" x14ac:dyDescent="0.45">
      <c r="A922" s="2">
        <v>44589</v>
      </c>
      <c r="B922" s="1">
        <v>1510.9</v>
      </c>
      <c r="D922" s="2">
        <v>44589</v>
      </c>
      <c r="E922" s="1">
        <v>1245.7</v>
      </c>
      <c r="G922" s="3">
        <v>1680000</v>
      </c>
      <c r="H922" s="3">
        <f t="shared" si="42"/>
        <v>2538312000</v>
      </c>
      <c r="J922" s="3">
        <v>7240000</v>
      </c>
      <c r="K922" s="3"/>
      <c r="L922" s="3">
        <f t="shared" si="43"/>
        <v>9018868000</v>
      </c>
      <c r="N922" s="4">
        <f t="shared" si="44"/>
        <v>0.71855536637192163</v>
      </c>
    </row>
    <row r="923" spans="1:14" x14ac:dyDescent="0.45">
      <c r="A923" s="2">
        <v>44588</v>
      </c>
      <c r="B923" s="1">
        <v>1500</v>
      </c>
      <c r="D923" s="2">
        <v>44588</v>
      </c>
      <c r="E923" s="1">
        <v>1220.6500000000001</v>
      </c>
      <c r="G923" s="3">
        <v>1680000</v>
      </c>
      <c r="H923" s="3">
        <f t="shared" si="42"/>
        <v>2520000000</v>
      </c>
      <c r="J923" s="3">
        <v>7240000</v>
      </c>
      <c r="K923" s="3"/>
      <c r="L923" s="3">
        <f t="shared" si="43"/>
        <v>8837506000</v>
      </c>
      <c r="N923" s="4">
        <f t="shared" si="44"/>
        <v>0.71485167874284894</v>
      </c>
    </row>
    <row r="924" spans="1:14" x14ac:dyDescent="0.45">
      <c r="A924" s="2">
        <v>44586</v>
      </c>
      <c r="B924" s="1">
        <v>1479.2</v>
      </c>
      <c r="D924" s="2">
        <v>44586</v>
      </c>
      <c r="E924" s="1">
        <v>1217.05</v>
      </c>
      <c r="G924" s="3">
        <v>1680000</v>
      </c>
      <c r="H924" s="3">
        <f t="shared" si="42"/>
        <v>2485056000</v>
      </c>
      <c r="J924" s="3">
        <v>7240000</v>
      </c>
      <c r="K924" s="3"/>
      <c r="L924" s="3">
        <f t="shared" si="43"/>
        <v>8811442000</v>
      </c>
      <c r="N924" s="4">
        <f t="shared" si="44"/>
        <v>0.71797397066223667</v>
      </c>
    </row>
    <row r="925" spans="1:14" x14ac:dyDescent="0.45">
      <c r="A925" s="2">
        <v>44585</v>
      </c>
      <c r="B925" s="1">
        <v>1496.1</v>
      </c>
      <c r="D925" s="2">
        <v>44585</v>
      </c>
      <c r="E925" s="1">
        <v>1252.1500000000001</v>
      </c>
      <c r="G925" s="3">
        <v>1680000</v>
      </c>
      <c r="H925" s="3">
        <f t="shared" si="42"/>
        <v>2513448000</v>
      </c>
      <c r="J925" s="3">
        <v>7240000</v>
      </c>
      <c r="K925" s="3"/>
      <c r="L925" s="3">
        <f t="shared" si="43"/>
        <v>9065566000</v>
      </c>
      <c r="N925" s="4">
        <f t="shared" si="44"/>
        <v>0.72274781298817969</v>
      </c>
    </row>
    <row r="926" spans="1:14" x14ac:dyDescent="0.45">
      <c r="A926" s="2">
        <v>44582</v>
      </c>
      <c r="B926" s="1">
        <v>1531.9</v>
      </c>
      <c r="D926" s="2">
        <v>44582</v>
      </c>
      <c r="E926" s="1">
        <v>1269.5999999999999</v>
      </c>
      <c r="G926" s="3">
        <v>1680000</v>
      </c>
      <c r="H926" s="3">
        <f t="shared" si="42"/>
        <v>2573592000</v>
      </c>
      <c r="J926" s="3">
        <v>7240000</v>
      </c>
      <c r="K926" s="3"/>
      <c r="L926" s="3">
        <f t="shared" si="43"/>
        <v>9191904000</v>
      </c>
      <c r="N926" s="4">
        <f t="shared" si="44"/>
        <v>0.72001535264075867</v>
      </c>
    </row>
    <row r="927" spans="1:14" x14ac:dyDescent="0.45">
      <c r="A927" s="2">
        <v>44581</v>
      </c>
      <c r="B927" s="1">
        <v>1515</v>
      </c>
      <c r="D927" s="2">
        <v>44581</v>
      </c>
      <c r="E927" s="1">
        <v>1257.7</v>
      </c>
      <c r="G927" s="3">
        <v>1680000</v>
      </c>
      <c r="H927" s="3">
        <f t="shared" si="42"/>
        <v>2545200000</v>
      </c>
      <c r="J927" s="3">
        <v>7240000</v>
      </c>
      <c r="K927" s="3"/>
      <c r="L927" s="3">
        <f t="shared" si="43"/>
        <v>9105748000</v>
      </c>
      <c r="N927" s="4">
        <f t="shared" si="44"/>
        <v>0.72048424797172073</v>
      </c>
    </row>
    <row r="928" spans="1:14" x14ac:dyDescent="0.45">
      <c r="A928" s="2">
        <v>44580</v>
      </c>
      <c r="B928" s="1">
        <v>1522.4</v>
      </c>
      <c r="D928" s="2">
        <v>44580</v>
      </c>
      <c r="E928" s="1">
        <v>1246.05</v>
      </c>
      <c r="G928" s="3">
        <v>1680000</v>
      </c>
      <c r="H928" s="3">
        <f t="shared" si="42"/>
        <v>2557632000</v>
      </c>
      <c r="J928" s="3">
        <v>7240000</v>
      </c>
      <c r="K928" s="3"/>
      <c r="L928" s="3">
        <f t="shared" si="43"/>
        <v>9021402000</v>
      </c>
      <c r="N928" s="4">
        <f t="shared" si="44"/>
        <v>0.7164928466772682</v>
      </c>
    </row>
    <row r="929" spans="1:14" x14ac:dyDescent="0.45">
      <c r="A929" s="2">
        <v>44579</v>
      </c>
      <c r="B929" s="1">
        <v>1511.95</v>
      </c>
      <c r="D929" s="2">
        <v>44579</v>
      </c>
      <c r="E929" s="1">
        <v>1261.75</v>
      </c>
      <c r="G929" s="3">
        <v>1680000</v>
      </c>
      <c r="H929" s="3">
        <f t="shared" si="42"/>
        <v>2540076000</v>
      </c>
      <c r="J929" s="3">
        <v>7240000</v>
      </c>
      <c r="K929" s="3"/>
      <c r="L929" s="3">
        <f t="shared" si="43"/>
        <v>9135070000</v>
      </c>
      <c r="N929" s="4">
        <f t="shared" si="44"/>
        <v>0.72194236059493799</v>
      </c>
    </row>
    <row r="930" spans="1:14" x14ac:dyDescent="0.45">
      <c r="A930" s="2">
        <v>44578</v>
      </c>
      <c r="B930" s="1">
        <v>1479.65</v>
      </c>
      <c r="D930" s="2">
        <v>44578</v>
      </c>
      <c r="E930" s="1">
        <v>1275.55</v>
      </c>
      <c r="G930" s="3">
        <v>1680000</v>
      </c>
      <c r="H930" s="3">
        <f t="shared" si="42"/>
        <v>2485812000</v>
      </c>
      <c r="J930" s="3">
        <v>7240000</v>
      </c>
      <c r="K930" s="3"/>
      <c r="L930" s="3">
        <f t="shared" si="43"/>
        <v>9234982000</v>
      </c>
      <c r="N930" s="4">
        <f t="shared" si="44"/>
        <v>0.73082654627805455</v>
      </c>
    </row>
    <row r="931" spans="1:14" x14ac:dyDescent="0.45">
      <c r="A931" s="2">
        <v>44575</v>
      </c>
      <c r="B931" s="1">
        <v>1450</v>
      </c>
      <c r="D931" s="2">
        <v>44575</v>
      </c>
      <c r="E931" s="1">
        <v>1250.0999999999999</v>
      </c>
      <c r="G931" s="3">
        <v>1680000</v>
      </c>
      <c r="H931" s="3">
        <f t="shared" si="42"/>
        <v>2436000000</v>
      </c>
      <c r="J931" s="3">
        <v>7240000</v>
      </c>
      <c r="K931" s="3"/>
      <c r="L931" s="3">
        <f t="shared" si="43"/>
        <v>9050724000</v>
      </c>
      <c r="N931" s="4">
        <f t="shared" si="44"/>
        <v>0.73085026126086716</v>
      </c>
    </row>
    <row r="932" spans="1:14" x14ac:dyDescent="0.45">
      <c r="A932" s="2">
        <v>44574</v>
      </c>
      <c r="B932" s="1">
        <v>1434.5</v>
      </c>
      <c r="D932" s="2">
        <v>44574</v>
      </c>
      <c r="E932" s="1">
        <v>1247.4000000000001</v>
      </c>
      <c r="G932" s="3">
        <v>1680000</v>
      </c>
      <c r="H932" s="3">
        <f t="shared" si="42"/>
        <v>2409960000</v>
      </c>
      <c r="J932" s="3">
        <v>7240000</v>
      </c>
      <c r="K932" s="3"/>
      <c r="L932" s="3">
        <f t="shared" si="43"/>
        <v>9031176000</v>
      </c>
      <c r="N932" s="4">
        <f t="shared" si="44"/>
        <v>0.73315103149357297</v>
      </c>
    </row>
    <row r="933" spans="1:14" x14ac:dyDescent="0.45">
      <c r="A933" s="2">
        <v>44573</v>
      </c>
      <c r="B933" s="1">
        <v>1472.1</v>
      </c>
      <c r="D933" s="2">
        <v>44573</v>
      </c>
      <c r="E933" s="1">
        <v>1264.55</v>
      </c>
      <c r="G933" s="3">
        <v>1680000</v>
      </c>
      <c r="H933" s="3">
        <f t="shared" si="42"/>
        <v>2473128000</v>
      </c>
      <c r="J933" s="3">
        <v>7240000</v>
      </c>
      <c r="K933" s="3"/>
      <c r="L933" s="3">
        <f t="shared" si="43"/>
        <v>9155342000</v>
      </c>
      <c r="N933" s="4">
        <f t="shared" si="44"/>
        <v>0.72987049528024184</v>
      </c>
    </row>
    <row r="934" spans="1:14" x14ac:dyDescent="0.45">
      <c r="A934" s="2">
        <v>44572</v>
      </c>
      <c r="B934" s="1">
        <v>1460</v>
      </c>
      <c r="D934" s="2">
        <v>44572</v>
      </c>
      <c r="E934" s="1">
        <v>1249.5999999999999</v>
      </c>
      <c r="G934" s="3">
        <v>1680000</v>
      </c>
      <c r="H934" s="3">
        <f t="shared" si="42"/>
        <v>2452800000</v>
      </c>
      <c r="J934" s="3">
        <v>7240000</v>
      </c>
      <c r="K934" s="3"/>
      <c r="L934" s="3">
        <f t="shared" si="43"/>
        <v>9047104000</v>
      </c>
      <c r="N934" s="4">
        <f t="shared" si="44"/>
        <v>0.72888561908871607</v>
      </c>
    </row>
    <row r="935" spans="1:14" x14ac:dyDescent="0.45">
      <c r="A935" s="2">
        <v>44571</v>
      </c>
      <c r="B935" s="1">
        <v>1440</v>
      </c>
      <c r="D935" s="2">
        <v>44571</v>
      </c>
      <c r="E935" s="1">
        <v>1242.55</v>
      </c>
      <c r="G935" s="3">
        <v>1680000</v>
      </c>
      <c r="H935" s="3">
        <f t="shared" si="42"/>
        <v>2419200000</v>
      </c>
      <c r="J935" s="3">
        <v>7240000</v>
      </c>
      <c r="K935" s="3"/>
      <c r="L935" s="3">
        <f t="shared" si="43"/>
        <v>8996062000</v>
      </c>
      <c r="N935" s="4">
        <f t="shared" si="44"/>
        <v>0.73108233358107144</v>
      </c>
    </row>
    <row r="936" spans="1:14" x14ac:dyDescent="0.45">
      <c r="A936" s="2">
        <v>44568</v>
      </c>
      <c r="B936" s="1">
        <v>1460</v>
      </c>
      <c r="D936" s="2">
        <v>44568</v>
      </c>
      <c r="E936" s="1">
        <v>1251.4000000000001</v>
      </c>
      <c r="G936" s="3">
        <v>1680000</v>
      </c>
      <c r="H936" s="3">
        <f t="shared" si="42"/>
        <v>2452800000</v>
      </c>
      <c r="J936" s="3">
        <v>7240000</v>
      </c>
      <c r="K936" s="3"/>
      <c r="L936" s="3">
        <f t="shared" si="43"/>
        <v>9060136000</v>
      </c>
      <c r="N936" s="4">
        <f t="shared" si="44"/>
        <v>0.72927558703313067</v>
      </c>
    </row>
    <row r="937" spans="1:14" x14ac:dyDescent="0.45">
      <c r="A937" s="2">
        <v>44567</v>
      </c>
      <c r="B937" s="1">
        <v>1465</v>
      </c>
      <c r="D937" s="2">
        <v>44567</v>
      </c>
      <c r="E937" s="1">
        <v>1243.5999999999999</v>
      </c>
      <c r="G937" s="3">
        <v>1680000</v>
      </c>
      <c r="H937" s="3">
        <f t="shared" si="42"/>
        <v>2461200000</v>
      </c>
      <c r="J937" s="3">
        <v>7240000</v>
      </c>
      <c r="K937" s="3"/>
      <c r="L937" s="3">
        <f t="shared" si="43"/>
        <v>9003664000</v>
      </c>
      <c r="N937" s="4">
        <f t="shared" si="44"/>
        <v>0.7266446193460796</v>
      </c>
    </row>
    <row r="938" spans="1:14" x14ac:dyDescent="0.45">
      <c r="A938" s="2">
        <v>44566</v>
      </c>
      <c r="B938" s="1">
        <v>1513.65</v>
      </c>
      <c r="D938" s="2">
        <v>44566</v>
      </c>
      <c r="E938" s="1">
        <v>1228.5999999999999</v>
      </c>
      <c r="G938" s="3">
        <v>1680000</v>
      </c>
      <c r="H938" s="3">
        <f t="shared" si="42"/>
        <v>2542932000</v>
      </c>
      <c r="J938" s="3">
        <v>7240000</v>
      </c>
      <c r="K938" s="3"/>
      <c r="L938" s="3">
        <f t="shared" si="43"/>
        <v>8895064000</v>
      </c>
      <c r="N938" s="4">
        <f t="shared" si="44"/>
        <v>0.71411875170319172</v>
      </c>
    </row>
    <row r="939" spans="1:14" x14ac:dyDescent="0.45">
      <c r="A939" s="2">
        <v>44565</v>
      </c>
      <c r="B939" s="1">
        <v>1498.5</v>
      </c>
      <c r="D939" s="2">
        <v>44565</v>
      </c>
      <c r="E939" s="1">
        <v>1230.8499999999999</v>
      </c>
      <c r="G939" s="3">
        <v>1680000</v>
      </c>
      <c r="H939" s="3">
        <f t="shared" si="42"/>
        <v>2517480000</v>
      </c>
      <c r="J939" s="3">
        <v>7240000</v>
      </c>
      <c r="K939" s="3"/>
      <c r="L939" s="3">
        <f t="shared" si="43"/>
        <v>8911354000</v>
      </c>
      <c r="N939" s="4">
        <f t="shared" si="44"/>
        <v>0.71749747569224609</v>
      </c>
    </row>
    <row r="940" spans="1:14" x14ac:dyDescent="0.45">
      <c r="A940" s="2">
        <v>44564</v>
      </c>
      <c r="B940" s="1">
        <v>1535</v>
      </c>
      <c r="D940" s="2">
        <v>44564</v>
      </c>
      <c r="E940" s="1">
        <v>1237.95</v>
      </c>
      <c r="G940" s="3">
        <v>1680000</v>
      </c>
      <c r="H940" s="3">
        <f t="shared" si="42"/>
        <v>2578800000</v>
      </c>
      <c r="J940" s="3">
        <v>7240000</v>
      </c>
      <c r="K940" s="3"/>
      <c r="L940" s="3">
        <f t="shared" si="43"/>
        <v>8962758000</v>
      </c>
      <c r="N940" s="4">
        <f t="shared" si="44"/>
        <v>0.71227606502373486</v>
      </c>
    </row>
    <row r="941" spans="1:14" x14ac:dyDescent="0.45">
      <c r="A941" s="2">
        <v>44561</v>
      </c>
      <c r="B941" s="1">
        <v>1520</v>
      </c>
      <c r="D941" s="2">
        <v>44561</v>
      </c>
      <c r="E941" s="1">
        <v>1215.4000000000001</v>
      </c>
      <c r="G941" s="3">
        <v>1680000</v>
      </c>
      <c r="H941" s="3">
        <f t="shared" si="42"/>
        <v>2553600000</v>
      </c>
      <c r="J941" s="3">
        <v>7240000</v>
      </c>
      <c r="K941" s="3"/>
      <c r="L941" s="3">
        <f t="shared" si="43"/>
        <v>8799496000</v>
      </c>
      <c r="N941" s="4">
        <f t="shared" si="44"/>
        <v>0.70980156136215067</v>
      </c>
    </row>
    <row r="942" spans="1:14" x14ac:dyDescent="0.45">
      <c r="A942" s="2">
        <v>44560</v>
      </c>
      <c r="B942" s="1">
        <v>1519</v>
      </c>
      <c r="D942" s="2">
        <v>44560</v>
      </c>
      <c r="E942" s="1">
        <v>1212.3499999999999</v>
      </c>
      <c r="G942" s="3">
        <v>1680000</v>
      </c>
      <c r="H942" s="3">
        <f t="shared" si="42"/>
        <v>2551920000</v>
      </c>
      <c r="J942" s="3">
        <v>7240000</v>
      </c>
      <c r="K942" s="3"/>
      <c r="L942" s="3">
        <f t="shared" si="43"/>
        <v>8777414000</v>
      </c>
      <c r="N942" s="4">
        <f t="shared" si="44"/>
        <v>0.70926288767967427</v>
      </c>
    </row>
    <row r="943" spans="1:14" x14ac:dyDescent="0.45">
      <c r="A943" s="2">
        <v>44559</v>
      </c>
      <c r="B943" s="1">
        <v>1500</v>
      </c>
      <c r="D943" s="2">
        <v>44559</v>
      </c>
      <c r="E943" s="1">
        <v>1229.5</v>
      </c>
      <c r="G943" s="3">
        <v>1680000</v>
      </c>
      <c r="H943" s="3">
        <f t="shared" si="42"/>
        <v>2520000000</v>
      </c>
      <c r="J943" s="3">
        <v>7240000</v>
      </c>
      <c r="K943" s="3"/>
      <c r="L943" s="3">
        <f t="shared" si="43"/>
        <v>8901580000</v>
      </c>
      <c r="N943" s="4">
        <f t="shared" si="44"/>
        <v>0.71690419004266659</v>
      </c>
    </row>
    <row r="944" spans="1:14" x14ac:dyDescent="0.45">
      <c r="A944" s="2">
        <v>44558</v>
      </c>
      <c r="B944" s="1">
        <v>1560</v>
      </c>
      <c r="D944" s="2">
        <v>44558</v>
      </c>
      <c r="E944" s="1">
        <v>1203.25</v>
      </c>
      <c r="G944" s="3">
        <v>1680000</v>
      </c>
      <c r="H944" s="3">
        <f t="shared" si="42"/>
        <v>2620800000</v>
      </c>
      <c r="J944" s="3">
        <v>7240000</v>
      </c>
      <c r="K944" s="3"/>
      <c r="L944" s="3">
        <f t="shared" si="43"/>
        <v>8711530000</v>
      </c>
      <c r="N944" s="4">
        <f t="shared" si="44"/>
        <v>0.69915732368481764</v>
      </c>
    </row>
    <row r="945" spans="1:14" x14ac:dyDescent="0.45">
      <c r="A945" s="2">
        <v>44557</v>
      </c>
      <c r="B945" s="1">
        <v>1569.45</v>
      </c>
      <c r="D945" s="2">
        <v>44557</v>
      </c>
      <c r="E945" s="1">
        <v>1202.55</v>
      </c>
      <c r="G945" s="3">
        <v>1680000</v>
      </c>
      <c r="H945" s="3">
        <f t="shared" si="42"/>
        <v>2636676000</v>
      </c>
      <c r="J945" s="3">
        <v>7240000</v>
      </c>
      <c r="K945" s="3"/>
      <c r="L945" s="3">
        <f t="shared" si="43"/>
        <v>8706462000</v>
      </c>
      <c r="N945" s="4">
        <f t="shared" si="44"/>
        <v>0.69715873106664916</v>
      </c>
    </row>
    <row r="946" spans="1:14" x14ac:dyDescent="0.45">
      <c r="A946" s="2">
        <v>44554</v>
      </c>
      <c r="B946" s="1">
        <v>1521</v>
      </c>
      <c r="D946" s="2">
        <v>44554</v>
      </c>
      <c r="E946" s="1">
        <v>1197.2</v>
      </c>
      <c r="G946" s="3">
        <v>1680000</v>
      </c>
      <c r="H946" s="3">
        <f t="shared" si="42"/>
        <v>2555280000</v>
      </c>
      <c r="J946" s="3">
        <v>7240000</v>
      </c>
      <c r="K946" s="3"/>
      <c r="L946" s="3">
        <f t="shared" si="43"/>
        <v>8667728000</v>
      </c>
      <c r="N946" s="4">
        <f t="shared" si="44"/>
        <v>0.70519610213887651</v>
      </c>
    </row>
    <row r="947" spans="1:14" x14ac:dyDescent="0.45">
      <c r="A947" s="2">
        <v>44553</v>
      </c>
      <c r="B947" s="1">
        <v>1550</v>
      </c>
      <c r="D947" s="2">
        <v>44553</v>
      </c>
      <c r="E947" s="1">
        <v>1202.0999999999999</v>
      </c>
      <c r="G947" s="3">
        <v>1680000</v>
      </c>
      <c r="H947" s="3">
        <f t="shared" si="42"/>
        <v>2604000000</v>
      </c>
      <c r="J947" s="3">
        <v>7240000</v>
      </c>
      <c r="K947" s="3"/>
      <c r="L947" s="3">
        <f t="shared" si="43"/>
        <v>8703204000</v>
      </c>
      <c r="N947" s="4">
        <f t="shared" si="44"/>
        <v>0.70079984336802859</v>
      </c>
    </row>
    <row r="948" spans="1:14" x14ac:dyDescent="0.45">
      <c r="A948" s="2">
        <v>44552</v>
      </c>
      <c r="B948" s="1">
        <v>1590</v>
      </c>
      <c r="D948" s="2">
        <v>44552</v>
      </c>
      <c r="E948" s="1">
        <v>1206.7</v>
      </c>
      <c r="G948" s="3">
        <v>1680000</v>
      </c>
      <c r="H948" s="3">
        <f t="shared" si="42"/>
        <v>2671200000</v>
      </c>
      <c r="J948" s="3">
        <v>7240000</v>
      </c>
      <c r="K948" s="3"/>
      <c r="L948" s="3">
        <f t="shared" si="43"/>
        <v>8736508000</v>
      </c>
      <c r="N948" s="4">
        <f t="shared" si="44"/>
        <v>0.69424854873365882</v>
      </c>
    </row>
    <row r="949" spans="1:14" x14ac:dyDescent="0.45">
      <c r="A949" s="2">
        <v>44551</v>
      </c>
      <c r="B949" s="1">
        <v>1597.9</v>
      </c>
      <c r="D949" s="2">
        <v>44551</v>
      </c>
      <c r="E949" s="1">
        <v>1206.3499999999999</v>
      </c>
      <c r="G949" s="3">
        <v>1680000</v>
      </c>
      <c r="H949" s="3">
        <f t="shared" si="42"/>
        <v>2684472000</v>
      </c>
      <c r="J949" s="3">
        <v>7240000</v>
      </c>
      <c r="K949" s="3"/>
      <c r="L949" s="3">
        <f t="shared" si="43"/>
        <v>8733974000</v>
      </c>
      <c r="N949" s="4">
        <f t="shared" si="44"/>
        <v>0.69264025745897573</v>
      </c>
    </row>
    <row r="950" spans="1:14" x14ac:dyDescent="0.45">
      <c r="A950" s="2">
        <v>44550</v>
      </c>
      <c r="B950" s="1">
        <v>1525</v>
      </c>
      <c r="D950" s="2">
        <v>44550</v>
      </c>
      <c r="E950" s="1">
        <v>1193.3499999999999</v>
      </c>
      <c r="G950" s="3">
        <v>1680000</v>
      </c>
      <c r="H950" s="3">
        <f t="shared" si="42"/>
        <v>2562000000</v>
      </c>
      <c r="J950" s="3">
        <v>7240000</v>
      </c>
      <c r="K950" s="3"/>
      <c r="L950" s="3">
        <f t="shared" si="43"/>
        <v>8639854000</v>
      </c>
      <c r="N950" s="4">
        <f t="shared" si="44"/>
        <v>0.70346721136722912</v>
      </c>
    </row>
    <row r="951" spans="1:14" x14ac:dyDescent="0.45">
      <c r="A951" s="2">
        <v>44547</v>
      </c>
      <c r="B951" s="1">
        <v>1490</v>
      </c>
      <c r="D951" s="2">
        <v>44547</v>
      </c>
      <c r="E951" s="1">
        <v>1249.6500000000001</v>
      </c>
      <c r="G951" s="3">
        <v>1680000</v>
      </c>
      <c r="H951" s="3">
        <f t="shared" si="42"/>
        <v>2503200000</v>
      </c>
      <c r="J951" s="3">
        <v>7240000</v>
      </c>
      <c r="K951" s="3"/>
      <c r="L951" s="3">
        <f t="shared" si="43"/>
        <v>9047466000</v>
      </c>
      <c r="N951" s="4">
        <f t="shared" si="44"/>
        <v>0.72332584615405016</v>
      </c>
    </row>
    <row r="952" spans="1:14" x14ac:dyDescent="0.45">
      <c r="A952" s="2">
        <v>44546</v>
      </c>
      <c r="B952" s="1">
        <v>1540</v>
      </c>
      <c r="D952" s="2">
        <v>44546</v>
      </c>
      <c r="E952" s="1">
        <v>1289.8</v>
      </c>
      <c r="G952" s="3">
        <v>1680000</v>
      </c>
      <c r="H952" s="3">
        <f t="shared" si="42"/>
        <v>2587200000</v>
      </c>
      <c r="J952" s="3">
        <v>7240000</v>
      </c>
      <c r="K952" s="3"/>
      <c r="L952" s="3">
        <f t="shared" si="43"/>
        <v>9338152000</v>
      </c>
      <c r="N952" s="4">
        <f t="shared" si="44"/>
        <v>0.72294304055020731</v>
      </c>
    </row>
    <row r="953" spans="1:14" x14ac:dyDescent="0.45">
      <c r="A953" s="2">
        <v>44545</v>
      </c>
      <c r="B953" s="1">
        <v>1563</v>
      </c>
      <c r="D953" s="2">
        <v>44545</v>
      </c>
      <c r="E953" s="1">
        <v>1306.8</v>
      </c>
      <c r="G953" s="3">
        <v>1680000</v>
      </c>
      <c r="H953" s="3">
        <f t="shared" si="42"/>
        <v>2625840000</v>
      </c>
      <c r="J953" s="3">
        <v>7240000</v>
      </c>
      <c r="K953" s="3"/>
      <c r="L953" s="3">
        <f t="shared" si="43"/>
        <v>9461232000</v>
      </c>
      <c r="N953" s="4">
        <f t="shared" si="44"/>
        <v>0.72246320563748989</v>
      </c>
    </row>
    <row r="954" spans="1:14" x14ac:dyDescent="0.45">
      <c r="A954" s="2">
        <v>44544</v>
      </c>
      <c r="B954" s="1">
        <v>1572</v>
      </c>
      <c r="D954" s="2">
        <v>44544</v>
      </c>
      <c r="E954" s="1">
        <v>1283.3</v>
      </c>
      <c r="G954" s="3">
        <v>1680000</v>
      </c>
      <c r="H954" s="3">
        <f t="shared" si="42"/>
        <v>2640960000</v>
      </c>
      <c r="J954" s="3">
        <v>7240000</v>
      </c>
      <c r="K954" s="3"/>
      <c r="L954" s="3">
        <f t="shared" si="43"/>
        <v>9291092000</v>
      </c>
      <c r="N954" s="4">
        <f t="shared" si="44"/>
        <v>0.71575354113380862</v>
      </c>
    </row>
    <row r="955" spans="1:14" x14ac:dyDescent="0.45">
      <c r="A955" s="2">
        <v>44543</v>
      </c>
      <c r="B955" s="1">
        <v>1558.45</v>
      </c>
      <c r="D955" s="2">
        <v>44543</v>
      </c>
      <c r="E955" s="1">
        <v>1269.9000000000001</v>
      </c>
      <c r="G955" s="3">
        <v>1680000</v>
      </c>
      <c r="H955" s="3">
        <f t="shared" si="42"/>
        <v>2618196000</v>
      </c>
      <c r="J955" s="3">
        <v>7240000</v>
      </c>
      <c r="K955" s="3"/>
      <c r="L955" s="3">
        <f t="shared" si="43"/>
        <v>9194076000</v>
      </c>
      <c r="N955" s="4">
        <f t="shared" si="44"/>
        <v>0.71523011121509117</v>
      </c>
    </row>
    <row r="956" spans="1:14" x14ac:dyDescent="0.45">
      <c r="A956" s="2">
        <v>44540</v>
      </c>
      <c r="B956" s="1">
        <v>1595.8</v>
      </c>
      <c r="D956" s="2">
        <v>44540</v>
      </c>
      <c r="E956" s="1">
        <v>1282.9000000000001</v>
      </c>
      <c r="G956" s="3">
        <v>1680000</v>
      </c>
      <c r="H956" s="3">
        <f t="shared" si="42"/>
        <v>2680944000</v>
      </c>
      <c r="J956" s="3">
        <v>7240000</v>
      </c>
      <c r="K956" s="3"/>
      <c r="L956" s="3">
        <f t="shared" si="43"/>
        <v>9288196000</v>
      </c>
      <c r="N956" s="4">
        <f t="shared" si="44"/>
        <v>0.71136009619090723</v>
      </c>
    </row>
    <row r="957" spans="1:14" x14ac:dyDescent="0.45">
      <c r="A957" s="2">
        <v>44539</v>
      </c>
      <c r="B957" s="1">
        <v>1593.9</v>
      </c>
      <c r="D957" s="2">
        <v>44539</v>
      </c>
      <c r="E957" s="1">
        <v>1275.8</v>
      </c>
      <c r="G957" s="3">
        <v>1680000</v>
      </c>
      <c r="H957" s="3">
        <f t="shared" si="42"/>
        <v>2677752000</v>
      </c>
      <c r="J957" s="3">
        <v>7240000</v>
      </c>
      <c r="K957" s="3"/>
      <c r="L957" s="3">
        <f t="shared" si="43"/>
        <v>9236792000</v>
      </c>
      <c r="N957" s="4">
        <f t="shared" si="44"/>
        <v>0.71009935051043693</v>
      </c>
    </row>
    <row r="958" spans="1:14" x14ac:dyDescent="0.45">
      <c r="A958" s="2">
        <v>44538</v>
      </c>
      <c r="B958" s="1">
        <v>1585.5</v>
      </c>
      <c r="D958" s="2">
        <v>44538</v>
      </c>
      <c r="E958" s="1">
        <v>1259.8499999999999</v>
      </c>
      <c r="G958" s="3">
        <v>1680000</v>
      </c>
      <c r="H958" s="3">
        <f t="shared" si="42"/>
        <v>2663640000</v>
      </c>
      <c r="J958" s="3">
        <v>7240000</v>
      </c>
      <c r="K958" s="3"/>
      <c r="L958" s="3">
        <f t="shared" si="43"/>
        <v>9121314000</v>
      </c>
      <c r="N958" s="4">
        <f t="shared" si="44"/>
        <v>0.70797628499578025</v>
      </c>
    </row>
    <row r="959" spans="1:14" x14ac:dyDescent="0.45">
      <c r="A959" s="2">
        <v>44537</v>
      </c>
      <c r="B959" s="1">
        <v>1607.9</v>
      </c>
      <c r="D959" s="2">
        <v>44537</v>
      </c>
      <c r="E959" s="1">
        <v>1240.2</v>
      </c>
      <c r="G959" s="3">
        <v>1680000</v>
      </c>
      <c r="H959" s="3">
        <f t="shared" si="42"/>
        <v>2701272000</v>
      </c>
      <c r="J959" s="3">
        <v>7240000</v>
      </c>
      <c r="K959" s="3"/>
      <c r="L959" s="3">
        <f t="shared" si="43"/>
        <v>8979048000</v>
      </c>
      <c r="N959" s="4">
        <f t="shared" si="44"/>
        <v>0.69915830720584182</v>
      </c>
    </row>
    <row r="960" spans="1:14" x14ac:dyDescent="0.45">
      <c r="A960" s="2">
        <v>44536</v>
      </c>
      <c r="B960" s="1">
        <v>1627.4</v>
      </c>
      <c r="D960" s="2">
        <v>44536</v>
      </c>
      <c r="E960" s="1">
        <v>1251.3</v>
      </c>
      <c r="G960" s="3">
        <v>1680000</v>
      </c>
      <c r="H960" s="3">
        <f t="shared" si="42"/>
        <v>2734032000</v>
      </c>
      <c r="J960" s="3">
        <v>7240000</v>
      </c>
      <c r="K960" s="3"/>
      <c r="L960" s="3">
        <f t="shared" si="43"/>
        <v>9059412000</v>
      </c>
      <c r="N960" s="4">
        <f t="shared" si="44"/>
        <v>0.69821087726223285</v>
      </c>
    </row>
    <row r="961" spans="1:14" x14ac:dyDescent="0.45">
      <c r="A961" s="2">
        <v>44533</v>
      </c>
      <c r="B961" s="1">
        <v>1642.2</v>
      </c>
      <c r="D961" s="2">
        <v>44533</v>
      </c>
      <c r="E961" s="1">
        <v>1257.05</v>
      </c>
      <c r="G961" s="3">
        <v>1680000</v>
      </c>
      <c r="H961" s="3">
        <f t="shared" si="42"/>
        <v>2758896000</v>
      </c>
      <c r="J961" s="3">
        <v>7240000</v>
      </c>
      <c r="K961" s="3"/>
      <c r="L961" s="3">
        <f t="shared" si="43"/>
        <v>9101042000</v>
      </c>
      <c r="N961" s="4">
        <f t="shared" si="44"/>
        <v>0.6968593266573212</v>
      </c>
    </row>
    <row r="962" spans="1:14" x14ac:dyDescent="0.45">
      <c r="A962" s="2">
        <v>44532</v>
      </c>
      <c r="B962" s="1">
        <v>1634.7</v>
      </c>
      <c r="D962" s="2">
        <v>44532</v>
      </c>
      <c r="E962" s="1">
        <v>1272.7</v>
      </c>
      <c r="G962" s="3">
        <v>1680000</v>
      </c>
      <c r="H962" s="3">
        <f t="shared" si="42"/>
        <v>2746296000</v>
      </c>
      <c r="J962" s="3">
        <v>7240000</v>
      </c>
      <c r="K962" s="3"/>
      <c r="L962" s="3">
        <f t="shared" si="43"/>
        <v>9214348000</v>
      </c>
      <c r="N962" s="4">
        <f t="shared" si="44"/>
        <v>0.70195438678895128</v>
      </c>
    </row>
    <row r="963" spans="1:14" x14ac:dyDescent="0.45">
      <c r="A963" s="2">
        <v>44531</v>
      </c>
      <c r="B963" s="1">
        <v>1684</v>
      </c>
      <c r="D963" s="2">
        <v>44531</v>
      </c>
      <c r="E963" s="1">
        <v>1252.7</v>
      </c>
      <c r="G963" s="3">
        <v>1680000</v>
      </c>
      <c r="H963" s="3">
        <f t="shared" ref="H963:H1026" si="45">+G963*B963</f>
        <v>2829120000</v>
      </c>
      <c r="J963" s="3">
        <v>7240000</v>
      </c>
      <c r="K963" s="3"/>
      <c r="L963" s="3">
        <f t="shared" ref="L963:L1026" si="46">+(J963*E963)</f>
        <v>9069548000</v>
      </c>
      <c r="N963" s="4">
        <f t="shared" ref="N963:N1026" si="47">1- (H963/L963)</f>
        <v>0.68806383735992138</v>
      </c>
    </row>
    <row r="964" spans="1:14" x14ac:dyDescent="0.45">
      <c r="A964" s="2">
        <v>44530</v>
      </c>
      <c r="B964" s="1">
        <v>1659</v>
      </c>
      <c r="D964" s="2">
        <v>44530</v>
      </c>
      <c r="E964" s="1">
        <v>1238.5</v>
      </c>
      <c r="G964" s="3">
        <v>1680000</v>
      </c>
      <c r="H964" s="3">
        <f t="shared" si="45"/>
        <v>2787120000</v>
      </c>
      <c r="J964" s="3">
        <v>7240000</v>
      </c>
      <c r="K964" s="3"/>
      <c r="L964" s="3">
        <f t="shared" si="46"/>
        <v>8966740000</v>
      </c>
      <c r="N964" s="4">
        <f t="shared" si="47"/>
        <v>0.68917131532753262</v>
      </c>
    </row>
    <row r="965" spans="1:14" x14ac:dyDescent="0.45">
      <c r="A965" s="2">
        <v>44529</v>
      </c>
      <c r="B965" s="1">
        <v>1677</v>
      </c>
      <c r="D965" s="2">
        <v>44529</v>
      </c>
      <c r="E965" s="1">
        <v>1227.5</v>
      </c>
      <c r="G965" s="3">
        <v>1680000</v>
      </c>
      <c r="H965" s="3">
        <f t="shared" si="45"/>
        <v>2817360000</v>
      </c>
      <c r="J965" s="3">
        <v>7240000</v>
      </c>
      <c r="K965" s="3"/>
      <c r="L965" s="3">
        <f t="shared" si="46"/>
        <v>8887100000</v>
      </c>
      <c r="N965" s="4">
        <f t="shared" si="47"/>
        <v>0.68298320036907434</v>
      </c>
    </row>
    <row r="966" spans="1:14" x14ac:dyDescent="0.45">
      <c r="A966" s="2">
        <v>44526</v>
      </c>
      <c r="B966" s="1">
        <v>1682.65</v>
      </c>
      <c r="D966" s="2">
        <v>44526</v>
      </c>
      <c r="E966" s="1">
        <v>1253.9000000000001</v>
      </c>
      <c r="G966" s="3">
        <v>1680000</v>
      </c>
      <c r="H966" s="3">
        <f t="shared" si="45"/>
        <v>2826852000</v>
      </c>
      <c r="J966" s="3">
        <v>7240000</v>
      </c>
      <c r="K966" s="3"/>
      <c r="L966" s="3">
        <f t="shared" si="46"/>
        <v>9078236000</v>
      </c>
      <c r="N966" s="4">
        <f t="shared" si="47"/>
        <v>0.68861219294144815</v>
      </c>
    </row>
    <row r="967" spans="1:14" x14ac:dyDescent="0.45">
      <c r="A967" s="2">
        <v>44525</v>
      </c>
      <c r="B967" s="1">
        <v>1641</v>
      </c>
      <c r="D967" s="2">
        <v>44525</v>
      </c>
      <c r="E967" s="1">
        <v>1279.6500000000001</v>
      </c>
      <c r="G967" s="3">
        <v>1680000</v>
      </c>
      <c r="H967" s="3">
        <f t="shared" si="45"/>
        <v>2756880000</v>
      </c>
      <c r="J967" s="3">
        <v>7240000</v>
      </c>
      <c r="K967" s="3"/>
      <c r="L967" s="3">
        <f t="shared" si="46"/>
        <v>9264666000</v>
      </c>
      <c r="N967" s="4">
        <f t="shared" si="47"/>
        <v>0.70243071903509535</v>
      </c>
    </row>
    <row r="968" spans="1:14" x14ac:dyDescent="0.45">
      <c r="A968" s="2">
        <v>44524</v>
      </c>
      <c r="B968" s="1">
        <v>1638.2</v>
      </c>
      <c r="D968" s="2">
        <v>44524</v>
      </c>
      <c r="E968" s="1">
        <v>1264.55</v>
      </c>
      <c r="G968" s="3">
        <v>1680000</v>
      </c>
      <c r="H968" s="3">
        <f t="shared" si="45"/>
        <v>2752176000</v>
      </c>
      <c r="J968" s="3">
        <v>7240000</v>
      </c>
      <c r="K968" s="3"/>
      <c r="L968" s="3">
        <f t="shared" si="46"/>
        <v>9155342000</v>
      </c>
      <c r="N968" s="4">
        <f t="shared" si="47"/>
        <v>0.69939124065490943</v>
      </c>
    </row>
    <row r="969" spans="1:14" x14ac:dyDescent="0.45">
      <c r="A969" s="2">
        <v>44523</v>
      </c>
      <c r="B969" s="1">
        <v>1668.95</v>
      </c>
      <c r="D969" s="2">
        <v>44523</v>
      </c>
      <c r="E969" s="1">
        <v>1254.0999999999999</v>
      </c>
      <c r="G969" s="3">
        <v>1680000</v>
      </c>
      <c r="H969" s="3">
        <f t="shared" si="45"/>
        <v>2803836000</v>
      </c>
      <c r="J969" s="3">
        <v>7240000</v>
      </c>
      <c r="K969" s="3"/>
      <c r="L969" s="3">
        <f t="shared" si="46"/>
        <v>9079684000</v>
      </c>
      <c r="N969" s="4">
        <f t="shared" si="47"/>
        <v>0.69119674208926218</v>
      </c>
    </row>
    <row r="970" spans="1:14" x14ac:dyDescent="0.45">
      <c r="A970" s="2">
        <v>44522</v>
      </c>
      <c r="B970" s="1">
        <v>1672.75</v>
      </c>
      <c r="D970" s="2">
        <v>44522</v>
      </c>
      <c r="E970" s="1">
        <v>1212.25</v>
      </c>
      <c r="G970" s="3">
        <v>1680000</v>
      </c>
      <c r="H970" s="3">
        <f t="shared" si="45"/>
        <v>2810220000</v>
      </c>
      <c r="J970" s="3">
        <v>7240000</v>
      </c>
      <c r="K970" s="3"/>
      <c r="L970" s="3">
        <f t="shared" si="46"/>
        <v>8776690000</v>
      </c>
      <c r="N970" s="4">
        <f t="shared" si="47"/>
        <v>0.67980867502441122</v>
      </c>
    </row>
    <row r="971" spans="1:14" x14ac:dyDescent="0.45">
      <c r="A971" s="2">
        <v>44518</v>
      </c>
      <c r="B971" s="1">
        <v>1680</v>
      </c>
      <c r="D971" s="2">
        <v>44518</v>
      </c>
      <c r="E971" s="1">
        <v>1224.3</v>
      </c>
      <c r="G971" s="3">
        <v>1680000</v>
      </c>
      <c r="H971" s="3">
        <f t="shared" si="45"/>
        <v>2822400000</v>
      </c>
      <c r="J971" s="3">
        <v>7240000</v>
      </c>
      <c r="K971" s="3"/>
      <c r="L971" s="3">
        <f t="shared" si="46"/>
        <v>8863932000</v>
      </c>
      <c r="N971" s="4">
        <f t="shared" si="47"/>
        <v>0.68158600494678878</v>
      </c>
    </row>
    <row r="972" spans="1:14" x14ac:dyDescent="0.45">
      <c r="A972" s="2">
        <v>44517</v>
      </c>
      <c r="B972" s="1">
        <v>1673.3</v>
      </c>
      <c r="D972" s="2">
        <v>44517</v>
      </c>
      <c r="E972" s="1">
        <v>1226.25</v>
      </c>
      <c r="G972" s="3">
        <v>1680000</v>
      </c>
      <c r="H972" s="3">
        <f t="shared" si="45"/>
        <v>2811144000</v>
      </c>
      <c r="J972" s="3">
        <v>7240000</v>
      </c>
      <c r="K972" s="3"/>
      <c r="L972" s="3">
        <f t="shared" si="46"/>
        <v>8878050000</v>
      </c>
      <c r="N972" s="4">
        <f t="shared" si="47"/>
        <v>0.68336019734063225</v>
      </c>
    </row>
    <row r="973" spans="1:14" x14ac:dyDescent="0.45">
      <c r="A973" s="2">
        <v>44516</v>
      </c>
      <c r="B973" s="1">
        <v>1678.95</v>
      </c>
      <c r="D973" s="2">
        <v>44516</v>
      </c>
      <c r="E973" s="1">
        <v>1204.45</v>
      </c>
      <c r="G973" s="3">
        <v>1680000</v>
      </c>
      <c r="H973" s="3">
        <f t="shared" si="45"/>
        <v>2820636000</v>
      </c>
      <c r="J973" s="3">
        <v>7240000</v>
      </c>
      <c r="K973" s="3"/>
      <c r="L973" s="3">
        <f t="shared" si="46"/>
        <v>8720218000</v>
      </c>
      <c r="N973" s="4">
        <f t="shared" si="47"/>
        <v>0.67654065529095719</v>
      </c>
    </row>
    <row r="974" spans="1:14" x14ac:dyDescent="0.45">
      <c r="A974" s="2">
        <v>44515</v>
      </c>
      <c r="B974" s="1">
        <v>1630</v>
      </c>
      <c r="D974" s="2">
        <v>44515</v>
      </c>
      <c r="E974" s="1">
        <v>1241.7</v>
      </c>
      <c r="G974" s="3">
        <v>1680000</v>
      </c>
      <c r="H974" s="3">
        <f t="shared" si="45"/>
        <v>2738400000</v>
      </c>
      <c r="J974" s="3">
        <v>7240000</v>
      </c>
      <c r="K974" s="3"/>
      <c r="L974" s="3">
        <f t="shared" si="46"/>
        <v>8989908000</v>
      </c>
      <c r="N974" s="4">
        <f t="shared" si="47"/>
        <v>0.69539176596690422</v>
      </c>
    </row>
    <row r="975" spans="1:14" x14ac:dyDescent="0.45">
      <c r="A975" s="2">
        <v>44512</v>
      </c>
      <c r="B975" s="1">
        <v>1648.35</v>
      </c>
      <c r="D975" s="2">
        <v>44512</v>
      </c>
      <c r="E975" s="1">
        <v>1268</v>
      </c>
      <c r="G975" s="3">
        <v>1680000</v>
      </c>
      <c r="H975" s="3">
        <f t="shared" si="45"/>
        <v>2769228000</v>
      </c>
      <c r="J975" s="3">
        <v>7240000</v>
      </c>
      <c r="K975" s="3"/>
      <c r="L975" s="3">
        <f t="shared" si="46"/>
        <v>9180320000</v>
      </c>
      <c r="N975" s="4">
        <f t="shared" si="47"/>
        <v>0.69835169144430698</v>
      </c>
    </row>
    <row r="976" spans="1:14" x14ac:dyDescent="0.45">
      <c r="A976" s="2">
        <v>44511</v>
      </c>
      <c r="B976" s="1">
        <v>1649.95</v>
      </c>
      <c r="D976" s="2">
        <v>44511</v>
      </c>
      <c r="E976" s="1">
        <v>1314.4</v>
      </c>
      <c r="G976" s="3">
        <v>1680000</v>
      </c>
      <c r="H976" s="3">
        <f t="shared" si="45"/>
        <v>2771916000</v>
      </c>
      <c r="J976" s="3">
        <v>7240000</v>
      </c>
      <c r="K976" s="3"/>
      <c r="L976" s="3">
        <f t="shared" si="46"/>
        <v>9516256000</v>
      </c>
      <c r="N976" s="4">
        <f t="shared" si="47"/>
        <v>0.70871779826015602</v>
      </c>
    </row>
    <row r="977" spans="1:14" x14ac:dyDescent="0.45">
      <c r="A977" s="2">
        <v>44510</v>
      </c>
      <c r="B977" s="1">
        <v>1650</v>
      </c>
      <c r="D977" s="2">
        <v>44510</v>
      </c>
      <c r="E977" s="1">
        <v>1359.95</v>
      </c>
      <c r="G977" s="3">
        <v>1680000</v>
      </c>
      <c r="H977" s="3">
        <f t="shared" si="45"/>
        <v>2772000000</v>
      </c>
      <c r="J977" s="3">
        <v>7240000</v>
      </c>
      <c r="K977" s="3"/>
      <c r="L977" s="3">
        <f t="shared" si="46"/>
        <v>9846038000</v>
      </c>
      <c r="N977" s="4">
        <f t="shared" si="47"/>
        <v>0.71846543756991399</v>
      </c>
    </row>
    <row r="978" spans="1:14" x14ac:dyDescent="0.45">
      <c r="A978" s="2">
        <v>44509</v>
      </c>
      <c r="B978" s="1">
        <v>1655.9</v>
      </c>
      <c r="D978" s="2">
        <v>44509</v>
      </c>
      <c r="E978" s="1">
        <v>1315.35</v>
      </c>
      <c r="G978" s="3">
        <v>1680000</v>
      </c>
      <c r="H978" s="3">
        <f t="shared" si="45"/>
        <v>2781912000</v>
      </c>
      <c r="J978" s="3">
        <v>7240000</v>
      </c>
      <c r="K978" s="3"/>
      <c r="L978" s="3">
        <f t="shared" si="46"/>
        <v>9523134000</v>
      </c>
      <c r="N978" s="4">
        <f t="shared" si="47"/>
        <v>0.7078785198234111</v>
      </c>
    </row>
    <row r="979" spans="1:14" x14ac:dyDescent="0.45">
      <c r="A979" s="2">
        <v>44508</v>
      </c>
      <c r="B979" s="1">
        <v>1644.6</v>
      </c>
      <c r="D979" s="2">
        <v>44508</v>
      </c>
      <c r="E979" s="1">
        <v>1323.45</v>
      </c>
      <c r="G979" s="3">
        <v>1680000</v>
      </c>
      <c r="H979" s="3">
        <f t="shared" si="45"/>
        <v>2762928000</v>
      </c>
      <c r="J979" s="3">
        <v>7240000</v>
      </c>
      <c r="K979" s="3"/>
      <c r="L979" s="3">
        <f t="shared" si="46"/>
        <v>9581778000</v>
      </c>
      <c r="N979" s="4">
        <f t="shared" si="47"/>
        <v>0.71164767123596473</v>
      </c>
    </row>
    <row r="980" spans="1:14" x14ac:dyDescent="0.45">
      <c r="A980" s="2">
        <v>44504</v>
      </c>
      <c r="B980" s="1">
        <v>1681</v>
      </c>
      <c r="D980" s="2">
        <v>44504</v>
      </c>
      <c r="E980" s="1">
        <v>1318.65</v>
      </c>
      <c r="G980" s="3">
        <v>1680000</v>
      </c>
      <c r="H980" s="3">
        <f t="shared" si="45"/>
        <v>2824080000</v>
      </c>
      <c r="J980" s="3">
        <v>7240000</v>
      </c>
      <c r="K980" s="3"/>
      <c r="L980" s="3">
        <f t="shared" si="46"/>
        <v>9547026000</v>
      </c>
      <c r="N980" s="4">
        <f t="shared" si="47"/>
        <v>0.70419269833349152</v>
      </c>
    </row>
    <row r="981" spans="1:14" x14ac:dyDescent="0.45">
      <c r="A981" s="2">
        <v>44503</v>
      </c>
      <c r="B981" s="1">
        <v>1680.55</v>
      </c>
      <c r="D981" s="2">
        <v>44503</v>
      </c>
      <c r="E981" s="1">
        <v>1310.5999999999999</v>
      </c>
      <c r="G981" s="3">
        <v>1680000</v>
      </c>
      <c r="H981" s="3">
        <f t="shared" si="45"/>
        <v>2823324000</v>
      </c>
      <c r="J981" s="3">
        <v>7240000</v>
      </c>
      <c r="K981" s="3"/>
      <c r="L981" s="3">
        <f t="shared" si="46"/>
        <v>9488744000</v>
      </c>
      <c r="N981" s="4">
        <f t="shared" si="47"/>
        <v>0.70245545669690324</v>
      </c>
    </row>
    <row r="982" spans="1:14" x14ac:dyDescent="0.45">
      <c r="A982" s="2">
        <v>44502</v>
      </c>
      <c r="B982" s="1">
        <v>1650</v>
      </c>
      <c r="D982" s="2">
        <v>44502</v>
      </c>
      <c r="E982" s="1">
        <v>1329.1</v>
      </c>
      <c r="G982" s="3">
        <v>1680000</v>
      </c>
      <c r="H982" s="3">
        <f t="shared" si="45"/>
        <v>2772000000</v>
      </c>
      <c r="J982" s="3">
        <v>7240000</v>
      </c>
      <c r="K982" s="3"/>
      <c r="L982" s="3">
        <f t="shared" si="46"/>
        <v>9622684000</v>
      </c>
      <c r="N982" s="4">
        <f t="shared" si="47"/>
        <v>0.71193068378843161</v>
      </c>
    </row>
    <row r="983" spans="1:14" x14ac:dyDescent="0.45">
      <c r="A983" s="2">
        <v>44501</v>
      </c>
      <c r="B983" s="1">
        <v>1678.85</v>
      </c>
      <c r="D983" s="2">
        <v>44501</v>
      </c>
      <c r="E983" s="1">
        <v>1301.0999999999999</v>
      </c>
      <c r="G983" s="3">
        <v>1680000</v>
      </c>
      <c r="H983" s="3">
        <f t="shared" si="45"/>
        <v>2820468000</v>
      </c>
      <c r="J983" s="3">
        <v>7240000</v>
      </c>
      <c r="K983" s="3"/>
      <c r="L983" s="3">
        <f t="shared" si="46"/>
        <v>9419964000</v>
      </c>
      <c r="N983" s="4">
        <f t="shared" si="47"/>
        <v>0.70058611688961869</v>
      </c>
    </row>
    <row r="984" spans="1:14" x14ac:dyDescent="0.45">
      <c r="A984" s="2">
        <v>44498</v>
      </c>
      <c r="B984" s="1">
        <v>1632</v>
      </c>
      <c r="D984" s="2">
        <v>44498</v>
      </c>
      <c r="E984" s="1">
        <v>1325</v>
      </c>
      <c r="G984" s="3">
        <v>1680000</v>
      </c>
      <c r="H984" s="3">
        <f t="shared" si="45"/>
        <v>2741760000</v>
      </c>
      <c r="J984" s="3">
        <v>7240000</v>
      </c>
      <c r="K984" s="3"/>
      <c r="L984" s="3">
        <f t="shared" si="46"/>
        <v>9593000000</v>
      </c>
      <c r="N984" s="4">
        <f t="shared" si="47"/>
        <v>0.71419159804023769</v>
      </c>
    </row>
    <row r="985" spans="1:14" x14ac:dyDescent="0.45">
      <c r="A985" s="2">
        <v>44497</v>
      </c>
      <c r="B985" s="1">
        <v>1640</v>
      </c>
      <c r="D985" s="2">
        <v>44497</v>
      </c>
      <c r="E985" s="1">
        <v>1281.8499999999999</v>
      </c>
      <c r="G985" s="3">
        <v>1680000</v>
      </c>
      <c r="H985" s="3">
        <f t="shared" si="45"/>
        <v>2755200000</v>
      </c>
      <c r="J985" s="3">
        <v>7240000</v>
      </c>
      <c r="K985" s="3"/>
      <c r="L985" s="3">
        <f t="shared" si="46"/>
        <v>9280594000</v>
      </c>
      <c r="N985" s="4">
        <f t="shared" si="47"/>
        <v>0.70312245099828741</v>
      </c>
    </row>
    <row r="986" spans="1:14" x14ac:dyDescent="0.45">
      <c r="A986" s="2">
        <v>44496</v>
      </c>
      <c r="B986" s="1">
        <v>1640</v>
      </c>
      <c r="D986" s="2">
        <v>44496</v>
      </c>
      <c r="E986" s="1">
        <v>1264.6500000000001</v>
      </c>
      <c r="G986" s="3">
        <v>1680000</v>
      </c>
      <c r="H986" s="3">
        <f t="shared" si="45"/>
        <v>2755200000</v>
      </c>
      <c r="J986" s="3">
        <v>7240000</v>
      </c>
      <c r="K986" s="3"/>
      <c r="L986" s="3">
        <f t="shared" si="46"/>
        <v>9156066000</v>
      </c>
      <c r="N986" s="4">
        <f t="shared" si="47"/>
        <v>0.69908473792128634</v>
      </c>
    </row>
    <row r="987" spans="1:14" x14ac:dyDescent="0.45">
      <c r="A987" s="2">
        <v>44495</v>
      </c>
      <c r="B987" s="1">
        <v>1629.3</v>
      </c>
      <c r="D987" s="2">
        <v>44495</v>
      </c>
      <c r="E987" s="1">
        <v>1296.6500000000001</v>
      </c>
      <c r="G987" s="3">
        <v>1680000</v>
      </c>
      <c r="H987" s="3">
        <f t="shared" si="45"/>
        <v>2737224000</v>
      </c>
      <c r="J987" s="3">
        <v>7240000</v>
      </c>
      <c r="K987" s="3"/>
      <c r="L987" s="3">
        <f t="shared" si="46"/>
        <v>9387746000</v>
      </c>
      <c r="N987" s="4">
        <f t="shared" si="47"/>
        <v>0.70842585643028688</v>
      </c>
    </row>
    <row r="988" spans="1:14" x14ac:dyDescent="0.45">
      <c r="A988" s="2">
        <v>44494</v>
      </c>
      <c r="B988" s="1">
        <v>1669.6</v>
      </c>
      <c r="D988" s="2">
        <v>44494</v>
      </c>
      <c r="E988" s="1">
        <v>1256.2</v>
      </c>
      <c r="G988" s="3">
        <v>1680000</v>
      </c>
      <c r="H988" s="3">
        <f t="shared" si="45"/>
        <v>2804928000</v>
      </c>
      <c r="J988" s="3">
        <v>7240000</v>
      </c>
      <c r="K988" s="3"/>
      <c r="L988" s="3">
        <f t="shared" si="46"/>
        <v>9094888000</v>
      </c>
      <c r="N988" s="4">
        <f t="shared" si="47"/>
        <v>0.69159290361794445</v>
      </c>
    </row>
    <row r="989" spans="1:14" x14ac:dyDescent="0.45">
      <c r="A989" s="2">
        <v>44491</v>
      </c>
      <c r="B989" s="1">
        <v>1597.95</v>
      </c>
      <c r="D989" s="2">
        <v>44491</v>
      </c>
      <c r="E989" s="1">
        <v>1240.4000000000001</v>
      </c>
      <c r="G989" s="3">
        <v>1680000</v>
      </c>
      <c r="H989" s="3">
        <f t="shared" si="45"/>
        <v>2684556000</v>
      </c>
      <c r="J989" s="3">
        <v>7240000</v>
      </c>
      <c r="K989" s="3"/>
      <c r="L989" s="3">
        <f t="shared" si="46"/>
        <v>8980496000</v>
      </c>
      <c r="N989" s="4">
        <f t="shared" si="47"/>
        <v>0.70106818153473927</v>
      </c>
    </row>
    <row r="990" spans="1:14" x14ac:dyDescent="0.45">
      <c r="A990" s="2">
        <v>44490</v>
      </c>
      <c r="B990" s="1">
        <v>1600</v>
      </c>
      <c r="D990" s="2">
        <v>44490</v>
      </c>
      <c r="E990" s="1">
        <v>1280.0999999999999</v>
      </c>
      <c r="G990" s="3">
        <v>1680000</v>
      </c>
      <c r="H990" s="3">
        <f t="shared" si="45"/>
        <v>2688000000</v>
      </c>
      <c r="J990" s="3">
        <v>7240000</v>
      </c>
      <c r="K990" s="3"/>
      <c r="L990" s="3">
        <f t="shared" si="46"/>
        <v>9267924000</v>
      </c>
      <c r="N990" s="4">
        <f t="shared" si="47"/>
        <v>0.70996741017729537</v>
      </c>
    </row>
    <row r="991" spans="1:14" x14ac:dyDescent="0.45">
      <c r="A991" s="2">
        <v>44489</v>
      </c>
      <c r="B991" s="1">
        <v>1600</v>
      </c>
      <c r="D991" s="2">
        <v>44489</v>
      </c>
      <c r="E991" s="1">
        <v>1260.5</v>
      </c>
      <c r="G991" s="3">
        <v>1680000</v>
      </c>
      <c r="H991" s="3">
        <f t="shared" si="45"/>
        <v>2688000000</v>
      </c>
      <c r="J991" s="3">
        <v>7240000</v>
      </c>
      <c r="K991" s="3"/>
      <c r="L991" s="3">
        <f t="shared" si="46"/>
        <v>9126020000</v>
      </c>
      <c r="N991" s="4">
        <f t="shared" si="47"/>
        <v>0.70545758172785067</v>
      </c>
    </row>
    <row r="992" spans="1:14" x14ac:dyDescent="0.45">
      <c r="A992" s="2">
        <v>44488</v>
      </c>
      <c r="B992" s="1">
        <v>1610</v>
      </c>
      <c r="D992" s="2">
        <v>44488</v>
      </c>
      <c r="E992" s="1">
        <v>1294.5</v>
      </c>
      <c r="G992" s="3">
        <v>1680000</v>
      </c>
      <c r="H992" s="3">
        <f t="shared" si="45"/>
        <v>2704800000</v>
      </c>
      <c r="J992" s="3">
        <v>7240000</v>
      </c>
      <c r="K992" s="3"/>
      <c r="L992" s="3">
        <f t="shared" si="46"/>
        <v>9372180000</v>
      </c>
      <c r="N992" s="4">
        <f t="shared" si="47"/>
        <v>0.71140118947779496</v>
      </c>
    </row>
    <row r="993" spans="1:14" x14ac:dyDescent="0.45">
      <c r="A993" s="2">
        <v>44487</v>
      </c>
      <c r="B993" s="1">
        <v>1599</v>
      </c>
      <c r="D993" s="2">
        <v>44487</v>
      </c>
      <c r="E993" s="1">
        <v>1305.4000000000001</v>
      </c>
      <c r="G993" s="3">
        <v>1680000</v>
      </c>
      <c r="H993" s="3">
        <f t="shared" si="45"/>
        <v>2686320000</v>
      </c>
      <c r="J993" s="3">
        <v>7240000</v>
      </c>
      <c r="K993" s="3"/>
      <c r="L993" s="3">
        <f t="shared" si="46"/>
        <v>9451096000</v>
      </c>
      <c r="N993" s="4">
        <f t="shared" si="47"/>
        <v>0.71576629842718775</v>
      </c>
    </row>
    <row r="994" spans="1:14" x14ac:dyDescent="0.45">
      <c r="A994" s="2">
        <v>44483</v>
      </c>
      <c r="B994" s="1">
        <v>1590.8</v>
      </c>
      <c r="D994" s="2">
        <v>44483</v>
      </c>
      <c r="E994" s="1">
        <v>1316.1</v>
      </c>
      <c r="G994" s="3">
        <v>1680000</v>
      </c>
      <c r="H994" s="3">
        <f t="shared" si="45"/>
        <v>2672544000</v>
      </c>
      <c r="J994" s="3">
        <v>7240000</v>
      </c>
      <c r="K994" s="3"/>
      <c r="L994" s="3">
        <f t="shared" si="46"/>
        <v>9528564000</v>
      </c>
      <c r="N994" s="4">
        <f t="shared" si="47"/>
        <v>0.71952289977797279</v>
      </c>
    </row>
    <row r="995" spans="1:14" x14ac:dyDescent="0.45">
      <c r="A995" s="2">
        <v>44482</v>
      </c>
      <c r="B995" s="1">
        <v>1583</v>
      </c>
      <c r="D995" s="2">
        <v>44482</v>
      </c>
      <c r="E995" s="1">
        <v>1290.5</v>
      </c>
      <c r="G995" s="3">
        <v>1680000</v>
      </c>
      <c r="H995" s="3">
        <f t="shared" si="45"/>
        <v>2659440000</v>
      </c>
      <c r="J995" s="3">
        <v>7240000</v>
      </c>
      <c r="K995" s="3"/>
      <c r="L995" s="3">
        <f t="shared" si="46"/>
        <v>9343220000</v>
      </c>
      <c r="N995" s="4">
        <f t="shared" si="47"/>
        <v>0.71536151348250387</v>
      </c>
    </row>
    <row r="996" spans="1:14" x14ac:dyDescent="0.45">
      <c r="A996" s="2">
        <v>44481</v>
      </c>
      <c r="B996" s="1">
        <v>1595</v>
      </c>
      <c r="D996" s="2">
        <v>44481</v>
      </c>
      <c r="E996" s="1">
        <v>1287.3499999999999</v>
      </c>
      <c r="G996" s="3">
        <v>1680000</v>
      </c>
      <c r="H996" s="3">
        <f t="shared" si="45"/>
        <v>2679600000</v>
      </c>
      <c r="J996" s="3">
        <v>7240000</v>
      </c>
      <c r="K996" s="3"/>
      <c r="L996" s="3">
        <f t="shared" si="46"/>
        <v>9320414000</v>
      </c>
      <c r="N996" s="4">
        <f t="shared" si="47"/>
        <v>0.71250204121834071</v>
      </c>
    </row>
    <row r="997" spans="1:14" x14ac:dyDescent="0.45">
      <c r="A997" s="2">
        <v>44480</v>
      </c>
      <c r="B997" s="1">
        <v>1600</v>
      </c>
      <c r="D997" s="2">
        <v>44480</v>
      </c>
      <c r="E997" s="1">
        <v>1290.0999999999999</v>
      </c>
      <c r="G997" s="3">
        <v>1680000</v>
      </c>
      <c r="H997" s="3">
        <f t="shared" si="45"/>
        <v>2688000000</v>
      </c>
      <c r="J997" s="3">
        <v>7240000</v>
      </c>
      <c r="K997" s="3"/>
      <c r="L997" s="3">
        <f t="shared" si="46"/>
        <v>9340324000</v>
      </c>
      <c r="N997" s="4">
        <f t="shared" si="47"/>
        <v>0.71221555055263608</v>
      </c>
    </row>
    <row r="998" spans="1:14" x14ac:dyDescent="0.45">
      <c r="A998" s="2">
        <v>44477</v>
      </c>
      <c r="B998" s="1">
        <v>1561.55</v>
      </c>
      <c r="D998" s="2">
        <v>44477</v>
      </c>
      <c r="E998" s="1">
        <v>1290.6500000000001</v>
      </c>
      <c r="G998" s="3">
        <v>1680000</v>
      </c>
      <c r="H998" s="3">
        <f t="shared" si="45"/>
        <v>2623404000</v>
      </c>
      <c r="J998" s="3">
        <v>7240000</v>
      </c>
      <c r="K998" s="3"/>
      <c r="L998" s="3">
        <f t="shared" si="46"/>
        <v>9344306000</v>
      </c>
      <c r="N998" s="4">
        <f t="shared" si="47"/>
        <v>0.71925106048539078</v>
      </c>
    </row>
    <row r="999" spans="1:14" x14ac:dyDescent="0.45">
      <c r="A999" s="2">
        <v>44476</v>
      </c>
      <c r="B999" s="1">
        <v>1600</v>
      </c>
      <c r="D999" s="2">
        <v>44476</v>
      </c>
      <c r="E999" s="1">
        <v>1288.3499999999999</v>
      </c>
      <c r="G999" s="3">
        <v>1680000</v>
      </c>
      <c r="H999" s="3">
        <f t="shared" si="45"/>
        <v>2688000000</v>
      </c>
      <c r="J999" s="3">
        <v>7240000</v>
      </c>
      <c r="K999" s="3"/>
      <c r="L999" s="3">
        <f t="shared" si="46"/>
        <v>9327654000</v>
      </c>
      <c r="N999" s="4">
        <f t="shared" si="47"/>
        <v>0.71182464529666301</v>
      </c>
    </row>
    <row r="1000" spans="1:14" x14ac:dyDescent="0.45">
      <c r="A1000" s="2">
        <v>44475</v>
      </c>
      <c r="B1000" s="1">
        <v>1602.5</v>
      </c>
      <c r="D1000" s="2">
        <v>44475</v>
      </c>
      <c r="E1000" s="1">
        <v>1270.6500000000001</v>
      </c>
      <c r="G1000" s="3">
        <v>1680000</v>
      </c>
      <c r="H1000" s="3">
        <f t="shared" si="45"/>
        <v>2692200000</v>
      </c>
      <c r="J1000" s="3">
        <v>7240000</v>
      </c>
      <c r="K1000" s="3"/>
      <c r="L1000" s="3">
        <f t="shared" si="46"/>
        <v>9199506000</v>
      </c>
      <c r="N1000" s="4">
        <f t="shared" si="47"/>
        <v>0.70735385139158558</v>
      </c>
    </row>
    <row r="1001" spans="1:14" x14ac:dyDescent="0.45">
      <c r="A1001" s="2">
        <v>44474</v>
      </c>
      <c r="B1001" s="1">
        <v>1600</v>
      </c>
      <c r="D1001" s="2">
        <v>44474</v>
      </c>
      <c r="E1001" s="1">
        <v>1311.8</v>
      </c>
      <c r="G1001" s="3">
        <v>1680000</v>
      </c>
      <c r="H1001" s="3">
        <f t="shared" si="45"/>
        <v>2688000000</v>
      </c>
      <c r="J1001" s="3">
        <v>7240000</v>
      </c>
      <c r="K1001" s="3"/>
      <c r="L1001" s="3">
        <f t="shared" si="46"/>
        <v>9497432000</v>
      </c>
      <c r="N1001" s="4">
        <f t="shared" si="47"/>
        <v>0.71697612575694147</v>
      </c>
    </row>
    <row r="1002" spans="1:14" x14ac:dyDescent="0.45">
      <c r="A1002" s="2">
        <v>44473</v>
      </c>
      <c r="B1002" s="1">
        <v>1574.45</v>
      </c>
      <c r="D1002" s="2">
        <v>44473</v>
      </c>
      <c r="E1002" s="1">
        <v>1309.2</v>
      </c>
      <c r="G1002" s="3">
        <v>1680000</v>
      </c>
      <c r="H1002" s="3">
        <f t="shared" si="45"/>
        <v>2645076000</v>
      </c>
      <c r="J1002" s="3">
        <v>7240000</v>
      </c>
      <c r="K1002" s="3"/>
      <c r="L1002" s="3">
        <f t="shared" si="46"/>
        <v>9478608000</v>
      </c>
      <c r="N1002" s="4">
        <f t="shared" si="47"/>
        <v>0.72094256878225149</v>
      </c>
    </row>
    <row r="1003" spans="1:14" x14ac:dyDescent="0.45">
      <c r="A1003" s="2">
        <v>44470</v>
      </c>
      <c r="B1003" s="1">
        <v>1611.25</v>
      </c>
      <c r="D1003" s="2">
        <v>44470</v>
      </c>
      <c r="E1003" s="1">
        <v>1232.7</v>
      </c>
      <c r="G1003" s="3">
        <v>1680000</v>
      </c>
      <c r="H1003" s="3">
        <f t="shared" si="45"/>
        <v>2706900000</v>
      </c>
      <c r="J1003" s="3">
        <v>7240000</v>
      </c>
      <c r="K1003" s="3"/>
      <c r="L1003" s="3">
        <f t="shared" si="46"/>
        <v>8924748000</v>
      </c>
      <c r="N1003" s="4">
        <f t="shared" si="47"/>
        <v>0.6966973185125227</v>
      </c>
    </row>
    <row r="1004" spans="1:14" x14ac:dyDescent="0.45">
      <c r="A1004" s="2">
        <v>44469</v>
      </c>
      <c r="B1004" s="1">
        <v>1598.95</v>
      </c>
      <c r="D1004" s="2">
        <v>44469</v>
      </c>
      <c r="E1004" s="1">
        <v>1221.5</v>
      </c>
      <c r="G1004" s="3">
        <v>1680000</v>
      </c>
      <c r="H1004" s="3">
        <f t="shared" si="45"/>
        <v>2686236000</v>
      </c>
      <c r="J1004" s="3">
        <v>7240000</v>
      </c>
      <c r="K1004" s="3"/>
      <c r="L1004" s="3">
        <f t="shared" si="46"/>
        <v>8843660000</v>
      </c>
      <c r="N1004" s="4">
        <f t="shared" si="47"/>
        <v>0.69625290886352476</v>
      </c>
    </row>
    <row r="1005" spans="1:14" x14ac:dyDescent="0.45">
      <c r="A1005" s="2">
        <v>44468</v>
      </c>
      <c r="B1005" s="1">
        <v>1618.7</v>
      </c>
      <c r="D1005" s="2">
        <v>44468</v>
      </c>
      <c r="E1005" s="1">
        <v>1243.45</v>
      </c>
      <c r="G1005" s="3">
        <v>1680000</v>
      </c>
      <c r="H1005" s="3">
        <f t="shared" si="45"/>
        <v>2719416000</v>
      </c>
      <c r="J1005" s="3">
        <v>7240000</v>
      </c>
      <c r="K1005" s="3"/>
      <c r="L1005" s="3">
        <f t="shared" si="46"/>
        <v>9002578000</v>
      </c>
      <c r="N1005" s="4">
        <f t="shared" si="47"/>
        <v>0.69792919317111157</v>
      </c>
    </row>
    <row r="1006" spans="1:14" x14ac:dyDescent="0.45">
      <c r="A1006" s="2">
        <v>44467</v>
      </c>
      <c r="B1006" s="1">
        <v>1567</v>
      </c>
      <c r="D1006" s="2">
        <v>44467</v>
      </c>
      <c r="E1006" s="1">
        <v>1216.95</v>
      </c>
      <c r="G1006" s="3">
        <v>1680000</v>
      </c>
      <c r="H1006" s="3">
        <f t="shared" si="45"/>
        <v>2632560000</v>
      </c>
      <c r="J1006" s="3">
        <v>7240000</v>
      </c>
      <c r="K1006" s="3"/>
      <c r="L1006" s="3">
        <f t="shared" si="46"/>
        <v>8810718000</v>
      </c>
      <c r="N1006" s="4">
        <f t="shared" si="47"/>
        <v>0.70120936795389432</v>
      </c>
    </row>
    <row r="1007" spans="1:14" x14ac:dyDescent="0.45">
      <c r="A1007" s="2">
        <v>44466</v>
      </c>
      <c r="B1007" s="1">
        <v>1599.1</v>
      </c>
      <c r="D1007" s="2">
        <v>44466</v>
      </c>
      <c r="E1007" s="1">
        <v>1240</v>
      </c>
      <c r="G1007" s="3">
        <v>1680000</v>
      </c>
      <c r="H1007" s="3">
        <f t="shared" si="45"/>
        <v>2686488000</v>
      </c>
      <c r="J1007" s="3">
        <v>7240000</v>
      </c>
      <c r="K1007" s="3"/>
      <c r="L1007" s="3">
        <f t="shared" si="46"/>
        <v>8977600000</v>
      </c>
      <c r="N1007" s="4">
        <f t="shared" si="47"/>
        <v>0.70075654963464618</v>
      </c>
    </row>
    <row r="1008" spans="1:14" x14ac:dyDescent="0.45">
      <c r="A1008" s="2">
        <v>44463</v>
      </c>
      <c r="B1008" s="1">
        <v>1583.4</v>
      </c>
      <c r="D1008" s="2">
        <v>44463</v>
      </c>
      <c r="E1008" s="1">
        <v>1242.25</v>
      </c>
      <c r="G1008" s="3">
        <v>1680000</v>
      </c>
      <c r="H1008" s="3">
        <f t="shared" si="45"/>
        <v>2660112000</v>
      </c>
      <c r="J1008" s="3">
        <v>7240000</v>
      </c>
      <c r="K1008" s="3"/>
      <c r="L1008" s="3">
        <f t="shared" si="46"/>
        <v>8993890000</v>
      </c>
      <c r="N1008" s="4">
        <f t="shared" si="47"/>
        <v>0.70423120585197285</v>
      </c>
    </row>
    <row r="1009" spans="1:14" x14ac:dyDescent="0.45">
      <c r="A1009" s="2">
        <v>44462</v>
      </c>
      <c r="B1009" s="1">
        <v>1599.7</v>
      </c>
      <c r="D1009" s="2">
        <v>44462</v>
      </c>
      <c r="E1009" s="1">
        <v>1272.2</v>
      </c>
      <c r="G1009" s="3">
        <v>1680000</v>
      </c>
      <c r="H1009" s="3">
        <f t="shared" si="45"/>
        <v>2687496000</v>
      </c>
      <c r="J1009" s="3">
        <v>7240000</v>
      </c>
      <c r="K1009" s="3"/>
      <c r="L1009" s="3">
        <f t="shared" si="46"/>
        <v>9210728000</v>
      </c>
      <c r="N1009" s="4">
        <f t="shared" si="47"/>
        <v>0.70822110912405623</v>
      </c>
    </row>
    <row r="1010" spans="1:14" x14ac:dyDescent="0.45">
      <c r="A1010" s="2">
        <v>44461</v>
      </c>
      <c r="B1010" s="1">
        <v>1544.9</v>
      </c>
      <c r="D1010" s="2">
        <v>44461</v>
      </c>
      <c r="E1010" s="1">
        <v>1276.3499999999999</v>
      </c>
      <c r="G1010" s="3">
        <v>1680000</v>
      </c>
      <c r="H1010" s="3">
        <f t="shared" si="45"/>
        <v>2595432000</v>
      </c>
      <c r="J1010" s="3">
        <v>7240000</v>
      </c>
      <c r="K1010" s="3"/>
      <c r="L1010" s="3">
        <f t="shared" si="46"/>
        <v>9240774000</v>
      </c>
      <c r="N1010" s="4">
        <f t="shared" si="47"/>
        <v>0.71913261811185947</v>
      </c>
    </row>
    <row r="1011" spans="1:14" x14ac:dyDescent="0.45">
      <c r="A1011" s="2">
        <v>44460</v>
      </c>
      <c r="B1011" s="1">
        <v>1545</v>
      </c>
      <c r="D1011" s="2">
        <v>44460</v>
      </c>
      <c r="E1011" s="1">
        <v>1252.25</v>
      </c>
      <c r="G1011" s="3">
        <v>1680000</v>
      </c>
      <c r="H1011" s="3">
        <f t="shared" si="45"/>
        <v>2595600000</v>
      </c>
      <c r="J1011" s="3">
        <v>7240000</v>
      </c>
      <c r="K1011" s="3"/>
      <c r="L1011" s="3">
        <f t="shared" si="46"/>
        <v>9066290000</v>
      </c>
      <c r="N1011" s="4">
        <f t="shared" si="47"/>
        <v>0.71370869451561769</v>
      </c>
    </row>
    <row r="1012" spans="1:14" x14ac:dyDescent="0.45">
      <c r="A1012" s="2">
        <v>44459</v>
      </c>
      <c r="B1012" s="1">
        <v>1565</v>
      </c>
      <c r="D1012" s="2">
        <v>44459</v>
      </c>
      <c r="E1012" s="1">
        <v>1231.0999999999999</v>
      </c>
      <c r="G1012" s="3">
        <v>1680000</v>
      </c>
      <c r="H1012" s="3">
        <f t="shared" si="45"/>
        <v>2629200000</v>
      </c>
      <c r="J1012" s="3">
        <v>7240000</v>
      </c>
      <c r="K1012" s="3"/>
      <c r="L1012" s="3">
        <f t="shared" si="46"/>
        <v>8913164000</v>
      </c>
      <c r="N1012" s="4">
        <f t="shared" si="47"/>
        <v>0.70502057406326202</v>
      </c>
    </row>
    <row r="1013" spans="1:14" x14ac:dyDescent="0.45">
      <c r="A1013" s="2">
        <v>44456</v>
      </c>
      <c r="B1013" s="1">
        <v>1586.25</v>
      </c>
      <c r="D1013" s="2">
        <v>44456</v>
      </c>
      <c r="E1013" s="1">
        <v>1237.95</v>
      </c>
      <c r="G1013" s="3">
        <v>1680000</v>
      </c>
      <c r="H1013" s="3">
        <f t="shared" si="45"/>
        <v>2664900000</v>
      </c>
      <c r="J1013" s="3">
        <v>7240000</v>
      </c>
      <c r="K1013" s="3"/>
      <c r="L1013" s="3">
        <f t="shared" si="46"/>
        <v>8962758000</v>
      </c>
      <c r="N1013" s="4">
        <f t="shared" si="47"/>
        <v>0.70266964699928303</v>
      </c>
    </row>
    <row r="1014" spans="1:14" x14ac:dyDescent="0.45">
      <c r="A1014" s="2">
        <v>44455</v>
      </c>
      <c r="B1014" s="1">
        <v>1555.8</v>
      </c>
      <c r="D1014" s="2">
        <v>44455</v>
      </c>
      <c r="E1014" s="1">
        <v>1199.05</v>
      </c>
      <c r="G1014" s="3">
        <v>1680000</v>
      </c>
      <c r="H1014" s="3">
        <f t="shared" si="45"/>
        <v>2613744000</v>
      </c>
      <c r="J1014" s="3">
        <v>7240000</v>
      </c>
      <c r="K1014" s="3"/>
      <c r="L1014" s="3">
        <f t="shared" si="46"/>
        <v>8681122000</v>
      </c>
      <c r="N1014" s="4">
        <f t="shared" si="47"/>
        <v>0.69891633823369836</v>
      </c>
    </row>
    <row r="1015" spans="1:14" x14ac:dyDescent="0.45">
      <c r="A1015" s="2">
        <v>44454</v>
      </c>
      <c r="B1015" s="1">
        <v>1551</v>
      </c>
      <c r="D1015" s="2">
        <v>44454</v>
      </c>
      <c r="E1015" s="1">
        <v>1211.45</v>
      </c>
      <c r="G1015" s="3">
        <v>1680000</v>
      </c>
      <c r="H1015" s="3">
        <f t="shared" si="45"/>
        <v>2605680000</v>
      </c>
      <c r="J1015" s="3">
        <v>7240000</v>
      </c>
      <c r="K1015" s="3"/>
      <c r="L1015" s="3">
        <f t="shared" si="46"/>
        <v>8770898000</v>
      </c>
      <c r="N1015" s="4">
        <f t="shared" si="47"/>
        <v>0.70291753478378149</v>
      </c>
    </row>
    <row r="1016" spans="1:14" x14ac:dyDescent="0.45">
      <c r="A1016" s="2">
        <v>44453</v>
      </c>
      <c r="B1016" s="1">
        <v>1552</v>
      </c>
      <c r="D1016" s="2">
        <v>44453</v>
      </c>
      <c r="E1016" s="1">
        <v>1205.2</v>
      </c>
      <c r="G1016" s="3">
        <v>1680000</v>
      </c>
      <c r="H1016" s="3">
        <f t="shared" si="45"/>
        <v>2607360000</v>
      </c>
      <c r="J1016" s="3">
        <v>7240000</v>
      </c>
      <c r="K1016" s="3"/>
      <c r="L1016" s="3">
        <f t="shared" si="46"/>
        <v>8725648000</v>
      </c>
      <c r="N1016" s="4">
        <f t="shared" si="47"/>
        <v>0.70118437049030624</v>
      </c>
    </row>
    <row r="1017" spans="1:14" x14ac:dyDescent="0.45">
      <c r="A1017" s="2">
        <v>44452</v>
      </c>
      <c r="B1017" s="1">
        <v>1526.05</v>
      </c>
      <c r="D1017" s="2">
        <v>44452</v>
      </c>
      <c r="E1017" s="1">
        <v>1228.3499999999999</v>
      </c>
      <c r="G1017" s="3">
        <v>1680000</v>
      </c>
      <c r="H1017" s="3">
        <f t="shared" si="45"/>
        <v>2563764000</v>
      </c>
      <c r="J1017" s="3">
        <v>7240000</v>
      </c>
      <c r="K1017" s="3"/>
      <c r="L1017" s="3">
        <f t="shared" si="46"/>
        <v>8893254000</v>
      </c>
      <c r="N1017" s="4">
        <f t="shared" si="47"/>
        <v>0.7117181180251908</v>
      </c>
    </row>
    <row r="1018" spans="1:14" x14ac:dyDescent="0.45">
      <c r="A1018" s="2">
        <v>44448</v>
      </c>
      <c r="B1018" s="1">
        <v>1570.65</v>
      </c>
      <c r="D1018" s="2">
        <v>44448</v>
      </c>
      <c r="E1018" s="1">
        <v>1194.8</v>
      </c>
      <c r="G1018" s="3">
        <v>1680000</v>
      </c>
      <c r="H1018" s="3">
        <f t="shared" si="45"/>
        <v>2638692000</v>
      </c>
      <c r="J1018" s="3">
        <v>7240000</v>
      </c>
      <c r="K1018" s="3"/>
      <c r="L1018" s="3">
        <f t="shared" si="46"/>
        <v>8650352000</v>
      </c>
      <c r="N1018" s="4">
        <f t="shared" si="47"/>
        <v>0.69496131486903656</v>
      </c>
    </row>
    <row r="1019" spans="1:14" x14ac:dyDescent="0.45">
      <c r="A1019" s="2">
        <v>44447</v>
      </c>
      <c r="B1019" s="1">
        <v>1598</v>
      </c>
      <c r="D1019" s="2">
        <v>44447</v>
      </c>
      <c r="E1019" s="1">
        <v>1194.3499999999999</v>
      </c>
      <c r="G1019" s="3">
        <v>1680000</v>
      </c>
      <c r="H1019" s="3">
        <f t="shared" si="45"/>
        <v>2684640000</v>
      </c>
      <c r="J1019" s="3">
        <v>7240000</v>
      </c>
      <c r="K1019" s="3"/>
      <c r="L1019" s="3">
        <f t="shared" si="46"/>
        <v>8647094000</v>
      </c>
      <c r="N1019" s="4">
        <f t="shared" si="47"/>
        <v>0.68953269156088737</v>
      </c>
    </row>
    <row r="1020" spans="1:14" x14ac:dyDescent="0.45">
      <c r="A1020" s="2">
        <v>44446</v>
      </c>
      <c r="B1020" s="1">
        <v>1567.45</v>
      </c>
      <c r="D1020" s="2">
        <v>44446</v>
      </c>
      <c r="E1020" s="1">
        <v>1196.55</v>
      </c>
      <c r="G1020" s="3">
        <v>1680000</v>
      </c>
      <c r="H1020" s="3">
        <f t="shared" si="45"/>
        <v>2633316000</v>
      </c>
      <c r="J1020" s="3">
        <v>7240000</v>
      </c>
      <c r="K1020" s="3"/>
      <c r="L1020" s="3">
        <f t="shared" si="46"/>
        <v>8663022000</v>
      </c>
      <c r="N1020" s="4">
        <f t="shared" si="47"/>
        <v>0.69602801424260496</v>
      </c>
    </row>
    <row r="1021" spans="1:14" x14ac:dyDescent="0.45">
      <c r="A1021" s="2">
        <v>44445</v>
      </c>
      <c r="B1021" s="1">
        <v>1596.35</v>
      </c>
      <c r="D1021" s="2">
        <v>44445</v>
      </c>
      <c r="E1021" s="1">
        <v>1211.0999999999999</v>
      </c>
      <c r="G1021" s="3">
        <v>1680000</v>
      </c>
      <c r="H1021" s="3">
        <f t="shared" si="45"/>
        <v>2681868000</v>
      </c>
      <c r="J1021" s="3">
        <v>7240000</v>
      </c>
      <c r="K1021" s="3"/>
      <c r="L1021" s="3">
        <f t="shared" si="46"/>
        <v>8768364000</v>
      </c>
      <c r="N1021" s="4">
        <f t="shared" si="47"/>
        <v>0.69414271579053977</v>
      </c>
    </row>
    <row r="1022" spans="1:14" x14ac:dyDescent="0.45">
      <c r="A1022" s="2">
        <v>44442</v>
      </c>
      <c r="B1022" s="1">
        <v>1633.2</v>
      </c>
      <c r="D1022" s="2">
        <v>44442</v>
      </c>
      <c r="E1022" s="1">
        <v>1214.05</v>
      </c>
      <c r="G1022" s="3">
        <v>1680000</v>
      </c>
      <c r="H1022" s="3">
        <f t="shared" si="45"/>
        <v>2743776000</v>
      </c>
      <c r="J1022" s="3">
        <v>7240000</v>
      </c>
      <c r="K1022" s="3"/>
      <c r="L1022" s="3">
        <f t="shared" si="46"/>
        <v>8789722000</v>
      </c>
      <c r="N1022" s="4">
        <f t="shared" si="47"/>
        <v>0.68784268717486174</v>
      </c>
    </row>
    <row r="1023" spans="1:14" x14ac:dyDescent="0.45">
      <c r="A1023" s="2">
        <v>44441</v>
      </c>
      <c r="B1023" s="1">
        <v>1589.6</v>
      </c>
      <c r="D1023" s="2">
        <v>44441</v>
      </c>
      <c r="E1023" s="1">
        <v>1245.2</v>
      </c>
      <c r="G1023" s="3">
        <v>1680000</v>
      </c>
      <c r="H1023" s="3">
        <f t="shared" si="45"/>
        <v>2670528000</v>
      </c>
      <c r="J1023" s="3">
        <v>7240000</v>
      </c>
      <c r="K1023" s="3"/>
      <c r="L1023" s="3">
        <f t="shared" si="46"/>
        <v>9015248000</v>
      </c>
      <c r="N1023" s="4">
        <f t="shared" si="47"/>
        <v>0.70377653504373927</v>
      </c>
    </row>
    <row r="1024" spans="1:14" x14ac:dyDescent="0.45">
      <c r="A1024" s="2">
        <v>44440</v>
      </c>
      <c r="B1024" s="1">
        <v>1555.25</v>
      </c>
      <c r="D1024" s="2">
        <v>44440</v>
      </c>
      <c r="E1024" s="1">
        <v>1193.45</v>
      </c>
      <c r="G1024" s="3">
        <v>1680000</v>
      </c>
      <c r="H1024" s="3">
        <f t="shared" si="45"/>
        <v>2612820000</v>
      </c>
      <c r="J1024" s="3">
        <v>7240000</v>
      </c>
      <c r="K1024" s="3"/>
      <c r="L1024" s="3">
        <f t="shared" si="46"/>
        <v>8640578000</v>
      </c>
      <c r="N1024" s="4">
        <f t="shared" si="47"/>
        <v>0.69761050707487393</v>
      </c>
    </row>
    <row r="1025" spans="1:14" x14ac:dyDescent="0.45">
      <c r="A1025" s="2">
        <v>44439</v>
      </c>
      <c r="B1025" s="1">
        <v>1601</v>
      </c>
      <c r="D1025" s="2">
        <v>44439</v>
      </c>
      <c r="E1025" s="1">
        <v>1191.7</v>
      </c>
      <c r="G1025" s="3">
        <v>1680000</v>
      </c>
      <c r="H1025" s="3">
        <f t="shared" si="45"/>
        <v>2689680000</v>
      </c>
      <c r="J1025" s="3">
        <v>7240000</v>
      </c>
      <c r="K1025" s="3"/>
      <c r="L1025" s="3">
        <f t="shared" si="46"/>
        <v>8627908000</v>
      </c>
      <c r="N1025" s="4">
        <f t="shared" si="47"/>
        <v>0.68825815017962633</v>
      </c>
    </row>
    <row r="1026" spans="1:14" x14ac:dyDescent="0.45">
      <c r="A1026" s="2">
        <v>44438</v>
      </c>
      <c r="B1026" s="1">
        <v>1628.35</v>
      </c>
      <c r="D1026" s="2">
        <v>44438</v>
      </c>
      <c r="E1026" s="1">
        <v>1189.6500000000001</v>
      </c>
      <c r="G1026" s="3">
        <v>1680000</v>
      </c>
      <c r="H1026" s="3">
        <f t="shared" si="45"/>
        <v>2735628000</v>
      </c>
      <c r="J1026" s="3">
        <v>7240000</v>
      </c>
      <c r="K1026" s="3"/>
      <c r="L1026" s="3">
        <f t="shared" si="46"/>
        <v>8613066000</v>
      </c>
      <c r="N1026" s="4">
        <f t="shared" si="47"/>
        <v>0.68238627220550729</v>
      </c>
    </row>
    <row r="1027" spans="1:14" x14ac:dyDescent="0.45">
      <c r="A1027" s="2">
        <v>44435</v>
      </c>
      <c r="B1027" s="1">
        <v>1636.45</v>
      </c>
      <c r="D1027" s="2">
        <v>44435</v>
      </c>
      <c r="E1027" s="1">
        <v>1179.45</v>
      </c>
      <c r="G1027" s="3">
        <v>1680000</v>
      </c>
      <c r="H1027" s="3">
        <f t="shared" ref="H1027:H1090" si="48">+G1027*B1027</f>
        <v>2749236000</v>
      </c>
      <c r="J1027" s="3">
        <v>7240000</v>
      </c>
      <c r="K1027" s="3"/>
      <c r="L1027" s="3">
        <f t="shared" ref="L1027:L1090" si="49">+(J1027*E1027)</f>
        <v>8539218000</v>
      </c>
      <c r="N1027" s="4">
        <f t="shared" ref="N1027:N1090" si="50">1- (H1027/L1027)</f>
        <v>0.67804592879582182</v>
      </c>
    </row>
    <row r="1028" spans="1:14" x14ac:dyDescent="0.45">
      <c r="A1028" s="2">
        <v>44434</v>
      </c>
      <c r="B1028" s="1">
        <v>1629</v>
      </c>
      <c r="D1028" s="2">
        <v>44434</v>
      </c>
      <c r="E1028" s="1">
        <v>1172.45</v>
      </c>
      <c r="G1028" s="3">
        <v>1680000</v>
      </c>
      <c r="H1028" s="3">
        <f t="shared" si="48"/>
        <v>2736720000</v>
      </c>
      <c r="J1028" s="3">
        <v>7240000</v>
      </c>
      <c r="K1028" s="3"/>
      <c r="L1028" s="3">
        <f t="shared" si="49"/>
        <v>8488538000</v>
      </c>
      <c r="N1028" s="4">
        <f t="shared" si="50"/>
        <v>0.6775981918205467</v>
      </c>
    </row>
    <row r="1029" spans="1:14" x14ac:dyDescent="0.45">
      <c r="A1029" s="2">
        <v>44433</v>
      </c>
      <c r="B1029" s="1">
        <v>1684.5</v>
      </c>
      <c r="D1029" s="2">
        <v>44433</v>
      </c>
      <c r="E1029" s="1">
        <v>1169.3499999999999</v>
      </c>
      <c r="G1029" s="3">
        <v>1680000</v>
      </c>
      <c r="H1029" s="3">
        <f t="shared" si="48"/>
        <v>2829960000</v>
      </c>
      <c r="J1029" s="3">
        <v>7240000</v>
      </c>
      <c r="K1029" s="3"/>
      <c r="L1029" s="3">
        <f t="shared" si="49"/>
        <v>8466093999.999999</v>
      </c>
      <c r="N1029" s="4">
        <f t="shared" si="50"/>
        <v>0.66573014662960273</v>
      </c>
    </row>
    <row r="1030" spans="1:14" x14ac:dyDescent="0.45">
      <c r="A1030" s="2">
        <v>44432</v>
      </c>
      <c r="B1030" s="1">
        <v>1682.7</v>
      </c>
      <c r="D1030" s="2">
        <v>44432</v>
      </c>
      <c r="E1030" s="1">
        <v>1165.1500000000001</v>
      </c>
      <c r="G1030" s="3">
        <v>1680000</v>
      </c>
      <c r="H1030" s="3">
        <f t="shared" si="48"/>
        <v>2826936000</v>
      </c>
      <c r="J1030" s="3">
        <v>7240000</v>
      </c>
      <c r="K1030" s="3"/>
      <c r="L1030" s="3">
        <f t="shared" si="49"/>
        <v>8435686000.000001</v>
      </c>
      <c r="N1030" s="4">
        <f t="shared" si="50"/>
        <v>0.66488368580812518</v>
      </c>
    </row>
    <row r="1031" spans="1:14" x14ac:dyDescent="0.45">
      <c r="A1031" s="2">
        <v>44431</v>
      </c>
      <c r="B1031" s="1">
        <v>1670</v>
      </c>
      <c r="D1031" s="2">
        <v>44431</v>
      </c>
      <c r="E1031" s="1">
        <v>1128.75</v>
      </c>
      <c r="G1031" s="3">
        <v>1680000</v>
      </c>
      <c r="H1031" s="3">
        <f t="shared" si="48"/>
        <v>2805600000</v>
      </c>
      <c r="J1031" s="3">
        <v>7240000</v>
      </c>
      <c r="K1031" s="3"/>
      <c r="L1031" s="3">
        <f t="shared" si="49"/>
        <v>8172150000</v>
      </c>
      <c r="N1031" s="4">
        <f t="shared" si="50"/>
        <v>0.65668765257612738</v>
      </c>
    </row>
    <row r="1032" spans="1:14" x14ac:dyDescent="0.45">
      <c r="A1032" s="2">
        <v>44428</v>
      </c>
      <c r="B1032" s="1">
        <v>1640.95</v>
      </c>
      <c r="D1032" s="2">
        <v>44428</v>
      </c>
      <c r="E1032" s="1">
        <v>1181.95</v>
      </c>
      <c r="G1032" s="3">
        <v>1680000</v>
      </c>
      <c r="H1032" s="3">
        <f t="shared" si="48"/>
        <v>2756796000</v>
      </c>
      <c r="J1032" s="3">
        <v>7240000</v>
      </c>
      <c r="K1032" s="3"/>
      <c r="L1032" s="3">
        <f t="shared" si="49"/>
        <v>8557318000</v>
      </c>
      <c r="N1032" s="4">
        <f t="shared" si="50"/>
        <v>0.67784345515732847</v>
      </c>
    </row>
    <row r="1033" spans="1:14" x14ac:dyDescent="0.45">
      <c r="A1033" s="2">
        <v>44426</v>
      </c>
      <c r="B1033" s="1">
        <v>1582.15</v>
      </c>
      <c r="D1033" s="2">
        <v>44426</v>
      </c>
      <c r="E1033" s="1">
        <v>1158.0999999999999</v>
      </c>
      <c r="G1033" s="3">
        <v>1680000</v>
      </c>
      <c r="H1033" s="3">
        <f t="shared" si="48"/>
        <v>2658012000</v>
      </c>
      <c r="J1033" s="3">
        <v>7240000</v>
      </c>
      <c r="K1033" s="3"/>
      <c r="L1033" s="3">
        <f t="shared" si="49"/>
        <v>8384643999.999999</v>
      </c>
      <c r="N1033" s="4">
        <f t="shared" si="50"/>
        <v>0.68299047639947497</v>
      </c>
    </row>
    <row r="1034" spans="1:14" x14ac:dyDescent="0.45">
      <c r="A1034" s="2">
        <v>44425</v>
      </c>
      <c r="B1034" s="1">
        <v>1555.8</v>
      </c>
      <c r="D1034" s="2">
        <v>44425</v>
      </c>
      <c r="E1034" s="1">
        <v>1174.05</v>
      </c>
      <c r="G1034" s="3">
        <v>1680000</v>
      </c>
      <c r="H1034" s="3">
        <f t="shared" si="48"/>
        <v>2613744000</v>
      </c>
      <c r="J1034" s="3">
        <v>7240000</v>
      </c>
      <c r="K1034" s="3"/>
      <c r="L1034" s="3">
        <f t="shared" si="49"/>
        <v>8500122000</v>
      </c>
      <c r="N1034" s="4">
        <f t="shared" si="50"/>
        <v>0.69250511933828718</v>
      </c>
    </row>
    <row r="1035" spans="1:14" x14ac:dyDescent="0.45">
      <c r="A1035" s="2">
        <v>44424</v>
      </c>
      <c r="B1035" s="1">
        <v>1536.6</v>
      </c>
      <c r="D1035" s="2">
        <v>44424</v>
      </c>
      <c r="E1035" s="1">
        <v>1175.95</v>
      </c>
      <c r="G1035" s="3">
        <v>1680000</v>
      </c>
      <c r="H1035" s="3">
        <f t="shared" si="48"/>
        <v>2581488000</v>
      </c>
      <c r="J1035" s="3">
        <v>7240000</v>
      </c>
      <c r="K1035" s="3"/>
      <c r="L1035" s="3">
        <f t="shared" si="49"/>
        <v>8513878000</v>
      </c>
      <c r="N1035" s="4">
        <f t="shared" si="50"/>
        <v>0.69679058121340243</v>
      </c>
    </row>
    <row r="1036" spans="1:14" x14ac:dyDescent="0.45">
      <c r="A1036" s="2">
        <v>44421</v>
      </c>
      <c r="B1036" s="1">
        <v>1535.3</v>
      </c>
      <c r="D1036" s="2">
        <v>44421</v>
      </c>
      <c r="E1036" s="1">
        <v>1207.55</v>
      </c>
      <c r="G1036" s="3">
        <v>1680000</v>
      </c>
      <c r="H1036" s="3">
        <f t="shared" si="48"/>
        <v>2579304000</v>
      </c>
      <c r="J1036" s="3">
        <v>7240000</v>
      </c>
      <c r="K1036" s="3"/>
      <c r="L1036" s="3">
        <f t="shared" si="49"/>
        <v>8742662000</v>
      </c>
      <c r="N1036" s="4">
        <f t="shared" si="50"/>
        <v>0.7049749835919541</v>
      </c>
    </row>
    <row r="1037" spans="1:14" x14ac:dyDescent="0.45">
      <c r="A1037" s="2">
        <v>44420</v>
      </c>
      <c r="B1037" s="1">
        <v>1538</v>
      </c>
      <c r="D1037" s="2">
        <v>44420</v>
      </c>
      <c r="E1037" s="1">
        <v>1195</v>
      </c>
      <c r="G1037" s="3">
        <v>1680000</v>
      </c>
      <c r="H1037" s="3">
        <f t="shared" si="48"/>
        <v>2583840000</v>
      </c>
      <c r="J1037" s="3">
        <v>7240000</v>
      </c>
      <c r="K1037" s="3"/>
      <c r="L1037" s="3">
        <f t="shared" si="49"/>
        <v>8651800000</v>
      </c>
      <c r="N1037" s="4">
        <f t="shared" si="50"/>
        <v>0.70135231974849166</v>
      </c>
    </row>
    <row r="1038" spans="1:14" x14ac:dyDescent="0.45">
      <c r="A1038" s="2">
        <v>44419</v>
      </c>
      <c r="B1038" s="1">
        <v>1559</v>
      </c>
      <c r="D1038" s="2">
        <v>44419</v>
      </c>
      <c r="E1038" s="1">
        <v>1183.2</v>
      </c>
      <c r="G1038" s="3">
        <v>1680000</v>
      </c>
      <c r="H1038" s="3">
        <f t="shared" si="48"/>
        <v>2619120000</v>
      </c>
      <c r="J1038" s="3">
        <v>7240000</v>
      </c>
      <c r="K1038" s="3"/>
      <c r="L1038" s="3">
        <f t="shared" si="49"/>
        <v>8566368000</v>
      </c>
      <c r="N1038" s="4">
        <f t="shared" si="50"/>
        <v>0.69425548844037521</v>
      </c>
    </row>
    <row r="1039" spans="1:14" x14ac:dyDescent="0.45">
      <c r="A1039" s="2">
        <v>44418</v>
      </c>
      <c r="B1039" s="1">
        <v>1529.25</v>
      </c>
      <c r="D1039" s="2">
        <v>44418</v>
      </c>
      <c r="E1039" s="1">
        <v>1169.3499999999999</v>
      </c>
      <c r="G1039" s="3">
        <v>1680000</v>
      </c>
      <c r="H1039" s="3">
        <f t="shared" si="48"/>
        <v>2569140000</v>
      </c>
      <c r="J1039" s="3">
        <v>7240000</v>
      </c>
      <c r="K1039" s="3"/>
      <c r="L1039" s="3">
        <f t="shared" si="49"/>
        <v>8466093999.999999</v>
      </c>
      <c r="N1039" s="4">
        <f t="shared" si="50"/>
        <v>0.69653774219846842</v>
      </c>
    </row>
    <row r="1040" spans="1:14" x14ac:dyDescent="0.45">
      <c r="A1040" s="2">
        <v>44417</v>
      </c>
      <c r="B1040" s="1">
        <v>1531.15</v>
      </c>
      <c r="D1040" s="2">
        <v>44417</v>
      </c>
      <c r="E1040" s="1">
        <v>1221.7</v>
      </c>
      <c r="G1040" s="3">
        <v>1680000</v>
      </c>
      <c r="H1040" s="3">
        <f t="shared" si="48"/>
        <v>2572332000</v>
      </c>
      <c r="J1040" s="3">
        <v>7240000</v>
      </c>
      <c r="K1040" s="3"/>
      <c r="L1040" s="3">
        <f t="shared" si="49"/>
        <v>8845108000</v>
      </c>
      <c r="N1040" s="4">
        <f t="shared" si="50"/>
        <v>0.70918026099850895</v>
      </c>
    </row>
    <row r="1041" spans="1:14" x14ac:dyDescent="0.45">
      <c r="A1041" s="2">
        <v>44414</v>
      </c>
      <c r="B1041" s="1">
        <v>1566</v>
      </c>
      <c r="D1041" s="2">
        <v>44414</v>
      </c>
      <c r="E1041" s="1">
        <v>1204.95</v>
      </c>
      <c r="G1041" s="3">
        <v>1680000</v>
      </c>
      <c r="H1041" s="3">
        <f t="shared" si="48"/>
        <v>2630880000</v>
      </c>
      <c r="J1041" s="3">
        <v>7240000</v>
      </c>
      <c r="K1041" s="3"/>
      <c r="L1041" s="3">
        <f t="shared" si="49"/>
        <v>8723838000</v>
      </c>
      <c r="N1041" s="4">
        <f t="shared" si="50"/>
        <v>0.69842631190537929</v>
      </c>
    </row>
    <row r="1042" spans="1:14" x14ac:dyDescent="0.45">
      <c r="A1042" s="2">
        <v>44413</v>
      </c>
      <c r="B1042" s="1">
        <v>1582.85</v>
      </c>
      <c r="D1042" s="2">
        <v>44413</v>
      </c>
      <c r="E1042" s="1">
        <v>1181.3</v>
      </c>
      <c r="G1042" s="3">
        <v>1680000</v>
      </c>
      <c r="H1042" s="3">
        <f t="shared" si="48"/>
        <v>2659188000</v>
      </c>
      <c r="J1042" s="3">
        <v>7240000</v>
      </c>
      <c r="K1042" s="3"/>
      <c r="L1042" s="3">
        <f t="shared" si="49"/>
        <v>8552612000</v>
      </c>
      <c r="N1042" s="4">
        <f t="shared" si="50"/>
        <v>0.68907884515280249</v>
      </c>
    </row>
    <row r="1043" spans="1:14" x14ac:dyDescent="0.45">
      <c r="A1043" s="2">
        <v>44412</v>
      </c>
      <c r="B1043" s="1">
        <v>1584.4</v>
      </c>
      <c r="D1043" s="2">
        <v>44412</v>
      </c>
      <c r="E1043" s="1">
        <v>1195.5999999999999</v>
      </c>
      <c r="G1043" s="3">
        <v>1680000</v>
      </c>
      <c r="H1043" s="3">
        <f t="shared" si="48"/>
        <v>2661792000</v>
      </c>
      <c r="J1043" s="3">
        <v>7240000</v>
      </c>
      <c r="K1043" s="3"/>
      <c r="L1043" s="3">
        <f t="shared" si="49"/>
        <v>8656144000</v>
      </c>
      <c r="N1043" s="4">
        <f t="shared" si="50"/>
        <v>0.69249679765031635</v>
      </c>
    </row>
    <row r="1044" spans="1:14" x14ac:dyDescent="0.45">
      <c r="A1044" s="2">
        <v>44411</v>
      </c>
      <c r="B1044" s="1">
        <v>1586.9</v>
      </c>
      <c r="D1044" s="2">
        <v>44411</v>
      </c>
      <c r="E1044" s="1">
        <v>1173.5</v>
      </c>
      <c r="G1044" s="3">
        <v>1680000</v>
      </c>
      <c r="H1044" s="3">
        <f t="shared" si="48"/>
        <v>2665992000</v>
      </c>
      <c r="J1044" s="3">
        <v>7240000</v>
      </c>
      <c r="K1044" s="3"/>
      <c r="L1044" s="3">
        <f t="shared" si="49"/>
        <v>8496140000</v>
      </c>
      <c r="N1044" s="4">
        <f t="shared" si="50"/>
        <v>0.68621138540560778</v>
      </c>
    </row>
    <row r="1045" spans="1:14" x14ac:dyDescent="0.45">
      <c r="A1045" s="2">
        <v>44410</v>
      </c>
      <c r="B1045" s="1">
        <v>1600.65</v>
      </c>
      <c r="D1045" s="2">
        <v>44410</v>
      </c>
      <c r="E1045" s="1">
        <v>1184</v>
      </c>
      <c r="G1045" s="3">
        <v>1680000</v>
      </c>
      <c r="H1045" s="3">
        <f t="shared" si="48"/>
        <v>2689092000</v>
      </c>
      <c r="J1045" s="3">
        <v>7240000</v>
      </c>
      <c r="K1045" s="3"/>
      <c r="L1045" s="3">
        <f t="shared" si="49"/>
        <v>8572160000</v>
      </c>
      <c r="N1045" s="4">
        <f t="shared" si="50"/>
        <v>0.68629936912050171</v>
      </c>
    </row>
    <row r="1046" spans="1:14" x14ac:dyDescent="0.45">
      <c r="A1046" s="2">
        <v>44407</v>
      </c>
      <c r="B1046" s="1">
        <v>1548</v>
      </c>
      <c r="D1046" s="2">
        <v>44407</v>
      </c>
      <c r="E1046" s="1">
        <v>1159.7</v>
      </c>
      <c r="G1046" s="3">
        <v>1680000</v>
      </c>
      <c r="H1046" s="3">
        <f t="shared" si="48"/>
        <v>2600640000</v>
      </c>
      <c r="J1046" s="3">
        <v>7240000</v>
      </c>
      <c r="K1046" s="3"/>
      <c r="L1046" s="3">
        <f t="shared" si="49"/>
        <v>8396228000</v>
      </c>
      <c r="N1046" s="4">
        <f t="shared" si="50"/>
        <v>0.69026091240018728</v>
      </c>
    </row>
    <row r="1047" spans="1:14" x14ac:dyDescent="0.45">
      <c r="A1047" s="2">
        <v>44406</v>
      </c>
      <c r="B1047" s="1">
        <v>1545.65</v>
      </c>
      <c r="D1047" s="2">
        <v>44406</v>
      </c>
      <c r="E1047" s="1">
        <v>1075.2</v>
      </c>
      <c r="G1047" s="3">
        <v>1680000</v>
      </c>
      <c r="H1047" s="3">
        <f t="shared" si="48"/>
        <v>2596692000</v>
      </c>
      <c r="J1047" s="3">
        <v>7240000</v>
      </c>
      <c r="K1047" s="3"/>
      <c r="L1047" s="3">
        <f t="shared" si="49"/>
        <v>7784448000</v>
      </c>
      <c r="N1047" s="4">
        <f t="shared" si="50"/>
        <v>0.66642567334254144</v>
      </c>
    </row>
    <row r="1048" spans="1:14" x14ac:dyDescent="0.45">
      <c r="A1048" s="2">
        <v>44405</v>
      </c>
      <c r="B1048" s="1">
        <v>1543.05</v>
      </c>
      <c r="D1048" s="2">
        <v>44405</v>
      </c>
      <c r="E1048" s="1">
        <v>1056.5</v>
      </c>
      <c r="G1048" s="3">
        <v>1680000</v>
      </c>
      <c r="H1048" s="3">
        <f t="shared" si="48"/>
        <v>2592324000</v>
      </c>
      <c r="J1048" s="3">
        <v>7240000</v>
      </c>
      <c r="K1048" s="3"/>
      <c r="L1048" s="3">
        <f t="shared" si="49"/>
        <v>7649060000</v>
      </c>
      <c r="N1048" s="4">
        <f t="shared" si="50"/>
        <v>0.6610924741079296</v>
      </c>
    </row>
    <row r="1049" spans="1:14" x14ac:dyDescent="0.45">
      <c r="A1049" s="2">
        <v>44404</v>
      </c>
      <c r="B1049" s="1">
        <v>1534.75</v>
      </c>
      <c r="D1049" s="2">
        <v>44404</v>
      </c>
      <c r="E1049" s="1">
        <v>1066.3499999999999</v>
      </c>
      <c r="G1049" s="3">
        <v>1680000</v>
      </c>
      <c r="H1049" s="3">
        <f t="shared" si="48"/>
        <v>2578380000</v>
      </c>
      <c r="J1049" s="3">
        <v>7240000</v>
      </c>
      <c r="K1049" s="3"/>
      <c r="L1049" s="3">
        <f t="shared" si="49"/>
        <v>7720373999.999999</v>
      </c>
      <c r="N1049" s="4">
        <f t="shared" si="50"/>
        <v>0.66602913278553599</v>
      </c>
    </row>
    <row r="1050" spans="1:14" x14ac:dyDescent="0.45">
      <c r="A1050" s="2">
        <v>44403</v>
      </c>
      <c r="B1050" s="1">
        <v>1619.55</v>
      </c>
      <c r="D1050" s="2">
        <v>44403</v>
      </c>
      <c r="E1050" s="1">
        <v>1067.1500000000001</v>
      </c>
      <c r="G1050" s="3">
        <v>1680000</v>
      </c>
      <c r="H1050" s="3">
        <f t="shared" si="48"/>
        <v>2720844000</v>
      </c>
      <c r="J1050" s="3">
        <v>7240000</v>
      </c>
      <c r="K1050" s="3"/>
      <c r="L1050" s="3">
        <f t="shared" si="49"/>
        <v>7726166000.000001</v>
      </c>
      <c r="N1050" s="4">
        <f t="shared" si="50"/>
        <v>0.64784033892101212</v>
      </c>
    </row>
    <row r="1051" spans="1:14" x14ac:dyDescent="0.45">
      <c r="A1051" s="2">
        <v>44400</v>
      </c>
      <c r="B1051" s="1">
        <v>1623.25</v>
      </c>
      <c r="D1051" s="2">
        <v>44400</v>
      </c>
      <c r="E1051" s="1">
        <v>1037.55</v>
      </c>
      <c r="G1051" s="3">
        <v>1680000</v>
      </c>
      <c r="H1051" s="3">
        <f t="shared" si="48"/>
        <v>2727060000</v>
      </c>
      <c r="J1051" s="3">
        <v>7240000</v>
      </c>
      <c r="K1051" s="3"/>
      <c r="L1051" s="3">
        <f t="shared" si="49"/>
        <v>7511862000</v>
      </c>
      <c r="N1051" s="4">
        <f t="shared" si="50"/>
        <v>0.63696617429872915</v>
      </c>
    </row>
    <row r="1052" spans="1:14" x14ac:dyDescent="0.45">
      <c r="A1052" s="2">
        <v>44399</v>
      </c>
      <c r="B1052" s="1">
        <v>1512.8</v>
      </c>
      <c r="D1052" s="2">
        <v>44399</v>
      </c>
      <c r="E1052" s="1">
        <v>1045.7</v>
      </c>
      <c r="G1052" s="3">
        <v>1680000</v>
      </c>
      <c r="H1052" s="3">
        <f t="shared" si="48"/>
        <v>2541504000</v>
      </c>
      <c r="J1052" s="3">
        <v>7240000</v>
      </c>
      <c r="K1052" s="3"/>
      <c r="L1052" s="3">
        <f t="shared" si="49"/>
        <v>7570868000</v>
      </c>
      <c r="N1052" s="4">
        <f t="shared" si="50"/>
        <v>0.66430480626527899</v>
      </c>
    </row>
    <row r="1053" spans="1:14" x14ac:dyDescent="0.45">
      <c r="A1053" s="2">
        <v>44397</v>
      </c>
      <c r="B1053" s="1">
        <v>1526.55</v>
      </c>
      <c r="D1053" s="2">
        <v>44397</v>
      </c>
      <c r="E1053" s="1">
        <v>1038.4000000000001</v>
      </c>
      <c r="G1053" s="3">
        <v>1680000</v>
      </c>
      <c r="H1053" s="3">
        <f t="shared" si="48"/>
        <v>2564604000</v>
      </c>
      <c r="J1053" s="3">
        <v>7240000</v>
      </c>
      <c r="K1053" s="3"/>
      <c r="L1053" s="3">
        <f t="shared" si="49"/>
        <v>7518016000.000001</v>
      </c>
      <c r="N1053" s="4">
        <f t="shared" si="50"/>
        <v>0.65887223437672926</v>
      </c>
    </row>
    <row r="1054" spans="1:14" x14ac:dyDescent="0.45">
      <c r="A1054" s="2">
        <v>44396</v>
      </c>
      <c r="B1054" s="1">
        <v>1530</v>
      </c>
      <c r="D1054" s="2">
        <v>44396</v>
      </c>
      <c r="E1054" s="1">
        <v>1071.3</v>
      </c>
      <c r="G1054" s="3">
        <v>1680000</v>
      </c>
      <c r="H1054" s="3">
        <f t="shared" si="48"/>
        <v>2570400000</v>
      </c>
      <c r="J1054" s="3">
        <v>7240000</v>
      </c>
      <c r="K1054" s="3"/>
      <c r="L1054" s="3">
        <f t="shared" si="49"/>
        <v>7756212000</v>
      </c>
      <c r="N1054" s="4">
        <f t="shared" si="50"/>
        <v>0.66860111611183393</v>
      </c>
    </row>
    <row r="1055" spans="1:14" x14ac:dyDescent="0.45">
      <c r="A1055" s="2">
        <v>44393</v>
      </c>
      <c r="B1055" s="1">
        <v>1508.2</v>
      </c>
      <c r="D1055" s="2">
        <v>44393</v>
      </c>
      <c r="E1055" s="1">
        <v>1077.4000000000001</v>
      </c>
      <c r="G1055" s="3">
        <v>1680000</v>
      </c>
      <c r="H1055" s="3">
        <f t="shared" si="48"/>
        <v>2533776000</v>
      </c>
      <c r="J1055" s="3">
        <v>7240000</v>
      </c>
      <c r="K1055" s="3"/>
      <c r="L1055" s="3">
        <f t="shared" si="49"/>
        <v>7800376000.000001</v>
      </c>
      <c r="N1055" s="4">
        <f t="shared" si="50"/>
        <v>0.67517258142428016</v>
      </c>
    </row>
    <row r="1056" spans="1:14" x14ac:dyDescent="0.45">
      <c r="A1056" s="2">
        <v>44392</v>
      </c>
      <c r="B1056" s="1">
        <v>1512.8</v>
      </c>
      <c r="D1056" s="2">
        <v>44392</v>
      </c>
      <c r="E1056" s="1">
        <v>1073.9000000000001</v>
      </c>
      <c r="G1056" s="3">
        <v>1680000</v>
      </c>
      <c r="H1056" s="3">
        <f t="shared" si="48"/>
        <v>2541504000</v>
      </c>
      <c r="J1056" s="3">
        <v>7240000</v>
      </c>
      <c r="K1056" s="3"/>
      <c r="L1056" s="3">
        <f t="shared" si="49"/>
        <v>7775036000.000001</v>
      </c>
      <c r="N1056" s="4">
        <f t="shared" si="50"/>
        <v>0.67311997011975255</v>
      </c>
    </row>
    <row r="1057" spans="1:14" x14ac:dyDescent="0.45">
      <c r="A1057" s="2">
        <v>44391</v>
      </c>
      <c r="B1057" s="1">
        <v>1525</v>
      </c>
      <c r="D1057" s="2">
        <v>44391</v>
      </c>
      <c r="E1057" s="1">
        <v>1087.95</v>
      </c>
      <c r="G1057" s="3">
        <v>1680000</v>
      </c>
      <c r="H1057" s="3">
        <f t="shared" si="48"/>
        <v>2562000000</v>
      </c>
      <c r="J1057" s="3">
        <v>7240000</v>
      </c>
      <c r="K1057" s="3"/>
      <c r="L1057" s="3">
        <f t="shared" si="49"/>
        <v>7876758000</v>
      </c>
      <c r="N1057" s="4">
        <f t="shared" si="50"/>
        <v>0.67473927725086891</v>
      </c>
    </row>
    <row r="1058" spans="1:14" x14ac:dyDescent="0.45">
      <c r="A1058" s="2">
        <v>44390</v>
      </c>
      <c r="B1058" s="1">
        <v>1538.6</v>
      </c>
      <c r="D1058" s="2">
        <v>44390</v>
      </c>
      <c r="E1058" s="1">
        <v>1081.05</v>
      </c>
      <c r="G1058" s="3">
        <v>1680000</v>
      </c>
      <c r="H1058" s="3">
        <f t="shared" si="48"/>
        <v>2584848000</v>
      </c>
      <c r="J1058" s="3">
        <v>7240000</v>
      </c>
      <c r="K1058" s="3"/>
      <c r="L1058" s="3">
        <f t="shared" si="49"/>
        <v>7826802000</v>
      </c>
      <c r="N1058" s="4">
        <f t="shared" si="50"/>
        <v>0.6697440410527824</v>
      </c>
    </row>
    <row r="1059" spans="1:14" x14ac:dyDescent="0.45">
      <c r="A1059" s="2">
        <v>44389</v>
      </c>
      <c r="B1059" s="1">
        <v>1578.7</v>
      </c>
      <c r="D1059" s="2">
        <v>44389</v>
      </c>
      <c r="E1059" s="1">
        <v>1058.25</v>
      </c>
      <c r="G1059" s="3">
        <v>1680000</v>
      </c>
      <c r="H1059" s="3">
        <f t="shared" si="48"/>
        <v>2652216000</v>
      </c>
      <c r="J1059" s="3">
        <v>7240000</v>
      </c>
      <c r="K1059" s="3"/>
      <c r="L1059" s="3">
        <f t="shared" si="49"/>
        <v>7661730000</v>
      </c>
      <c r="N1059" s="4">
        <f t="shared" si="50"/>
        <v>0.65383588301858719</v>
      </c>
    </row>
    <row r="1060" spans="1:14" x14ac:dyDescent="0.45">
      <c r="A1060" s="2">
        <v>44386</v>
      </c>
      <c r="B1060" s="1">
        <v>1509.95</v>
      </c>
      <c r="D1060" s="2">
        <v>44386</v>
      </c>
      <c r="E1060" s="1">
        <v>1057.75</v>
      </c>
      <c r="G1060" s="3">
        <v>1680000</v>
      </c>
      <c r="H1060" s="3">
        <f t="shared" si="48"/>
        <v>2536716000</v>
      </c>
      <c r="J1060" s="3">
        <v>7240000</v>
      </c>
      <c r="K1060" s="3"/>
      <c r="L1060" s="3">
        <f t="shared" si="49"/>
        <v>7658110000</v>
      </c>
      <c r="N1060" s="4">
        <f t="shared" si="50"/>
        <v>0.66875430099593758</v>
      </c>
    </row>
    <row r="1061" spans="1:14" x14ac:dyDescent="0.45">
      <c r="A1061" s="2">
        <v>44385</v>
      </c>
      <c r="B1061" s="1">
        <v>1511.05</v>
      </c>
      <c r="D1061" s="2">
        <v>44385</v>
      </c>
      <c r="E1061" s="1">
        <v>1039.5999999999999</v>
      </c>
      <c r="G1061" s="3">
        <v>1680000</v>
      </c>
      <c r="H1061" s="3">
        <f t="shared" si="48"/>
        <v>2538564000</v>
      </c>
      <c r="J1061" s="3">
        <v>7240000</v>
      </c>
      <c r="K1061" s="3"/>
      <c r="L1061" s="3">
        <f t="shared" si="49"/>
        <v>7526703999.999999</v>
      </c>
      <c r="N1061" s="4">
        <f t="shared" si="50"/>
        <v>0.6627256764714009</v>
      </c>
    </row>
    <row r="1062" spans="1:14" x14ac:dyDescent="0.45">
      <c r="A1062" s="2">
        <v>44384</v>
      </c>
      <c r="B1062" s="1">
        <v>1560.45</v>
      </c>
      <c r="D1062" s="2">
        <v>44384</v>
      </c>
      <c r="E1062" s="1">
        <v>1038.8499999999999</v>
      </c>
      <c r="G1062" s="3">
        <v>1680000</v>
      </c>
      <c r="H1062" s="3">
        <f t="shared" si="48"/>
        <v>2621556000</v>
      </c>
      <c r="J1062" s="3">
        <v>7240000</v>
      </c>
      <c r="K1062" s="3"/>
      <c r="L1062" s="3">
        <f t="shared" si="49"/>
        <v>7521273999.999999</v>
      </c>
      <c r="N1062" s="4">
        <f t="shared" si="50"/>
        <v>0.65144787970761331</v>
      </c>
    </row>
    <row r="1063" spans="1:14" x14ac:dyDescent="0.45">
      <c r="A1063" s="2">
        <v>44383</v>
      </c>
      <c r="B1063" s="1">
        <v>1758.65</v>
      </c>
      <c r="D1063" s="2">
        <v>44383</v>
      </c>
      <c r="E1063" s="1">
        <v>1037.6500000000001</v>
      </c>
      <c r="G1063" s="3">
        <v>1680000</v>
      </c>
      <c r="H1063" s="3">
        <f t="shared" si="48"/>
        <v>2954532000</v>
      </c>
      <c r="J1063" s="3">
        <v>7240000</v>
      </c>
      <c r="K1063" s="3"/>
      <c r="L1063" s="3">
        <f t="shared" si="49"/>
        <v>7512586000.000001</v>
      </c>
      <c r="N1063" s="4">
        <f t="shared" si="50"/>
        <v>0.60672237229630388</v>
      </c>
    </row>
    <row r="1064" spans="1:14" x14ac:dyDescent="0.45">
      <c r="A1064" s="2">
        <v>44382</v>
      </c>
      <c r="B1064" s="1">
        <v>1624.45</v>
      </c>
      <c r="D1064" s="2">
        <v>44382</v>
      </c>
      <c r="E1064" s="1">
        <v>1012.6</v>
      </c>
      <c r="G1064" s="3">
        <v>1680000</v>
      </c>
      <c r="H1064" s="3">
        <f t="shared" si="48"/>
        <v>2729076000</v>
      </c>
      <c r="J1064" s="3">
        <v>7240000</v>
      </c>
      <c r="K1064" s="3"/>
      <c r="L1064" s="3">
        <f t="shared" si="49"/>
        <v>7331224000</v>
      </c>
      <c r="N1064" s="4">
        <f t="shared" si="50"/>
        <v>0.62774619899760253</v>
      </c>
    </row>
    <row r="1065" spans="1:14" x14ac:dyDescent="0.45">
      <c r="A1065" s="2">
        <v>44379</v>
      </c>
      <c r="B1065" s="1">
        <v>1409.95</v>
      </c>
      <c r="D1065" s="2">
        <v>44379</v>
      </c>
      <c r="E1065" s="1">
        <v>1013.9</v>
      </c>
      <c r="G1065" s="3">
        <v>1680000</v>
      </c>
      <c r="H1065" s="3">
        <f t="shared" si="48"/>
        <v>2368716000</v>
      </c>
      <c r="J1065" s="3">
        <v>7240000</v>
      </c>
      <c r="K1065" s="3"/>
      <c r="L1065" s="3">
        <f t="shared" si="49"/>
        <v>7340636000</v>
      </c>
      <c r="N1065" s="4">
        <f t="shared" si="50"/>
        <v>0.6773146087069295</v>
      </c>
    </row>
    <row r="1066" spans="1:14" x14ac:dyDescent="0.45">
      <c r="A1066" s="2">
        <v>44378</v>
      </c>
      <c r="B1066" s="1">
        <v>1395</v>
      </c>
      <c r="D1066" s="2">
        <v>44378</v>
      </c>
      <c r="E1066" s="1">
        <v>1030.25</v>
      </c>
      <c r="G1066" s="3">
        <v>1680000</v>
      </c>
      <c r="H1066" s="3">
        <f t="shared" si="48"/>
        <v>2343600000</v>
      </c>
      <c r="J1066" s="3">
        <v>7240000</v>
      </c>
      <c r="K1066" s="3"/>
      <c r="L1066" s="3">
        <f t="shared" si="49"/>
        <v>7459010000</v>
      </c>
      <c r="N1066" s="4">
        <f t="shared" si="50"/>
        <v>0.68580280761119772</v>
      </c>
    </row>
    <row r="1067" spans="1:14" x14ac:dyDescent="0.45">
      <c r="A1067" s="2">
        <v>44377</v>
      </c>
      <c r="B1067" s="1">
        <v>1416.15</v>
      </c>
      <c r="D1067" s="2">
        <v>44377</v>
      </c>
      <c r="E1067" s="1">
        <v>1011.1</v>
      </c>
      <c r="G1067" s="3">
        <v>1680000</v>
      </c>
      <c r="H1067" s="3">
        <f t="shared" si="48"/>
        <v>2379132000</v>
      </c>
      <c r="J1067" s="3">
        <v>7240000</v>
      </c>
      <c r="K1067" s="3"/>
      <c r="L1067" s="3">
        <f t="shared" si="49"/>
        <v>7320364000</v>
      </c>
      <c r="N1067" s="4">
        <f t="shared" si="50"/>
        <v>0.67499812850836372</v>
      </c>
    </row>
    <row r="1068" spans="1:14" x14ac:dyDescent="0.45">
      <c r="A1068" s="2">
        <v>44376</v>
      </c>
      <c r="B1068" s="1">
        <v>1381</v>
      </c>
      <c r="D1068" s="2">
        <v>44376</v>
      </c>
      <c r="E1068" s="1">
        <v>1000.4</v>
      </c>
      <c r="G1068" s="3">
        <v>1680000</v>
      </c>
      <c r="H1068" s="3">
        <f t="shared" si="48"/>
        <v>2320080000</v>
      </c>
      <c r="J1068" s="3">
        <v>7240000</v>
      </c>
      <c r="K1068" s="3"/>
      <c r="L1068" s="3">
        <f t="shared" si="49"/>
        <v>7242896000</v>
      </c>
      <c r="N1068" s="4">
        <f t="shared" si="50"/>
        <v>0.67967509128945114</v>
      </c>
    </row>
    <row r="1069" spans="1:14" x14ac:dyDescent="0.45">
      <c r="A1069" s="2">
        <v>44375</v>
      </c>
      <c r="B1069" s="1">
        <v>1357.5</v>
      </c>
      <c r="D1069" s="2">
        <v>44375</v>
      </c>
      <c r="E1069" s="1">
        <v>920.95</v>
      </c>
      <c r="G1069" s="3">
        <v>1680000</v>
      </c>
      <c r="H1069" s="3">
        <f t="shared" si="48"/>
        <v>2280600000</v>
      </c>
      <c r="J1069" s="3">
        <v>7240000</v>
      </c>
      <c r="K1069" s="3"/>
      <c r="L1069" s="3">
        <f t="shared" si="49"/>
        <v>6667678000</v>
      </c>
      <c r="N1069" s="4">
        <f t="shared" si="50"/>
        <v>0.65796188718171456</v>
      </c>
    </row>
    <row r="1070" spans="1:14" x14ac:dyDescent="0.45">
      <c r="A1070" s="2">
        <v>44372</v>
      </c>
      <c r="B1070" s="1">
        <v>1396.45</v>
      </c>
      <c r="D1070" s="2">
        <v>44372</v>
      </c>
      <c r="E1070" s="1">
        <v>919.05</v>
      </c>
      <c r="G1070" s="3">
        <v>1680000</v>
      </c>
      <c r="H1070" s="3">
        <f t="shared" si="48"/>
        <v>2346036000</v>
      </c>
      <c r="J1070" s="3">
        <v>7240000</v>
      </c>
      <c r="K1070" s="3"/>
      <c r="L1070" s="3">
        <f t="shared" si="49"/>
        <v>6653922000</v>
      </c>
      <c r="N1070" s="4">
        <f t="shared" si="50"/>
        <v>0.64742057391114594</v>
      </c>
    </row>
    <row r="1071" spans="1:14" x14ac:dyDescent="0.45">
      <c r="A1071" s="2">
        <v>44371</v>
      </c>
      <c r="B1071" s="1">
        <v>1351.35</v>
      </c>
      <c r="D1071" s="2">
        <v>44371</v>
      </c>
      <c r="E1071" s="1">
        <v>920.15</v>
      </c>
      <c r="G1071" s="3">
        <v>1680000</v>
      </c>
      <c r="H1071" s="3">
        <f t="shared" si="48"/>
        <v>2270268000</v>
      </c>
      <c r="J1071" s="3">
        <v>7240000</v>
      </c>
      <c r="K1071" s="3"/>
      <c r="L1071" s="3">
        <f t="shared" si="49"/>
        <v>6661886000</v>
      </c>
      <c r="N1071" s="4">
        <f t="shared" si="50"/>
        <v>0.65921542338010586</v>
      </c>
    </row>
    <row r="1072" spans="1:14" x14ac:dyDescent="0.45">
      <c r="A1072" s="2">
        <v>44370</v>
      </c>
      <c r="B1072" s="1">
        <v>1302.55</v>
      </c>
      <c r="D1072" s="2">
        <v>44370</v>
      </c>
      <c r="E1072" s="1">
        <v>920.75</v>
      </c>
      <c r="G1072" s="3">
        <v>1680000</v>
      </c>
      <c r="H1072" s="3">
        <f t="shared" si="48"/>
        <v>2188284000</v>
      </c>
      <c r="J1072" s="3">
        <v>7240000</v>
      </c>
      <c r="K1072" s="3"/>
      <c r="L1072" s="3">
        <f t="shared" si="49"/>
        <v>6666230000</v>
      </c>
      <c r="N1072" s="4">
        <f t="shared" si="50"/>
        <v>0.67173589870136496</v>
      </c>
    </row>
    <row r="1073" spans="1:14" x14ac:dyDescent="0.45">
      <c r="A1073" s="2">
        <v>44369</v>
      </c>
      <c r="B1073" s="1">
        <v>1287.55</v>
      </c>
      <c r="D1073" s="2">
        <v>44369</v>
      </c>
      <c r="E1073" s="1">
        <v>929.05</v>
      </c>
      <c r="G1073" s="3">
        <v>1680000</v>
      </c>
      <c r="H1073" s="3">
        <f t="shared" si="48"/>
        <v>2163084000</v>
      </c>
      <c r="J1073" s="3">
        <v>7240000</v>
      </c>
      <c r="K1073" s="3"/>
      <c r="L1073" s="3">
        <f t="shared" si="49"/>
        <v>6726322000</v>
      </c>
      <c r="N1073" s="4">
        <f t="shared" si="50"/>
        <v>0.67841503870911923</v>
      </c>
    </row>
    <row r="1074" spans="1:14" x14ac:dyDescent="0.45">
      <c r="A1074" s="2">
        <v>44368</v>
      </c>
      <c r="B1074" s="1">
        <v>1312.25</v>
      </c>
      <c r="D1074" s="2">
        <v>44368</v>
      </c>
      <c r="E1074" s="1">
        <v>926.6</v>
      </c>
      <c r="G1074" s="3">
        <v>1680000</v>
      </c>
      <c r="H1074" s="3">
        <f t="shared" si="48"/>
        <v>2204580000</v>
      </c>
      <c r="J1074" s="3">
        <v>7240000</v>
      </c>
      <c r="K1074" s="3"/>
      <c r="L1074" s="3">
        <f t="shared" si="49"/>
        <v>6708584000</v>
      </c>
      <c r="N1074" s="4">
        <f t="shared" si="50"/>
        <v>0.67137923591625293</v>
      </c>
    </row>
    <row r="1075" spans="1:14" x14ac:dyDescent="0.45">
      <c r="A1075" s="2">
        <v>44365</v>
      </c>
      <c r="B1075" s="1">
        <v>1321.5</v>
      </c>
      <c r="D1075" s="2">
        <v>44365</v>
      </c>
      <c r="E1075" s="1">
        <v>947.25</v>
      </c>
      <c r="G1075" s="3">
        <v>1680000</v>
      </c>
      <c r="H1075" s="3">
        <f t="shared" si="48"/>
        <v>2220120000</v>
      </c>
      <c r="J1075" s="3">
        <v>7240000</v>
      </c>
      <c r="K1075" s="3"/>
      <c r="L1075" s="3">
        <f t="shared" si="49"/>
        <v>6858090000</v>
      </c>
      <c r="N1075" s="4">
        <f t="shared" si="50"/>
        <v>0.67627721420978726</v>
      </c>
    </row>
    <row r="1076" spans="1:14" x14ac:dyDescent="0.45">
      <c r="A1076" s="2">
        <v>44364</v>
      </c>
      <c r="B1076" s="1">
        <v>1304.5</v>
      </c>
      <c r="D1076" s="2">
        <v>44364</v>
      </c>
      <c r="E1076" s="1">
        <v>972.95</v>
      </c>
      <c r="G1076" s="3">
        <v>1680000</v>
      </c>
      <c r="H1076" s="3">
        <f t="shared" si="48"/>
        <v>2191560000</v>
      </c>
      <c r="J1076" s="3">
        <v>7240000</v>
      </c>
      <c r="K1076" s="3"/>
      <c r="L1076" s="3">
        <f t="shared" si="49"/>
        <v>7044158000</v>
      </c>
      <c r="N1076" s="4">
        <f t="shared" si="50"/>
        <v>0.68888261734049694</v>
      </c>
    </row>
    <row r="1077" spans="1:14" x14ac:dyDescent="0.45">
      <c r="A1077" s="2">
        <v>44363</v>
      </c>
      <c r="B1077" s="1">
        <v>1342</v>
      </c>
      <c r="D1077" s="2">
        <v>44363</v>
      </c>
      <c r="E1077" s="1">
        <v>995.3</v>
      </c>
      <c r="G1077" s="3">
        <v>1680000</v>
      </c>
      <c r="H1077" s="3">
        <f t="shared" si="48"/>
        <v>2254560000</v>
      </c>
      <c r="J1077" s="3">
        <v>7240000</v>
      </c>
      <c r="K1077" s="3"/>
      <c r="L1077" s="3">
        <f t="shared" si="49"/>
        <v>7205972000</v>
      </c>
      <c r="N1077" s="4">
        <f t="shared" si="50"/>
        <v>0.68712617812003707</v>
      </c>
    </row>
    <row r="1078" spans="1:14" x14ac:dyDescent="0.45">
      <c r="A1078" s="2">
        <v>44362</v>
      </c>
      <c r="B1078" s="1">
        <v>1324</v>
      </c>
      <c r="D1078" s="2">
        <v>44362</v>
      </c>
      <c r="E1078" s="1">
        <v>997.95</v>
      </c>
      <c r="G1078" s="3">
        <v>1680000</v>
      </c>
      <c r="H1078" s="3">
        <f t="shared" si="48"/>
        <v>2224320000</v>
      </c>
      <c r="J1078" s="3">
        <v>7240000</v>
      </c>
      <c r="K1078" s="3"/>
      <c r="L1078" s="3">
        <f t="shared" si="49"/>
        <v>7225158000</v>
      </c>
      <c r="N1078" s="4">
        <f t="shared" si="50"/>
        <v>0.69214237252666311</v>
      </c>
    </row>
    <row r="1079" spans="1:14" x14ac:dyDescent="0.45">
      <c r="A1079" s="2">
        <v>44361</v>
      </c>
      <c r="B1079" s="1">
        <v>1299.8499999999999</v>
      </c>
      <c r="D1079" s="2">
        <v>44361</v>
      </c>
      <c r="E1079" s="1">
        <v>995.25</v>
      </c>
      <c r="G1079" s="3">
        <v>1680000</v>
      </c>
      <c r="H1079" s="3">
        <f t="shared" si="48"/>
        <v>2183748000</v>
      </c>
      <c r="J1079" s="3">
        <v>7240000</v>
      </c>
      <c r="K1079" s="3"/>
      <c r="L1079" s="3">
        <f t="shared" si="49"/>
        <v>7205610000</v>
      </c>
      <c r="N1079" s="4">
        <f t="shared" si="50"/>
        <v>0.69693780262878513</v>
      </c>
    </row>
    <row r="1080" spans="1:14" x14ac:dyDescent="0.45">
      <c r="A1080" s="2">
        <v>44358</v>
      </c>
      <c r="B1080" s="1">
        <v>1290.45</v>
      </c>
      <c r="D1080" s="2">
        <v>44358</v>
      </c>
      <c r="E1080" s="1">
        <v>1010.15</v>
      </c>
      <c r="G1080" s="3">
        <v>1680000</v>
      </c>
      <c r="H1080" s="3">
        <f t="shared" si="48"/>
        <v>2167956000</v>
      </c>
      <c r="J1080" s="3">
        <v>7240000</v>
      </c>
      <c r="K1080" s="3"/>
      <c r="L1080" s="3">
        <f t="shared" si="49"/>
        <v>7313486000</v>
      </c>
      <c r="N1080" s="4">
        <f t="shared" si="50"/>
        <v>0.70356735488384059</v>
      </c>
    </row>
    <row r="1081" spans="1:14" x14ac:dyDescent="0.45">
      <c r="A1081" s="2">
        <v>44357</v>
      </c>
      <c r="B1081" s="1">
        <v>1331.25</v>
      </c>
      <c r="D1081" s="2">
        <v>44357</v>
      </c>
      <c r="E1081" s="1">
        <v>1010.65</v>
      </c>
      <c r="G1081" s="3">
        <v>1680000</v>
      </c>
      <c r="H1081" s="3">
        <f t="shared" si="48"/>
        <v>2236500000</v>
      </c>
      <c r="J1081" s="3">
        <v>7240000</v>
      </c>
      <c r="K1081" s="3"/>
      <c r="L1081" s="3">
        <f t="shared" si="49"/>
        <v>7317106000</v>
      </c>
      <c r="N1081" s="4">
        <f t="shared" si="50"/>
        <v>0.69434637136594712</v>
      </c>
    </row>
    <row r="1082" spans="1:14" x14ac:dyDescent="0.45">
      <c r="A1082" s="2">
        <v>44356</v>
      </c>
      <c r="B1082" s="1">
        <v>1184</v>
      </c>
      <c r="D1082" s="2">
        <v>44356</v>
      </c>
      <c r="E1082" s="1">
        <v>1021.2</v>
      </c>
      <c r="G1082" s="3">
        <v>1680000</v>
      </c>
      <c r="H1082" s="3">
        <f t="shared" si="48"/>
        <v>1989120000</v>
      </c>
      <c r="J1082" s="3">
        <v>7240000</v>
      </c>
      <c r="K1082" s="3"/>
      <c r="L1082" s="3">
        <f t="shared" si="49"/>
        <v>7393488000</v>
      </c>
      <c r="N1082" s="4">
        <f t="shared" si="50"/>
        <v>0.73096324765793896</v>
      </c>
    </row>
    <row r="1083" spans="1:14" x14ac:dyDescent="0.45">
      <c r="A1083" s="2">
        <v>44355</v>
      </c>
      <c r="B1083" s="1">
        <v>1180</v>
      </c>
      <c r="D1083" s="2">
        <v>44355</v>
      </c>
      <c r="E1083" s="1">
        <v>1043.05</v>
      </c>
      <c r="G1083" s="3">
        <v>1680000</v>
      </c>
      <c r="H1083" s="3">
        <f t="shared" si="48"/>
        <v>1982400000</v>
      </c>
      <c r="J1083" s="3">
        <v>7240000</v>
      </c>
      <c r="K1083" s="3"/>
      <c r="L1083" s="3">
        <f t="shared" si="49"/>
        <v>7551682000</v>
      </c>
      <c r="N1083" s="4">
        <f t="shared" si="50"/>
        <v>0.73748894617119731</v>
      </c>
    </row>
    <row r="1084" spans="1:14" x14ac:dyDescent="0.45">
      <c r="A1084" s="2">
        <v>44354</v>
      </c>
      <c r="B1084" s="1">
        <v>1166.6500000000001</v>
      </c>
      <c r="D1084" s="2">
        <v>44354</v>
      </c>
      <c r="E1084" s="1">
        <v>1068.75</v>
      </c>
      <c r="G1084" s="3">
        <v>1680000</v>
      </c>
      <c r="H1084" s="3">
        <f t="shared" si="48"/>
        <v>1959972000.0000002</v>
      </c>
      <c r="J1084" s="3">
        <v>7240000</v>
      </c>
      <c r="K1084" s="3"/>
      <c r="L1084" s="3">
        <f t="shared" si="49"/>
        <v>7737750000</v>
      </c>
      <c r="N1084" s="4">
        <f t="shared" si="50"/>
        <v>0.74670000969274009</v>
      </c>
    </row>
    <row r="1085" spans="1:14" x14ac:dyDescent="0.45">
      <c r="A1085" s="2">
        <v>44351</v>
      </c>
      <c r="B1085" s="1">
        <v>1175</v>
      </c>
      <c r="D1085" s="2">
        <v>44351</v>
      </c>
      <c r="E1085" s="1">
        <v>1018.15</v>
      </c>
      <c r="G1085" s="3">
        <v>1680000</v>
      </c>
      <c r="H1085" s="3">
        <f t="shared" si="48"/>
        <v>1974000000</v>
      </c>
      <c r="J1085" s="3">
        <v>7240000</v>
      </c>
      <c r="K1085" s="3"/>
      <c r="L1085" s="3">
        <f t="shared" si="49"/>
        <v>7371406000</v>
      </c>
      <c r="N1085" s="4">
        <f t="shared" si="50"/>
        <v>0.73220848234380254</v>
      </c>
    </row>
    <row r="1086" spans="1:14" x14ac:dyDescent="0.45">
      <c r="A1086" s="2">
        <v>44350</v>
      </c>
      <c r="B1086" s="1">
        <v>1165</v>
      </c>
      <c r="D1086" s="2">
        <v>44350</v>
      </c>
      <c r="E1086" s="1">
        <v>1013</v>
      </c>
      <c r="G1086" s="3">
        <v>1680000</v>
      </c>
      <c r="H1086" s="3">
        <f t="shared" si="48"/>
        <v>1957200000</v>
      </c>
      <c r="J1086" s="3">
        <v>7240000</v>
      </c>
      <c r="K1086" s="3"/>
      <c r="L1086" s="3">
        <f t="shared" si="49"/>
        <v>7334120000</v>
      </c>
      <c r="N1086" s="4">
        <f t="shared" si="50"/>
        <v>0.73313771795389227</v>
      </c>
    </row>
    <row r="1087" spans="1:14" x14ac:dyDescent="0.45">
      <c r="A1087" s="2">
        <v>44349</v>
      </c>
      <c r="B1087" s="1">
        <v>1152</v>
      </c>
      <c r="D1087" s="2">
        <v>44349</v>
      </c>
      <c r="E1087" s="1">
        <v>985.85</v>
      </c>
      <c r="G1087" s="3">
        <v>1680000</v>
      </c>
      <c r="H1087" s="3">
        <f t="shared" si="48"/>
        <v>1935360000</v>
      </c>
      <c r="J1087" s="3">
        <v>7240000</v>
      </c>
      <c r="K1087" s="3"/>
      <c r="L1087" s="3">
        <f t="shared" si="49"/>
        <v>7137554000</v>
      </c>
      <c r="N1087" s="4">
        <f t="shared" si="50"/>
        <v>0.72884828612154806</v>
      </c>
    </row>
    <row r="1088" spans="1:14" x14ac:dyDescent="0.45">
      <c r="A1088" s="2">
        <v>44348</v>
      </c>
      <c r="B1088" s="1">
        <v>1175</v>
      </c>
      <c r="D1088" s="2">
        <v>44348</v>
      </c>
      <c r="E1088" s="1">
        <v>984.35</v>
      </c>
      <c r="G1088" s="3">
        <v>1680000</v>
      </c>
      <c r="H1088" s="3">
        <f t="shared" si="48"/>
        <v>1974000000</v>
      </c>
      <c r="J1088" s="3">
        <v>7240000</v>
      </c>
      <c r="K1088" s="3"/>
      <c r="L1088" s="3">
        <f t="shared" si="49"/>
        <v>7126694000</v>
      </c>
      <c r="N1088" s="4">
        <f t="shared" si="50"/>
        <v>0.72301322324208117</v>
      </c>
    </row>
    <row r="1089" spans="1:14" x14ac:dyDescent="0.45">
      <c r="A1089" s="2">
        <v>44347</v>
      </c>
      <c r="B1089" s="1">
        <v>1180</v>
      </c>
      <c r="D1089" s="2">
        <v>44347</v>
      </c>
      <c r="E1089" s="1">
        <v>974.9</v>
      </c>
      <c r="G1089" s="3">
        <v>1680000</v>
      </c>
      <c r="H1089" s="3">
        <f t="shared" si="48"/>
        <v>1982400000</v>
      </c>
      <c r="J1089" s="3">
        <v>7240000</v>
      </c>
      <c r="K1089" s="3"/>
      <c r="L1089" s="3">
        <f t="shared" si="49"/>
        <v>7058276000</v>
      </c>
      <c r="N1089" s="4">
        <f t="shared" si="50"/>
        <v>0.71913821448750381</v>
      </c>
    </row>
    <row r="1090" spans="1:14" x14ac:dyDescent="0.45">
      <c r="A1090" s="2">
        <v>44344</v>
      </c>
      <c r="B1090" s="1">
        <v>1156</v>
      </c>
      <c r="D1090" s="2">
        <v>44344</v>
      </c>
      <c r="E1090" s="1">
        <v>1003.5</v>
      </c>
      <c r="G1090" s="3">
        <v>1680000</v>
      </c>
      <c r="H1090" s="3">
        <f t="shared" si="48"/>
        <v>1942080000</v>
      </c>
      <c r="J1090" s="3">
        <v>7240000</v>
      </c>
      <c r="K1090" s="3"/>
      <c r="L1090" s="3">
        <f t="shared" si="49"/>
        <v>7265340000</v>
      </c>
      <c r="N1090" s="4">
        <f t="shared" si="50"/>
        <v>0.73269248238898665</v>
      </c>
    </row>
    <row r="1091" spans="1:14" x14ac:dyDescent="0.45">
      <c r="A1091" s="2">
        <v>44343</v>
      </c>
      <c r="B1091" s="1">
        <v>1150</v>
      </c>
      <c r="D1091" s="2">
        <v>44343</v>
      </c>
      <c r="E1091" s="1">
        <v>997</v>
      </c>
      <c r="G1091" s="3">
        <v>1680000</v>
      </c>
      <c r="H1091" s="3">
        <f t="shared" ref="H1091:H1154" si="51">+G1091*B1091</f>
        <v>1932000000</v>
      </c>
      <c r="J1091" s="3">
        <v>7240000</v>
      </c>
      <c r="K1091" s="3"/>
      <c r="L1091" s="3">
        <f t="shared" ref="L1091:L1154" si="52">+(J1091*E1091)</f>
        <v>7218280000</v>
      </c>
      <c r="N1091" s="4">
        <f t="shared" ref="N1091:N1154" si="53">1- (H1091/L1091)</f>
        <v>0.73234620990041943</v>
      </c>
    </row>
    <row r="1092" spans="1:14" x14ac:dyDescent="0.45">
      <c r="A1092" s="2">
        <v>44342</v>
      </c>
      <c r="B1092" s="1">
        <v>1175.7</v>
      </c>
      <c r="D1092" s="2">
        <v>44342</v>
      </c>
      <c r="E1092" s="1">
        <v>1026.7</v>
      </c>
      <c r="G1092" s="3">
        <v>1680000</v>
      </c>
      <c r="H1092" s="3">
        <f t="shared" si="51"/>
        <v>1975176000</v>
      </c>
      <c r="J1092" s="3">
        <v>7240000</v>
      </c>
      <c r="K1092" s="3"/>
      <c r="L1092" s="3">
        <f t="shared" si="52"/>
        <v>7433308000</v>
      </c>
      <c r="N1092" s="4">
        <f t="shared" si="53"/>
        <v>0.73428035001374892</v>
      </c>
    </row>
    <row r="1093" spans="1:14" x14ac:dyDescent="0.45">
      <c r="A1093" s="2">
        <v>44341</v>
      </c>
      <c r="B1093" s="1">
        <v>1137</v>
      </c>
      <c r="D1093" s="2">
        <v>44341</v>
      </c>
      <c r="E1093" s="1">
        <v>1003.65</v>
      </c>
      <c r="G1093" s="3">
        <v>1680000</v>
      </c>
      <c r="H1093" s="3">
        <f t="shared" si="51"/>
        <v>1910160000</v>
      </c>
      <c r="J1093" s="3">
        <v>7240000</v>
      </c>
      <c r="K1093" s="3"/>
      <c r="L1093" s="3">
        <f t="shared" si="52"/>
        <v>7266426000</v>
      </c>
      <c r="N1093" s="4">
        <f t="shared" si="53"/>
        <v>0.73712523873497093</v>
      </c>
    </row>
    <row r="1094" spans="1:14" x14ac:dyDescent="0.45">
      <c r="A1094" s="2">
        <v>44340</v>
      </c>
      <c r="B1094" s="1">
        <v>1145</v>
      </c>
      <c r="D1094" s="2">
        <v>44340</v>
      </c>
      <c r="E1094" s="1">
        <v>987.1</v>
      </c>
      <c r="G1094" s="3">
        <v>1680000</v>
      </c>
      <c r="H1094" s="3">
        <f t="shared" si="51"/>
        <v>1923600000</v>
      </c>
      <c r="J1094" s="3">
        <v>7240000</v>
      </c>
      <c r="K1094" s="3"/>
      <c r="L1094" s="3">
        <f t="shared" si="52"/>
        <v>7146604000</v>
      </c>
      <c r="N1094" s="4">
        <f t="shared" si="53"/>
        <v>0.73083719204254216</v>
      </c>
    </row>
    <row r="1095" spans="1:14" x14ac:dyDescent="0.45">
      <c r="A1095" s="2">
        <v>44337</v>
      </c>
      <c r="B1095" s="1">
        <v>1146.3</v>
      </c>
      <c r="D1095" s="2">
        <v>44337</v>
      </c>
      <c r="E1095" s="1">
        <v>970.45</v>
      </c>
      <c r="G1095" s="3">
        <v>1680000</v>
      </c>
      <c r="H1095" s="3">
        <f t="shared" si="51"/>
        <v>1925784000</v>
      </c>
      <c r="J1095" s="3">
        <v>7240000</v>
      </c>
      <c r="K1095" s="3"/>
      <c r="L1095" s="3">
        <f t="shared" si="52"/>
        <v>7026058000</v>
      </c>
      <c r="N1095" s="4">
        <f t="shared" si="53"/>
        <v>0.72590832583505571</v>
      </c>
    </row>
    <row r="1096" spans="1:14" x14ac:dyDescent="0.45">
      <c r="A1096" s="2">
        <v>44336</v>
      </c>
      <c r="B1096" s="1">
        <v>1152.8</v>
      </c>
      <c r="D1096" s="2">
        <v>44336</v>
      </c>
      <c r="E1096" s="1">
        <v>944.8</v>
      </c>
      <c r="G1096" s="3">
        <v>1680000</v>
      </c>
      <c r="H1096" s="3">
        <f t="shared" si="51"/>
        <v>1936704000</v>
      </c>
      <c r="J1096" s="3">
        <v>7240000</v>
      </c>
      <c r="K1096" s="3"/>
      <c r="L1096" s="3">
        <f t="shared" si="52"/>
        <v>6840352000</v>
      </c>
      <c r="N1096" s="4">
        <f t="shared" si="53"/>
        <v>0.71687071074704933</v>
      </c>
    </row>
    <row r="1097" spans="1:14" x14ac:dyDescent="0.45">
      <c r="A1097" s="2">
        <v>44335</v>
      </c>
      <c r="B1097" s="1">
        <v>1113</v>
      </c>
      <c r="D1097" s="2">
        <v>44335</v>
      </c>
      <c r="E1097" s="1">
        <v>916.6</v>
      </c>
      <c r="G1097" s="3">
        <v>1680000</v>
      </c>
      <c r="H1097" s="3">
        <f t="shared" si="51"/>
        <v>1869840000</v>
      </c>
      <c r="J1097" s="3">
        <v>7240000</v>
      </c>
      <c r="K1097" s="3"/>
      <c r="L1097" s="3">
        <f t="shared" si="52"/>
        <v>6636184000</v>
      </c>
      <c r="N1097" s="4">
        <f t="shared" si="53"/>
        <v>0.71823566073514544</v>
      </c>
    </row>
    <row r="1098" spans="1:14" x14ac:dyDescent="0.45">
      <c r="A1098" s="2">
        <v>44334</v>
      </c>
      <c r="B1098" s="1">
        <v>1144</v>
      </c>
      <c r="D1098" s="2">
        <v>44334</v>
      </c>
      <c r="E1098" s="1">
        <v>914.45</v>
      </c>
      <c r="G1098" s="3">
        <v>1680000</v>
      </c>
      <c r="H1098" s="3">
        <f t="shared" si="51"/>
        <v>1921920000</v>
      </c>
      <c r="J1098" s="3">
        <v>7240000</v>
      </c>
      <c r="K1098" s="3"/>
      <c r="L1098" s="3">
        <f t="shared" si="52"/>
        <v>6620618000</v>
      </c>
      <c r="N1098" s="4">
        <f t="shared" si="53"/>
        <v>0.70970685818151713</v>
      </c>
    </row>
    <row r="1099" spans="1:14" x14ac:dyDescent="0.45">
      <c r="A1099" s="2">
        <v>44333</v>
      </c>
      <c r="B1099" s="1">
        <v>1120</v>
      </c>
      <c r="D1099" s="2">
        <v>44333</v>
      </c>
      <c r="E1099" s="1">
        <v>924.5</v>
      </c>
      <c r="G1099" s="3">
        <v>1680000</v>
      </c>
      <c r="H1099" s="3">
        <f t="shared" si="51"/>
        <v>1881600000</v>
      </c>
      <c r="J1099" s="3">
        <v>7240000</v>
      </c>
      <c r="K1099" s="3"/>
      <c r="L1099" s="3">
        <f t="shared" si="52"/>
        <v>6693380000</v>
      </c>
      <c r="N1099" s="4">
        <f t="shared" si="53"/>
        <v>0.71888642210661879</v>
      </c>
    </row>
    <row r="1100" spans="1:14" x14ac:dyDescent="0.45">
      <c r="A1100" s="2">
        <v>44330</v>
      </c>
      <c r="B1100" s="1">
        <v>1145</v>
      </c>
      <c r="D1100" s="2">
        <v>44330</v>
      </c>
      <c r="E1100" s="1">
        <v>906.7</v>
      </c>
      <c r="G1100" s="3">
        <v>1680000</v>
      </c>
      <c r="H1100" s="3">
        <f t="shared" si="51"/>
        <v>1923600000</v>
      </c>
      <c r="J1100" s="3">
        <v>7240000</v>
      </c>
      <c r="K1100" s="3"/>
      <c r="L1100" s="3">
        <f t="shared" si="52"/>
        <v>6564508000</v>
      </c>
      <c r="N1100" s="4">
        <f t="shared" si="53"/>
        <v>0.70696966170198894</v>
      </c>
    </row>
    <row r="1101" spans="1:14" x14ac:dyDescent="0.45">
      <c r="A1101" s="2">
        <v>44328</v>
      </c>
      <c r="B1101" s="1">
        <v>1137.8</v>
      </c>
      <c r="D1101" s="2">
        <v>44328</v>
      </c>
      <c r="E1101" s="1">
        <v>930.95</v>
      </c>
      <c r="G1101" s="3">
        <v>1680000</v>
      </c>
      <c r="H1101" s="3">
        <f t="shared" si="51"/>
        <v>1911504000</v>
      </c>
      <c r="J1101" s="3">
        <v>7240000</v>
      </c>
      <c r="K1101" s="3"/>
      <c r="L1101" s="3">
        <f t="shared" si="52"/>
        <v>6740078000</v>
      </c>
      <c r="N1101" s="4">
        <f t="shared" si="53"/>
        <v>0.71639734733040183</v>
      </c>
    </row>
    <row r="1102" spans="1:14" x14ac:dyDescent="0.45">
      <c r="A1102" s="2">
        <v>44327</v>
      </c>
      <c r="B1102" s="1">
        <v>1168.8499999999999</v>
      </c>
      <c r="D1102" s="2">
        <v>44327</v>
      </c>
      <c r="E1102" s="1">
        <v>926.6</v>
      </c>
      <c r="G1102" s="3">
        <v>1680000</v>
      </c>
      <c r="H1102" s="3">
        <f t="shared" si="51"/>
        <v>1963667999.9999998</v>
      </c>
      <c r="J1102" s="3">
        <v>7240000</v>
      </c>
      <c r="K1102" s="3"/>
      <c r="L1102" s="3">
        <f t="shared" si="52"/>
        <v>6708584000</v>
      </c>
      <c r="N1102" s="4">
        <f t="shared" si="53"/>
        <v>0.70729024187518563</v>
      </c>
    </row>
    <row r="1103" spans="1:14" x14ac:dyDescent="0.45">
      <c r="A1103" s="2">
        <v>44326</v>
      </c>
      <c r="B1103" s="1">
        <v>1135</v>
      </c>
      <c r="D1103" s="2">
        <v>44326</v>
      </c>
      <c r="E1103" s="1">
        <v>950.9</v>
      </c>
      <c r="G1103" s="3">
        <v>1680000</v>
      </c>
      <c r="H1103" s="3">
        <f t="shared" si="51"/>
        <v>1906800000</v>
      </c>
      <c r="J1103" s="3">
        <v>7240000</v>
      </c>
      <c r="K1103" s="3"/>
      <c r="L1103" s="3">
        <f t="shared" si="52"/>
        <v>6884516000</v>
      </c>
      <c r="N1103" s="4">
        <f t="shared" si="53"/>
        <v>0.72303063860988925</v>
      </c>
    </row>
    <row r="1104" spans="1:14" x14ac:dyDescent="0.45">
      <c r="A1104" s="2">
        <v>44323</v>
      </c>
      <c r="B1104" s="1">
        <v>1130</v>
      </c>
      <c r="D1104" s="2">
        <v>44323</v>
      </c>
      <c r="E1104" s="1">
        <v>933.95</v>
      </c>
      <c r="G1104" s="3">
        <v>1680000</v>
      </c>
      <c r="H1104" s="3">
        <f t="shared" si="51"/>
        <v>1898400000</v>
      </c>
      <c r="J1104" s="3">
        <v>7240000</v>
      </c>
      <c r="K1104" s="3"/>
      <c r="L1104" s="3">
        <f t="shared" si="52"/>
        <v>6761798000</v>
      </c>
      <c r="N1104" s="4">
        <f t="shared" si="53"/>
        <v>0.71924627147986375</v>
      </c>
    </row>
    <row r="1105" spans="1:14" x14ac:dyDescent="0.45">
      <c r="A1105" s="2">
        <v>44322</v>
      </c>
      <c r="B1105" s="1">
        <v>1138</v>
      </c>
      <c r="D1105" s="2">
        <v>44322</v>
      </c>
      <c r="E1105" s="1">
        <v>922.7</v>
      </c>
      <c r="G1105" s="3">
        <v>1680000</v>
      </c>
      <c r="H1105" s="3">
        <f t="shared" si="51"/>
        <v>1911840000</v>
      </c>
      <c r="J1105" s="3">
        <v>7240000</v>
      </c>
      <c r="K1105" s="3"/>
      <c r="L1105" s="3">
        <f t="shared" si="52"/>
        <v>6680348000</v>
      </c>
      <c r="N1105" s="4">
        <f t="shared" si="53"/>
        <v>0.71381131641645013</v>
      </c>
    </row>
    <row r="1106" spans="1:14" x14ac:dyDescent="0.45">
      <c r="A1106" s="2">
        <v>44321</v>
      </c>
      <c r="B1106" s="1">
        <v>1130.7</v>
      </c>
      <c r="D1106" s="2">
        <v>44321</v>
      </c>
      <c r="E1106" s="1">
        <v>865.8</v>
      </c>
      <c r="G1106" s="3">
        <v>1680000</v>
      </c>
      <c r="H1106" s="3">
        <f t="shared" si="51"/>
        <v>1899576000</v>
      </c>
      <c r="J1106" s="3">
        <v>7240000</v>
      </c>
      <c r="K1106" s="3"/>
      <c r="L1106" s="3">
        <f t="shared" si="52"/>
        <v>6268392000</v>
      </c>
      <c r="N1106" s="4">
        <f t="shared" si="53"/>
        <v>0.69695960303695115</v>
      </c>
    </row>
    <row r="1107" spans="1:14" x14ac:dyDescent="0.45">
      <c r="A1107" s="2">
        <v>44320</v>
      </c>
      <c r="B1107" s="1">
        <v>1113</v>
      </c>
      <c r="D1107" s="2">
        <v>44320</v>
      </c>
      <c r="E1107" s="1">
        <v>871.95</v>
      </c>
      <c r="G1107" s="3">
        <v>1680000</v>
      </c>
      <c r="H1107" s="3">
        <f t="shared" si="51"/>
        <v>1869840000</v>
      </c>
      <c r="J1107" s="3">
        <v>7240000</v>
      </c>
      <c r="K1107" s="3"/>
      <c r="L1107" s="3">
        <f t="shared" si="52"/>
        <v>6312918000</v>
      </c>
      <c r="N1107" s="4">
        <f t="shared" si="53"/>
        <v>0.70380733600531475</v>
      </c>
    </row>
    <row r="1108" spans="1:14" x14ac:dyDescent="0.45">
      <c r="A1108" s="2">
        <v>44319</v>
      </c>
      <c r="B1108" s="1">
        <v>1106.25</v>
      </c>
      <c r="D1108" s="2">
        <v>44319</v>
      </c>
      <c r="E1108" s="1">
        <v>876.5</v>
      </c>
      <c r="G1108" s="3">
        <v>1680000</v>
      </c>
      <c r="H1108" s="3">
        <f t="shared" si="51"/>
        <v>1858500000</v>
      </c>
      <c r="J1108" s="3">
        <v>7240000</v>
      </c>
      <c r="K1108" s="3"/>
      <c r="L1108" s="3">
        <f t="shared" si="52"/>
        <v>6345860000</v>
      </c>
      <c r="N1108" s="4">
        <f t="shared" si="53"/>
        <v>0.70713189386466135</v>
      </c>
    </row>
    <row r="1109" spans="1:14" x14ac:dyDescent="0.45">
      <c r="A1109" s="2">
        <v>44316</v>
      </c>
      <c r="B1109" s="1">
        <v>1118.75</v>
      </c>
      <c r="D1109" s="2">
        <v>44316</v>
      </c>
      <c r="E1109" s="1">
        <v>889.25</v>
      </c>
      <c r="G1109" s="3">
        <v>1680000</v>
      </c>
      <c r="H1109" s="3">
        <f t="shared" si="51"/>
        <v>1879500000</v>
      </c>
      <c r="J1109" s="3">
        <v>7240000</v>
      </c>
      <c r="K1109" s="3"/>
      <c r="L1109" s="3">
        <f t="shared" si="52"/>
        <v>6438170000</v>
      </c>
      <c r="N1109" s="4">
        <f t="shared" si="53"/>
        <v>0.70806921842697534</v>
      </c>
    </row>
    <row r="1110" spans="1:14" x14ac:dyDescent="0.45">
      <c r="A1110" s="2">
        <v>44315</v>
      </c>
      <c r="B1110" s="1">
        <v>1140.5</v>
      </c>
      <c r="D1110" s="2">
        <v>44315</v>
      </c>
      <c r="E1110" s="1">
        <v>897.35</v>
      </c>
      <c r="G1110" s="3">
        <v>1680000</v>
      </c>
      <c r="H1110" s="3">
        <f t="shared" si="51"/>
        <v>1916040000</v>
      </c>
      <c r="J1110" s="3">
        <v>7240000</v>
      </c>
      <c r="K1110" s="3"/>
      <c r="L1110" s="3">
        <f t="shared" si="52"/>
        <v>6496814000</v>
      </c>
      <c r="N1110" s="4">
        <f t="shared" si="53"/>
        <v>0.70508005924134509</v>
      </c>
    </row>
    <row r="1111" spans="1:14" x14ac:dyDescent="0.45">
      <c r="A1111" s="2">
        <v>44314</v>
      </c>
      <c r="B1111" s="1">
        <v>1144</v>
      </c>
      <c r="D1111" s="2">
        <v>44314</v>
      </c>
      <c r="E1111" s="1">
        <v>878.65</v>
      </c>
      <c r="G1111" s="3">
        <v>1680000</v>
      </c>
      <c r="H1111" s="3">
        <f t="shared" si="51"/>
        <v>1921920000</v>
      </c>
      <c r="J1111" s="3">
        <v>7240000</v>
      </c>
      <c r="K1111" s="3"/>
      <c r="L1111" s="3">
        <f t="shared" si="52"/>
        <v>6361426000</v>
      </c>
      <c r="N1111" s="4">
        <f t="shared" si="53"/>
        <v>0.69787906044965387</v>
      </c>
    </row>
    <row r="1112" spans="1:14" x14ac:dyDescent="0.45">
      <c r="A1112" s="2">
        <v>44313</v>
      </c>
      <c r="B1112" s="1">
        <v>1121</v>
      </c>
      <c r="D1112" s="2">
        <v>44313</v>
      </c>
      <c r="E1112" s="1">
        <v>882.2</v>
      </c>
      <c r="G1112" s="3">
        <v>1680000</v>
      </c>
      <c r="H1112" s="3">
        <f t="shared" si="51"/>
        <v>1883280000</v>
      </c>
      <c r="J1112" s="3">
        <v>7240000</v>
      </c>
      <c r="K1112" s="3"/>
      <c r="L1112" s="3">
        <f t="shared" si="52"/>
        <v>6387128000</v>
      </c>
      <c r="N1112" s="4">
        <f t="shared" si="53"/>
        <v>0.70514447181894591</v>
      </c>
    </row>
    <row r="1113" spans="1:14" x14ac:dyDescent="0.45">
      <c r="A1113" s="2">
        <v>44312</v>
      </c>
      <c r="B1113" s="1">
        <v>1145</v>
      </c>
      <c r="D1113" s="2">
        <v>44312</v>
      </c>
      <c r="E1113" s="1">
        <v>861.95</v>
      </c>
      <c r="G1113" s="3">
        <v>1680000</v>
      </c>
      <c r="H1113" s="3">
        <f t="shared" si="51"/>
        <v>1923600000</v>
      </c>
      <c r="J1113" s="3">
        <v>7240000</v>
      </c>
      <c r="K1113" s="3"/>
      <c r="L1113" s="3">
        <f t="shared" si="52"/>
        <v>6240518000</v>
      </c>
      <c r="N1113" s="4">
        <f t="shared" si="53"/>
        <v>0.69175635740494612</v>
      </c>
    </row>
    <row r="1114" spans="1:14" x14ac:dyDescent="0.45">
      <c r="A1114" s="2">
        <v>44309</v>
      </c>
      <c r="B1114" s="1">
        <v>1120</v>
      </c>
      <c r="D1114" s="2">
        <v>44309</v>
      </c>
      <c r="E1114" s="1">
        <v>859.15</v>
      </c>
      <c r="G1114" s="3">
        <v>1680000</v>
      </c>
      <c r="H1114" s="3">
        <f t="shared" si="51"/>
        <v>1881600000</v>
      </c>
      <c r="J1114" s="3">
        <v>7240000</v>
      </c>
      <c r="K1114" s="3"/>
      <c r="L1114" s="3">
        <f t="shared" si="52"/>
        <v>6220246000</v>
      </c>
      <c r="N1114" s="4">
        <f t="shared" si="53"/>
        <v>0.69750392508592096</v>
      </c>
    </row>
    <row r="1115" spans="1:14" x14ac:dyDescent="0.45">
      <c r="A1115" s="2">
        <v>44308</v>
      </c>
      <c r="B1115" s="1">
        <v>1110</v>
      </c>
      <c r="D1115" s="2">
        <v>44308</v>
      </c>
      <c r="E1115" s="1">
        <v>865.3</v>
      </c>
      <c r="G1115" s="3">
        <v>1680000</v>
      </c>
      <c r="H1115" s="3">
        <f t="shared" si="51"/>
        <v>1864800000</v>
      </c>
      <c r="J1115" s="3">
        <v>7240000</v>
      </c>
      <c r="K1115" s="3"/>
      <c r="L1115" s="3">
        <f t="shared" si="52"/>
        <v>6264772000</v>
      </c>
      <c r="N1115" s="4">
        <f t="shared" si="53"/>
        <v>0.70233553591415609</v>
      </c>
    </row>
    <row r="1116" spans="1:14" x14ac:dyDescent="0.45">
      <c r="A1116" s="2">
        <v>44306</v>
      </c>
      <c r="B1116" s="1">
        <v>1085.5</v>
      </c>
      <c r="D1116" s="2">
        <v>44306</v>
      </c>
      <c r="E1116" s="1">
        <v>880.95</v>
      </c>
      <c r="G1116" s="3">
        <v>1680000</v>
      </c>
      <c r="H1116" s="3">
        <f t="shared" si="51"/>
        <v>1823640000</v>
      </c>
      <c r="J1116" s="3">
        <v>7240000</v>
      </c>
      <c r="K1116" s="3"/>
      <c r="L1116" s="3">
        <f t="shared" si="52"/>
        <v>6378078000</v>
      </c>
      <c r="N1116" s="4">
        <f t="shared" si="53"/>
        <v>0.71407687394227537</v>
      </c>
    </row>
    <row r="1117" spans="1:14" x14ac:dyDescent="0.45">
      <c r="A1117" s="2">
        <v>44305</v>
      </c>
      <c r="B1117" s="1">
        <v>1099.25</v>
      </c>
      <c r="D1117" s="2">
        <v>44305</v>
      </c>
      <c r="E1117" s="1">
        <v>859.5</v>
      </c>
      <c r="G1117" s="3">
        <v>1680000</v>
      </c>
      <c r="H1117" s="3">
        <f t="shared" si="51"/>
        <v>1846740000</v>
      </c>
      <c r="J1117" s="3">
        <v>7240000</v>
      </c>
      <c r="K1117" s="3"/>
      <c r="L1117" s="3">
        <f t="shared" si="52"/>
        <v>6222780000</v>
      </c>
      <c r="N1117" s="4">
        <f t="shared" si="53"/>
        <v>0.70322910339108891</v>
      </c>
    </row>
    <row r="1118" spans="1:14" x14ac:dyDescent="0.45">
      <c r="A1118" s="2">
        <v>44302</v>
      </c>
      <c r="B1118" s="1">
        <v>1131</v>
      </c>
      <c r="D1118" s="2">
        <v>44302</v>
      </c>
      <c r="E1118" s="1">
        <v>856</v>
      </c>
      <c r="G1118" s="3">
        <v>1680000</v>
      </c>
      <c r="H1118" s="3">
        <f t="shared" si="51"/>
        <v>1900080000</v>
      </c>
      <c r="J1118" s="3">
        <v>7240000</v>
      </c>
      <c r="K1118" s="3"/>
      <c r="L1118" s="3">
        <f t="shared" si="52"/>
        <v>6197440000</v>
      </c>
      <c r="N1118" s="4">
        <f t="shared" si="53"/>
        <v>0.6934088914132287</v>
      </c>
    </row>
    <row r="1119" spans="1:14" x14ac:dyDescent="0.45">
      <c r="A1119" s="2">
        <v>44301</v>
      </c>
      <c r="B1119" s="1">
        <v>1160</v>
      </c>
      <c r="D1119" s="2">
        <v>44301</v>
      </c>
      <c r="E1119" s="1">
        <v>868.05</v>
      </c>
      <c r="G1119" s="3">
        <v>1680000</v>
      </c>
      <c r="H1119" s="3">
        <f t="shared" si="51"/>
        <v>1948800000</v>
      </c>
      <c r="J1119" s="3">
        <v>7240000</v>
      </c>
      <c r="K1119" s="3"/>
      <c r="L1119" s="3">
        <f t="shared" si="52"/>
        <v>6284682000</v>
      </c>
      <c r="N1119" s="4">
        <f t="shared" si="53"/>
        <v>0.68991271157395073</v>
      </c>
    </row>
    <row r="1120" spans="1:14" x14ac:dyDescent="0.45">
      <c r="A1120" s="2">
        <v>44299</v>
      </c>
      <c r="B1120" s="1">
        <v>1140</v>
      </c>
      <c r="D1120" s="2">
        <v>44299</v>
      </c>
      <c r="E1120" s="1">
        <v>897.5</v>
      </c>
      <c r="G1120" s="3">
        <v>1680000</v>
      </c>
      <c r="H1120" s="3">
        <f t="shared" si="51"/>
        <v>1915200000</v>
      </c>
      <c r="J1120" s="3">
        <v>7240000</v>
      </c>
      <c r="K1120" s="3"/>
      <c r="L1120" s="3">
        <f t="shared" si="52"/>
        <v>6497900000</v>
      </c>
      <c r="N1120" s="4">
        <f t="shared" si="53"/>
        <v>0.70525862201634371</v>
      </c>
    </row>
    <row r="1121" spans="1:14" x14ac:dyDescent="0.45">
      <c r="A1121" s="2">
        <v>44298</v>
      </c>
      <c r="B1121" s="1">
        <v>1134.5999999999999</v>
      </c>
      <c r="D1121" s="2">
        <v>44298</v>
      </c>
      <c r="E1121" s="1">
        <v>884.6</v>
      </c>
      <c r="G1121" s="3">
        <v>1680000</v>
      </c>
      <c r="H1121" s="3">
        <f t="shared" si="51"/>
        <v>1906127999.9999998</v>
      </c>
      <c r="J1121" s="3">
        <v>7240000</v>
      </c>
      <c r="K1121" s="3"/>
      <c r="L1121" s="3">
        <f t="shared" si="52"/>
        <v>6404504000</v>
      </c>
      <c r="N1121" s="4">
        <f t="shared" si="53"/>
        <v>0.70237695221987528</v>
      </c>
    </row>
    <row r="1122" spans="1:14" x14ac:dyDescent="0.45">
      <c r="A1122" s="2">
        <v>44295</v>
      </c>
      <c r="B1122" s="1">
        <v>1139.25</v>
      </c>
      <c r="D1122" s="2">
        <v>44295</v>
      </c>
      <c r="E1122" s="1">
        <v>931.65</v>
      </c>
      <c r="G1122" s="3">
        <v>1680000</v>
      </c>
      <c r="H1122" s="3">
        <f t="shared" si="51"/>
        <v>1913940000</v>
      </c>
      <c r="J1122" s="3">
        <v>7240000</v>
      </c>
      <c r="K1122" s="3"/>
      <c r="L1122" s="3">
        <f t="shared" si="52"/>
        <v>6745146000</v>
      </c>
      <c r="N1122" s="4">
        <f t="shared" si="53"/>
        <v>0.71624928504142082</v>
      </c>
    </row>
    <row r="1123" spans="1:14" x14ac:dyDescent="0.45">
      <c r="A1123" s="2">
        <v>44294</v>
      </c>
      <c r="B1123" s="1">
        <v>1132.5</v>
      </c>
      <c r="D1123" s="2">
        <v>44294</v>
      </c>
      <c r="E1123" s="1">
        <v>899.05</v>
      </c>
      <c r="G1123" s="3">
        <v>1680000</v>
      </c>
      <c r="H1123" s="3">
        <f t="shared" si="51"/>
        <v>1902600000</v>
      </c>
      <c r="J1123" s="3">
        <v>7240000</v>
      </c>
      <c r="K1123" s="3"/>
      <c r="L1123" s="3">
        <f t="shared" si="52"/>
        <v>6509122000</v>
      </c>
      <c r="N1123" s="4">
        <f t="shared" si="53"/>
        <v>0.70770251348799418</v>
      </c>
    </row>
    <row r="1124" spans="1:14" x14ac:dyDescent="0.45">
      <c r="A1124" s="2">
        <v>44293</v>
      </c>
      <c r="B1124" s="1">
        <v>1140</v>
      </c>
      <c r="D1124" s="2">
        <v>44293</v>
      </c>
      <c r="E1124" s="1">
        <v>893.1</v>
      </c>
      <c r="G1124" s="3">
        <v>1680000</v>
      </c>
      <c r="H1124" s="3">
        <f t="shared" si="51"/>
        <v>1915200000</v>
      </c>
      <c r="J1124" s="3">
        <v>7240000</v>
      </c>
      <c r="K1124" s="3"/>
      <c r="L1124" s="3">
        <f t="shared" si="52"/>
        <v>6466044000</v>
      </c>
      <c r="N1124" s="4">
        <f t="shared" si="53"/>
        <v>0.70380653147426775</v>
      </c>
    </row>
    <row r="1125" spans="1:14" x14ac:dyDescent="0.45">
      <c r="A1125" s="2">
        <v>44292</v>
      </c>
      <c r="B1125" s="1">
        <v>1147.6500000000001</v>
      </c>
      <c r="D1125" s="2">
        <v>44292</v>
      </c>
      <c r="E1125" s="1">
        <v>895.6</v>
      </c>
      <c r="G1125" s="3">
        <v>1680000</v>
      </c>
      <c r="H1125" s="3">
        <f t="shared" si="51"/>
        <v>1928052000.0000002</v>
      </c>
      <c r="J1125" s="3">
        <v>7240000</v>
      </c>
      <c r="K1125" s="3"/>
      <c r="L1125" s="3">
        <f t="shared" si="52"/>
        <v>6484144000</v>
      </c>
      <c r="N1125" s="4">
        <f t="shared" si="53"/>
        <v>0.70265126746105566</v>
      </c>
    </row>
    <row r="1126" spans="1:14" x14ac:dyDescent="0.45">
      <c r="A1126" s="2">
        <v>44291</v>
      </c>
      <c r="B1126" s="1">
        <v>1168.7</v>
      </c>
      <c r="D1126" s="2">
        <v>44291</v>
      </c>
      <c r="E1126" s="1">
        <v>878.9</v>
      </c>
      <c r="G1126" s="3">
        <v>1680000</v>
      </c>
      <c r="H1126" s="3">
        <f t="shared" si="51"/>
        <v>1963416000</v>
      </c>
      <c r="J1126" s="3">
        <v>7240000</v>
      </c>
      <c r="K1126" s="3"/>
      <c r="L1126" s="3">
        <f t="shared" si="52"/>
        <v>6363236000</v>
      </c>
      <c r="N1126" s="4">
        <f t="shared" si="53"/>
        <v>0.69144378740628198</v>
      </c>
    </row>
    <row r="1127" spans="1:14" x14ac:dyDescent="0.45">
      <c r="A1127" s="2">
        <v>44287</v>
      </c>
      <c r="B1127" s="1">
        <v>1156</v>
      </c>
      <c r="D1127" s="2">
        <v>44287</v>
      </c>
      <c r="E1127" s="1">
        <v>892.05</v>
      </c>
      <c r="G1127" s="3">
        <v>1680000</v>
      </c>
      <c r="H1127" s="3">
        <f t="shared" si="51"/>
        <v>1942080000</v>
      </c>
      <c r="J1127" s="3">
        <v>7240000</v>
      </c>
      <c r="K1127" s="3"/>
      <c r="L1127" s="3">
        <f t="shared" si="52"/>
        <v>6458442000</v>
      </c>
      <c r="N1127" s="4">
        <f t="shared" si="53"/>
        <v>0.69929589829869188</v>
      </c>
    </row>
    <row r="1128" spans="1:14" x14ac:dyDescent="0.45">
      <c r="A1128" s="2">
        <v>44286</v>
      </c>
      <c r="B1128" s="1">
        <v>1165.5</v>
      </c>
      <c r="D1128" s="2">
        <v>44286</v>
      </c>
      <c r="E1128" s="1">
        <v>895.35</v>
      </c>
      <c r="G1128" s="3">
        <v>1680000</v>
      </c>
      <c r="H1128" s="3">
        <f t="shared" si="51"/>
        <v>1958040000</v>
      </c>
      <c r="J1128" s="3">
        <v>7240000</v>
      </c>
      <c r="K1128" s="3"/>
      <c r="L1128" s="3">
        <f t="shared" si="52"/>
        <v>6482334000</v>
      </c>
      <c r="N1128" s="4">
        <f t="shared" si="53"/>
        <v>0.69794213010313877</v>
      </c>
    </row>
    <row r="1129" spans="1:14" x14ac:dyDescent="0.45">
      <c r="A1129" s="2">
        <v>44285</v>
      </c>
      <c r="B1129" s="1">
        <v>1165.5</v>
      </c>
      <c r="D1129" s="2">
        <v>44285</v>
      </c>
      <c r="E1129" s="1">
        <v>895.2</v>
      </c>
      <c r="G1129" s="3">
        <v>1680000</v>
      </c>
      <c r="H1129" s="3">
        <f t="shared" si="51"/>
        <v>1958040000</v>
      </c>
      <c r="J1129" s="3">
        <v>7240000</v>
      </c>
      <c r="K1129" s="3"/>
      <c r="L1129" s="3">
        <f t="shared" si="52"/>
        <v>6481248000</v>
      </c>
      <c r="N1129" s="4">
        <f t="shared" si="53"/>
        <v>0.69789151718928211</v>
      </c>
    </row>
    <row r="1130" spans="1:14" x14ac:dyDescent="0.45">
      <c r="A1130" s="2">
        <v>44281</v>
      </c>
      <c r="B1130" s="1">
        <v>1164.7</v>
      </c>
      <c r="D1130" s="2">
        <v>44281</v>
      </c>
      <c r="E1130" s="1">
        <v>885.45</v>
      </c>
      <c r="G1130" s="3">
        <v>1680000</v>
      </c>
      <c r="H1130" s="3">
        <f t="shared" si="51"/>
        <v>1956696000</v>
      </c>
      <c r="J1130" s="3">
        <v>7240000</v>
      </c>
      <c r="K1130" s="3"/>
      <c r="L1130" s="3">
        <f t="shared" si="52"/>
        <v>6410658000</v>
      </c>
      <c r="N1130" s="4">
        <f t="shared" si="53"/>
        <v>0.6947745457642569</v>
      </c>
    </row>
    <row r="1131" spans="1:14" x14ac:dyDescent="0.45">
      <c r="A1131" s="2">
        <v>44280</v>
      </c>
      <c r="B1131" s="1">
        <v>1174.3499999999999</v>
      </c>
      <c r="D1131" s="2">
        <v>44280</v>
      </c>
      <c r="E1131" s="1">
        <v>863.4</v>
      </c>
      <c r="G1131" s="3">
        <v>1680000</v>
      </c>
      <c r="H1131" s="3">
        <f t="shared" si="51"/>
        <v>1972907999.9999998</v>
      </c>
      <c r="J1131" s="3">
        <v>7240000</v>
      </c>
      <c r="K1131" s="3"/>
      <c r="L1131" s="3">
        <f t="shared" si="52"/>
        <v>6251016000</v>
      </c>
      <c r="N1131" s="4">
        <f t="shared" si="53"/>
        <v>0.68438602620757971</v>
      </c>
    </row>
    <row r="1132" spans="1:14" x14ac:dyDescent="0.45">
      <c r="A1132" s="2">
        <v>44279</v>
      </c>
      <c r="B1132" s="1">
        <v>1171</v>
      </c>
      <c r="D1132" s="2">
        <v>44279</v>
      </c>
      <c r="E1132" s="1">
        <v>855.55</v>
      </c>
      <c r="G1132" s="3">
        <v>1680000</v>
      </c>
      <c r="H1132" s="3">
        <f t="shared" si="51"/>
        <v>1967280000</v>
      </c>
      <c r="J1132" s="3">
        <v>7240000</v>
      </c>
      <c r="K1132" s="3"/>
      <c r="L1132" s="3">
        <f t="shared" si="52"/>
        <v>6194182000</v>
      </c>
      <c r="N1132" s="4">
        <f t="shared" si="53"/>
        <v>0.68239874127043731</v>
      </c>
    </row>
    <row r="1133" spans="1:14" x14ac:dyDescent="0.45">
      <c r="A1133" s="2">
        <v>44278</v>
      </c>
      <c r="B1133" s="1">
        <v>1161</v>
      </c>
      <c r="D1133" s="2">
        <v>44278</v>
      </c>
      <c r="E1133" s="1">
        <v>841.7</v>
      </c>
      <c r="G1133" s="3">
        <v>1680000</v>
      </c>
      <c r="H1133" s="3">
        <f t="shared" si="51"/>
        <v>1950480000</v>
      </c>
      <c r="J1133" s="3">
        <v>7240000</v>
      </c>
      <c r="K1133" s="3"/>
      <c r="L1133" s="3">
        <f t="shared" si="52"/>
        <v>6093908000</v>
      </c>
      <c r="N1133" s="4">
        <f t="shared" si="53"/>
        <v>0.67992952962204223</v>
      </c>
    </row>
    <row r="1134" spans="1:14" x14ac:dyDescent="0.45">
      <c r="A1134" s="2">
        <v>44277</v>
      </c>
      <c r="B1134" s="1">
        <v>1175.45</v>
      </c>
      <c r="D1134" s="2">
        <v>44277</v>
      </c>
      <c r="E1134" s="1">
        <v>792.75</v>
      </c>
      <c r="G1134" s="3">
        <v>1680000</v>
      </c>
      <c r="H1134" s="3">
        <f t="shared" si="51"/>
        <v>1974756000</v>
      </c>
      <c r="J1134" s="3">
        <v>7240000</v>
      </c>
      <c r="K1134" s="3"/>
      <c r="L1134" s="3">
        <f t="shared" si="52"/>
        <v>5739510000</v>
      </c>
      <c r="N1134" s="4">
        <f t="shared" si="53"/>
        <v>0.65593648238264235</v>
      </c>
    </row>
    <row r="1135" spans="1:14" x14ac:dyDescent="0.45">
      <c r="A1135" s="2">
        <v>44274</v>
      </c>
      <c r="B1135" s="1">
        <v>1186.8</v>
      </c>
      <c r="D1135" s="2">
        <v>44274</v>
      </c>
      <c r="E1135" s="1">
        <v>813.95</v>
      </c>
      <c r="G1135" s="3">
        <v>1680000</v>
      </c>
      <c r="H1135" s="3">
        <f t="shared" si="51"/>
        <v>1993824000</v>
      </c>
      <c r="J1135" s="3">
        <v>7240000</v>
      </c>
      <c r="K1135" s="3"/>
      <c r="L1135" s="3">
        <f t="shared" si="52"/>
        <v>5892998000</v>
      </c>
      <c r="N1135" s="4">
        <f t="shared" si="53"/>
        <v>0.66166219638968138</v>
      </c>
    </row>
    <row r="1136" spans="1:14" x14ac:dyDescent="0.45">
      <c r="A1136" s="2">
        <v>44273</v>
      </c>
      <c r="B1136" s="1">
        <v>1134.25</v>
      </c>
      <c r="D1136" s="2">
        <v>44273</v>
      </c>
      <c r="E1136" s="1">
        <v>775.45</v>
      </c>
      <c r="G1136" s="3">
        <v>1680000</v>
      </c>
      <c r="H1136" s="3">
        <f t="shared" si="51"/>
        <v>1905540000</v>
      </c>
      <c r="J1136" s="3">
        <v>7240000</v>
      </c>
      <c r="K1136" s="3"/>
      <c r="L1136" s="3">
        <f t="shared" si="52"/>
        <v>5614258000</v>
      </c>
      <c r="N1136" s="4">
        <f t="shared" si="53"/>
        <v>0.66058916423149772</v>
      </c>
    </row>
    <row r="1137" spans="1:14" x14ac:dyDescent="0.45">
      <c r="A1137" s="2">
        <v>44272</v>
      </c>
      <c r="B1137" s="1">
        <v>1071</v>
      </c>
      <c r="D1137" s="2">
        <v>44272</v>
      </c>
      <c r="E1137" s="1">
        <v>786.25</v>
      </c>
      <c r="G1137" s="3">
        <v>1680000</v>
      </c>
      <c r="H1137" s="3">
        <f t="shared" si="51"/>
        <v>1799280000</v>
      </c>
      <c r="J1137" s="3">
        <v>7240000</v>
      </c>
      <c r="K1137" s="3"/>
      <c r="L1137" s="3">
        <f t="shared" si="52"/>
        <v>5692450000</v>
      </c>
      <c r="N1137" s="4">
        <f t="shared" si="53"/>
        <v>0.68391817231596241</v>
      </c>
    </row>
    <row r="1138" spans="1:14" x14ac:dyDescent="0.45">
      <c r="A1138" s="2">
        <v>44271</v>
      </c>
      <c r="B1138" s="1">
        <v>1102</v>
      </c>
      <c r="D1138" s="2">
        <v>44271</v>
      </c>
      <c r="E1138" s="1">
        <v>797.5</v>
      </c>
      <c r="G1138" s="3">
        <v>1680000</v>
      </c>
      <c r="H1138" s="3">
        <f t="shared" si="51"/>
        <v>1851360000</v>
      </c>
      <c r="J1138" s="3">
        <v>7240000</v>
      </c>
      <c r="K1138" s="3"/>
      <c r="L1138" s="3">
        <f t="shared" si="52"/>
        <v>5773900000</v>
      </c>
      <c r="N1138" s="4">
        <f t="shared" si="53"/>
        <v>0.67935710698141638</v>
      </c>
    </row>
    <row r="1139" spans="1:14" x14ac:dyDescent="0.45">
      <c r="A1139" s="2">
        <v>44270</v>
      </c>
      <c r="B1139" s="1">
        <v>1107</v>
      </c>
      <c r="D1139" s="2">
        <v>44270</v>
      </c>
      <c r="E1139" s="1">
        <v>800.85</v>
      </c>
      <c r="G1139" s="3">
        <v>1680000</v>
      </c>
      <c r="H1139" s="3">
        <f t="shared" si="51"/>
        <v>1859760000</v>
      </c>
      <c r="J1139" s="3">
        <v>7240000</v>
      </c>
      <c r="K1139" s="3"/>
      <c r="L1139" s="3">
        <f t="shared" si="52"/>
        <v>5798154000</v>
      </c>
      <c r="N1139" s="4">
        <f t="shared" si="53"/>
        <v>0.67924963703965091</v>
      </c>
    </row>
    <row r="1140" spans="1:14" x14ac:dyDescent="0.45">
      <c r="A1140" s="2">
        <v>44267</v>
      </c>
      <c r="B1140" s="1">
        <v>1115</v>
      </c>
      <c r="D1140" s="2">
        <v>44267</v>
      </c>
      <c r="E1140" s="1">
        <v>787.1</v>
      </c>
      <c r="G1140" s="3">
        <v>1680000</v>
      </c>
      <c r="H1140" s="3">
        <f t="shared" si="51"/>
        <v>1873200000</v>
      </c>
      <c r="J1140" s="3">
        <v>7240000</v>
      </c>
      <c r="K1140" s="3"/>
      <c r="L1140" s="3">
        <f t="shared" si="52"/>
        <v>5698604000</v>
      </c>
      <c r="N1140" s="4">
        <f t="shared" si="53"/>
        <v>0.67128791542630439</v>
      </c>
    </row>
    <row r="1141" spans="1:14" x14ac:dyDescent="0.45">
      <c r="A1141" s="2">
        <v>44265</v>
      </c>
      <c r="B1141" s="1">
        <v>1135</v>
      </c>
      <c r="D1141" s="2">
        <v>44265</v>
      </c>
      <c r="E1141" s="1">
        <v>810.55</v>
      </c>
      <c r="G1141" s="3">
        <v>1680000</v>
      </c>
      <c r="H1141" s="3">
        <f t="shared" si="51"/>
        <v>1906800000</v>
      </c>
      <c r="J1141" s="3">
        <v>7240000</v>
      </c>
      <c r="K1141" s="3"/>
      <c r="L1141" s="3">
        <f t="shared" si="52"/>
        <v>5868382000</v>
      </c>
      <c r="N1141" s="4">
        <f t="shared" si="53"/>
        <v>0.67507227716259788</v>
      </c>
    </row>
    <row r="1142" spans="1:14" x14ac:dyDescent="0.45">
      <c r="A1142" s="2">
        <v>44264</v>
      </c>
      <c r="B1142" s="1">
        <v>1137</v>
      </c>
      <c r="D1142" s="2">
        <v>44264</v>
      </c>
      <c r="E1142" s="1">
        <v>814.25</v>
      </c>
      <c r="G1142" s="3">
        <v>1680000</v>
      </c>
      <c r="H1142" s="3">
        <f t="shared" si="51"/>
        <v>1910160000</v>
      </c>
      <c r="J1142" s="3">
        <v>7240000</v>
      </c>
      <c r="K1142" s="3"/>
      <c r="L1142" s="3">
        <f t="shared" si="52"/>
        <v>5895170000</v>
      </c>
      <c r="N1142" s="4">
        <f t="shared" si="53"/>
        <v>0.67597880977138913</v>
      </c>
    </row>
    <row r="1143" spans="1:14" x14ac:dyDescent="0.45">
      <c r="A1143" s="2">
        <v>44263</v>
      </c>
      <c r="B1143" s="1">
        <v>1133</v>
      </c>
      <c r="D1143" s="2">
        <v>44263</v>
      </c>
      <c r="E1143" s="1">
        <v>805.55</v>
      </c>
      <c r="G1143" s="3">
        <v>1680000</v>
      </c>
      <c r="H1143" s="3">
        <f t="shared" si="51"/>
        <v>1903440000</v>
      </c>
      <c r="J1143" s="3">
        <v>7240000</v>
      </c>
      <c r="K1143" s="3"/>
      <c r="L1143" s="3">
        <f t="shared" si="52"/>
        <v>5832182000</v>
      </c>
      <c r="N1143" s="4">
        <f t="shared" si="53"/>
        <v>0.67363158419953284</v>
      </c>
    </row>
    <row r="1144" spans="1:14" x14ac:dyDescent="0.45">
      <c r="A1144" s="2">
        <v>44260</v>
      </c>
      <c r="B1144" s="1">
        <v>1114.05</v>
      </c>
      <c r="D1144" s="2">
        <v>44260</v>
      </c>
      <c r="E1144" s="1">
        <v>813.3</v>
      </c>
      <c r="G1144" s="3">
        <v>1680000</v>
      </c>
      <c r="H1144" s="3">
        <f t="shared" si="51"/>
        <v>1871604000</v>
      </c>
      <c r="J1144" s="3">
        <v>7240000</v>
      </c>
      <c r="K1144" s="3"/>
      <c r="L1144" s="3">
        <f t="shared" si="52"/>
        <v>5888292000</v>
      </c>
      <c r="N1144" s="4">
        <f t="shared" si="53"/>
        <v>0.68214823585515116</v>
      </c>
    </row>
    <row r="1145" spans="1:14" x14ac:dyDescent="0.45">
      <c r="A1145" s="2">
        <v>44259</v>
      </c>
      <c r="B1145" s="1">
        <v>1115.5999999999999</v>
      </c>
      <c r="D1145" s="2">
        <v>44259</v>
      </c>
      <c r="E1145" s="1">
        <v>796.85</v>
      </c>
      <c r="G1145" s="3">
        <v>1680000</v>
      </c>
      <c r="H1145" s="3">
        <f t="shared" si="51"/>
        <v>1874207999.9999998</v>
      </c>
      <c r="J1145" s="3">
        <v>7240000</v>
      </c>
      <c r="K1145" s="3"/>
      <c r="L1145" s="3">
        <f t="shared" si="52"/>
        <v>5769194000</v>
      </c>
      <c r="N1145" s="4">
        <f t="shared" si="53"/>
        <v>0.67513520952840211</v>
      </c>
    </row>
    <row r="1146" spans="1:14" x14ac:dyDescent="0.45">
      <c r="A1146" s="2">
        <v>44258</v>
      </c>
      <c r="B1146" s="1">
        <v>1101.0999999999999</v>
      </c>
      <c r="D1146" s="2">
        <v>44258</v>
      </c>
      <c r="E1146" s="1">
        <v>752.55</v>
      </c>
      <c r="G1146" s="3">
        <v>1680000</v>
      </c>
      <c r="H1146" s="3">
        <f t="shared" si="51"/>
        <v>1849847999.9999998</v>
      </c>
      <c r="J1146" s="3">
        <v>7240000</v>
      </c>
      <c r="K1146" s="3"/>
      <c r="L1146" s="3">
        <f t="shared" si="52"/>
        <v>5448462000</v>
      </c>
      <c r="N1146" s="4">
        <f t="shared" si="53"/>
        <v>0.66048253617259334</v>
      </c>
    </row>
    <row r="1147" spans="1:14" x14ac:dyDescent="0.45">
      <c r="A1147" s="2">
        <v>44257</v>
      </c>
      <c r="B1147" s="1">
        <v>1104.8499999999999</v>
      </c>
      <c r="D1147" s="2">
        <v>44257</v>
      </c>
      <c r="E1147" s="1">
        <v>764.95</v>
      </c>
      <c r="G1147" s="3">
        <v>1680000</v>
      </c>
      <c r="H1147" s="3">
        <f t="shared" si="51"/>
        <v>1856147999.9999998</v>
      </c>
      <c r="J1147" s="3">
        <v>7240000</v>
      </c>
      <c r="K1147" s="3"/>
      <c r="L1147" s="3">
        <f t="shared" si="52"/>
        <v>5538238000</v>
      </c>
      <c r="N1147" s="4">
        <f t="shared" si="53"/>
        <v>0.66484863958536999</v>
      </c>
    </row>
    <row r="1148" spans="1:14" x14ac:dyDescent="0.45">
      <c r="A1148" s="2">
        <v>44256</v>
      </c>
      <c r="B1148" s="1">
        <v>1094.8499999999999</v>
      </c>
      <c r="D1148" s="2">
        <v>44256</v>
      </c>
      <c r="E1148" s="1">
        <v>732.05</v>
      </c>
      <c r="G1148" s="3">
        <v>1680000</v>
      </c>
      <c r="H1148" s="3">
        <f t="shared" si="51"/>
        <v>1839347999.9999998</v>
      </c>
      <c r="J1148" s="3">
        <v>7240000</v>
      </c>
      <c r="K1148" s="3"/>
      <c r="L1148" s="3">
        <f t="shared" si="52"/>
        <v>5300042000</v>
      </c>
      <c r="N1148" s="4">
        <f t="shared" si="53"/>
        <v>0.65295595770750503</v>
      </c>
    </row>
    <row r="1149" spans="1:14" x14ac:dyDescent="0.45">
      <c r="A1149" s="2">
        <v>44253</v>
      </c>
      <c r="B1149" s="1">
        <v>1076.2</v>
      </c>
      <c r="D1149" s="2">
        <v>44253</v>
      </c>
      <c r="E1149" s="1">
        <v>724.7</v>
      </c>
      <c r="G1149" s="3">
        <v>1680000</v>
      </c>
      <c r="H1149" s="3">
        <f t="shared" si="51"/>
        <v>1808016000</v>
      </c>
      <c r="J1149" s="3">
        <v>7240000</v>
      </c>
      <c r="K1149" s="3"/>
      <c r="L1149" s="3">
        <f t="shared" si="52"/>
        <v>5246828000</v>
      </c>
      <c r="N1149" s="4">
        <f t="shared" si="53"/>
        <v>0.65540780067499838</v>
      </c>
    </row>
    <row r="1150" spans="1:14" x14ac:dyDescent="0.45">
      <c r="A1150" s="2">
        <v>44252</v>
      </c>
      <c r="B1150" s="1">
        <v>1083.4000000000001</v>
      </c>
      <c r="D1150" s="2">
        <v>44252</v>
      </c>
      <c r="E1150" s="1">
        <v>709.2</v>
      </c>
      <c r="G1150" s="3">
        <v>1680000</v>
      </c>
      <c r="H1150" s="3">
        <f t="shared" si="51"/>
        <v>1820112000.0000002</v>
      </c>
      <c r="J1150" s="3">
        <v>7240000</v>
      </c>
      <c r="K1150" s="3"/>
      <c r="L1150" s="3">
        <f t="shared" si="52"/>
        <v>5134608000</v>
      </c>
      <c r="N1150" s="4">
        <f t="shared" si="53"/>
        <v>0.64552074861411035</v>
      </c>
    </row>
    <row r="1151" spans="1:14" x14ac:dyDescent="0.45">
      <c r="A1151" s="2">
        <v>44251</v>
      </c>
      <c r="B1151" s="1">
        <v>1098.75</v>
      </c>
      <c r="D1151" s="2">
        <v>44251</v>
      </c>
      <c r="E1151" s="1">
        <v>698.75</v>
      </c>
      <c r="G1151" s="3">
        <v>1680000</v>
      </c>
      <c r="H1151" s="3">
        <f t="shared" si="51"/>
        <v>1845900000</v>
      </c>
      <c r="J1151" s="3">
        <v>7240000</v>
      </c>
      <c r="K1151" s="3"/>
      <c r="L1151" s="3">
        <f t="shared" si="52"/>
        <v>5058950000</v>
      </c>
      <c r="N1151" s="4">
        <f t="shared" si="53"/>
        <v>0.63512191264985818</v>
      </c>
    </row>
    <row r="1152" spans="1:14" x14ac:dyDescent="0.45">
      <c r="A1152" s="2">
        <v>44250</v>
      </c>
      <c r="B1152" s="1">
        <v>1059.7</v>
      </c>
      <c r="D1152" s="2">
        <v>44250</v>
      </c>
      <c r="E1152" s="1">
        <v>657.6</v>
      </c>
      <c r="G1152" s="3">
        <v>1680000</v>
      </c>
      <c r="H1152" s="3">
        <f t="shared" si="51"/>
        <v>1780296000</v>
      </c>
      <c r="J1152" s="3">
        <v>7240000</v>
      </c>
      <c r="K1152" s="3"/>
      <c r="L1152" s="3">
        <f t="shared" si="52"/>
        <v>4761024000</v>
      </c>
      <c r="N1152" s="4">
        <f t="shared" si="53"/>
        <v>0.62606867766262053</v>
      </c>
    </row>
    <row r="1153" spans="1:14" x14ac:dyDescent="0.45">
      <c r="A1153" s="2">
        <v>44249</v>
      </c>
      <c r="B1153" s="1">
        <v>1076</v>
      </c>
      <c r="D1153" s="2">
        <v>44249</v>
      </c>
      <c r="E1153" s="1">
        <v>662.45</v>
      </c>
      <c r="G1153" s="3">
        <v>1680000</v>
      </c>
      <c r="H1153" s="3">
        <f t="shared" si="51"/>
        <v>1807680000</v>
      </c>
      <c r="J1153" s="3">
        <v>7240000</v>
      </c>
      <c r="K1153" s="3"/>
      <c r="L1153" s="3">
        <f t="shared" si="52"/>
        <v>4796138000</v>
      </c>
      <c r="N1153" s="4">
        <f t="shared" si="53"/>
        <v>0.62309674992671193</v>
      </c>
    </row>
    <row r="1154" spans="1:14" x14ac:dyDescent="0.45">
      <c r="A1154" s="2">
        <v>44246</v>
      </c>
      <c r="B1154" s="1">
        <v>1062.1500000000001</v>
      </c>
      <c r="D1154" s="2">
        <v>44246</v>
      </c>
      <c r="E1154" s="1">
        <v>677.9</v>
      </c>
      <c r="G1154" s="3">
        <v>1680000</v>
      </c>
      <c r="H1154" s="3">
        <f t="shared" si="51"/>
        <v>1784412000.0000002</v>
      </c>
      <c r="J1154" s="3">
        <v>7240000</v>
      </c>
      <c r="K1154" s="3"/>
      <c r="L1154" s="3">
        <f t="shared" si="52"/>
        <v>4907996000</v>
      </c>
      <c r="N1154" s="4">
        <f t="shared" si="53"/>
        <v>0.63642757655059201</v>
      </c>
    </row>
    <row r="1155" spans="1:14" x14ac:dyDescent="0.45">
      <c r="A1155" s="2">
        <v>44245</v>
      </c>
      <c r="B1155" s="1">
        <v>1059.45</v>
      </c>
      <c r="D1155" s="2">
        <v>44245</v>
      </c>
      <c r="E1155" s="1">
        <v>680.5</v>
      </c>
      <c r="G1155" s="3">
        <v>1680000</v>
      </c>
      <c r="H1155" s="3">
        <f t="shared" ref="H1155:H1218" si="54">+G1155*B1155</f>
        <v>1779876000</v>
      </c>
      <c r="J1155" s="3">
        <v>7240000</v>
      </c>
      <c r="K1155" s="3"/>
      <c r="L1155" s="3">
        <f t="shared" ref="L1155:L1218" si="55">+(J1155*E1155)</f>
        <v>4926820000</v>
      </c>
      <c r="N1155" s="4">
        <f t="shared" ref="N1155:N1218" si="56">1- (H1155/L1155)</f>
        <v>0.63873736000097425</v>
      </c>
    </row>
    <row r="1156" spans="1:14" x14ac:dyDescent="0.45">
      <c r="A1156" s="2">
        <v>44244</v>
      </c>
      <c r="B1156" s="1">
        <v>1086.05</v>
      </c>
      <c r="D1156" s="2">
        <v>44244</v>
      </c>
      <c r="E1156" s="1">
        <v>675.3</v>
      </c>
      <c r="G1156" s="3">
        <v>1680000</v>
      </c>
      <c r="H1156" s="3">
        <f t="shared" si="54"/>
        <v>1824564000</v>
      </c>
      <c r="J1156" s="3">
        <v>7240000</v>
      </c>
      <c r="K1156" s="3"/>
      <c r="L1156" s="3">
        <f t="shared" si="55"/>
        <v>4889172000</v>
      </c>
      <c r="N1156" s="4">
        <f t="shared" si="56"/>
        <v>0.62681533805724166</v>
      </c>
    </row>
    <row r="1157" spans="1:14" x14ac:dyDescent="0.45">
      <c r="A1157" s="2">
        <v>44243</v>
      </c>
      <c r="B1157" s="1">
        <v>1075</v>
      </c>
      <c r="D1157" s="2">
        <v>44243</v>
      </c>
      <c r="E1157" s="1">
        <v>674.75</v>
      </c>
      <c r="G1157" s="3">
        <v>1680000</v>
      </c>
      <c r="H1157" s="3">
        <f t="shared" si="54"/>
        <v>1806000000</v>
      </c>
      <c r="J1157" s="3">
        <v>7240000</v>
      </c>
      <c r="K1157" s="3"/>
      <c r="L1157" s="3">
        <f t="shared" si="55"/>
        <v>4885190000</v>
      </c>
      <c r="N1157" s="4">
        <f t="shared" si="56"/>
        <v>0.63031120591010792</v>
      </c>
    </row>
    <row r="1158" spans="1:14" x14ac:dyDescent="0.45">
      <c r="A1158" s="2">
        <v>44242</v>
      </c>
      <c r="B1158" s="1">
        <v>1100.1500000000001</v>
      </c>
      <c r="D1158" s="2">
        <v>44242</v>
      </c>
      <c r="E1158" s="1">
        <v>662</v>
      </c>
      <c r="G1158" s="3">
        <v>1680000</v>
      </c>
      <c r="H1158" s="3">
        <f t="shared" si="54"/>
        <v>1848252000.0000002</v>
      </c>
      <c r="J1158" s="3">
        <v>7240000</v>
      </c>
      <c r="K1158" s="3"/>
      <c r="L1158" s="3">
        <f t="shared" si="55"/>
        <v>4792880000</v>
      </c>
      <c r="N1158" s="4">
        <f t="shared" si="56"/>
        <v>0.61437549031062733</v>
      </c>
    </row>
    <row r="1159" spans="1:14" x14ac:dyDescent="0.45">
      <c r="A1159" s="2">
        <v>44239</v>
      </c>
      <c r="B1159" s="1">
        <v>1103.6500000000001</v>
      </c>
      <c r="D1159" s="2">
        <v>44239</v>
      </c>
      <c r="E1159" s="1">
        <v>663</v>
      </c>
      <c r="G1159" s="3">
        <v>1680000</v>
      </c>
      <c r="H1159" s="3">
        <f t="shared" si="54"/>
        <v>1854132000.0000002</v>
      </c>
      <c r="J1159" s="3">
        <v>7240000</v>
      </c>
      <c r="K1159" s="3"/>
      <c r="L1159" s="3">
        <f t="shared" si="55"/>
        <v>4800120000</v>
      </c>
      <c r="N1159" s="4">
        <f t="shared" si="56"/>
        <v>0.6137321566960825</v>
      </c>
    </row>
    <row r="1160" spans="1:14" x14ac:dyDescent="0.45">
      <c r="A1160" s="2">
        <v>44238</v>
      </c>
      <c r="B1160" s="1">
        <v>1124.75</v>
      </c>
      <c r="D1160" s="2">
        <v>44238</v>
      </c>
      <c r="E1160" s="1">
        <v>663</v>
      </c>
      <c r="G1160" s="3">
        <v>1680000</v>
      </c>
      <c r="H1160" s="3">
        <f t="shared" si="54"/>
        <v>1889580000</v>
      </c>
      <c r="J1160" s="3">
        <v>7240000</v>
      </c>
      <c r="K1160" s="3"/>
      <c r="L1160" s="3">
        <f t="shared" si="55"/>
        <v>4800120000</v>
      </c>
      <c r="N1160" s="4">
        <f t="shared" si="56"/>
        <v>0.60634734131646706</v>
      </c>
    </row>
    <row r="1161" spans="1:14" x14ac:dyDescent="0.45">
      <c r="A1161" s="2">
        <v>44237</v>
      </c>
      <c r="B1161" s="1">
        <v>1095</v>
      </c>
      <c r="D1161" s="2">
        <v>44237</v>
      </c>
      <c r="E1161" s="1">
        <v>655.5</v>
      </c>
      <c r="G1161" s="3">
        <v>1680000</v>
      </c>
      <c r="H1161" s="3">
        <f t="shared" si="54"/>
        <v>1839600000</v>
      </c>
      <c r="J1161" s="3">
        <v>7240000</v>
      </c>
      <c r="K1161" s="3"/>
      <c r="L1161" s="3">
        <f t="shared" si="55"/>
        <v>4745820000</v>
      </c>
      <c r="N1161" s="4">
        <f t="shared" si="56"/>
        <v>0.61237467919137267</v>
      </c>
    </row>
    <row r="1162" spans="1:14" x14ac:dyDescent="0.45">
      <c r="A1162" s="2">
        <v>44236</v>
      </c>
      <c r="B1162" s="1">
        <v>1122</v>
      </c>
      <c r="D1162" s="2">
        <v>44236</v>
      </c>
      <c r="E1162" s="1">
        <v>668</v>
      </c>
      <c r="G1162" s="3">
        <v>1680000</v>
      </c>
      <c r="H1162" s="3">
        <f t="shared" si="54"/>
        <v>1884960000</v>
      </c>
      <c r="J1162" s="3">
        <v>7240000</v>
      </c>
      <c r="K1162" s="3"/>
      <c r="L1162" s="3">
        <f t="shared" si="55"/>
        <v>4836320000</v>
      </c>
      <c r="N1162" s="4">
        <f t="shared" si="56"/>
        <v>0.61024911502960921</v>
      </c>
    </row>
    <row r="1163" spans="1:14" x14ac:dyDescent="0.45">
      <c r="A1163" s="2">
        <v>44235</v>
      </c>
      <c r="B1163" s="1">
        <v>1084.7</v>
      </c>
      <c r="D1163" s="2">
        <v>44235</v>
      </c>
      <c r="E1163" s="1">
        <v>662</v>
      </c>
      <c r="G1163" s="3">
        <v>1680000</v>
      </c>
      <c r="H1163" s="3">
        <f t="shared" si="54"/>
        <v>1822296000</v>
      </c>
      <c r="J1163" s="3">
        <v>7240000</v>
      </c>
      <c r="K1163" s="3"/>
      <c r="L1163" s="3">
        <f t="shared" si="55"/>
        <v>4792880000</v>
      </c>
      <c r="N1163" s="4">
        <f t="shared" si="56"/>
        <v>0.61979102335130443</v>
      </c>
    </row>
    <row r="1164" spans="1:14" x14ac:dyDescent="0.45">
      <c r="A1164" s="2">
        <v>44232</v>
      </c>
      <c r="B1164" s="1">
        <v>1106.05</v>
      </c>
      <c r="D1164" s="2">
        <v>44232</v>
      </c>
      <c r="E1164" s="1">
        <v>658.3</v>
      </c>
      <c r="G1164" s="3">
        <v>1680000</v>
      </c>
      <c r="H1164" s="3">
        <f t="shared" si="54"/>
        <v>1858164000</v>
      </c>
      <c r="J1164" s="3">
        <v>7240000</v>
      </c>
      <c r="K1164" s="3"/>
      <c r="L1164" s="3">
        <f t="shared" si="55"/>
        <v>4766092000</v>
      </c>
      <c r="N1164" s="4">
        <f t="shared" si="56"/>
        <v>0.61012838191121777</v>
      </c>
    </row>
    <row r="1165" spans="1:14" x14ac:dyDescent="0.45">
      <c r="A1165" s="2">
        <v>44231</v>
      </c>
      <c r="B1165" s="1">
        <v>1128.3499999999999</v>
      </c>
      <c r="D1165" s="2">
        <v>44231</v>
      </c>
      <c r="E1165" s="1">
        <v>654.95000000000005</v>
      </c>
      <c r="G1165" s="3">
        <v>1680000</v>
      </c>
      <c r="H1165" s="3">
        <f t="shared" si="54"/>
        <v>1895627999.9999998</v>
      </c>
      <c r="J1165" s="3">
        <v>7240000</v>
      </c>
      <c r="K1165" s="3"/>
      <c r="L1165" s="3">
        <f t="shared" si="55"/>
        <v>4741838000</v>
      </c>
      <c r="N1165" s="4">
        <f t="shared" si="56"/>
        <v>0.60023349595663122</v>
      </c>
    </row>
    <row r="1166" spans="1:14" x14ac:dyDescent="0.45">
      <c r="A1166" s="2">
        <v>44230</v>
      </c>
      <c r="B1166" s="1">
        <v>1105.9000000000001</v>
      </c>
      <c r="D1166" s="2">
        <v>44230</v>
      </c>
      <c r="E1166" s="1">
        <v>650.04999999999995</v>
      </c>
      <c r="G1166" s="3">
        <v>1680000</v>
      </c>
      <c r="H1166" s="3">
        <f t="shared" si="54"/>
        <v>1857912000.0000002</v>
      </c>
      <c r="J1166" s="3">
        <v>7240000</v>
      </c>
      <c r="K1166" s="3"/>
      <c r="L1166" s="3">
        <f t="shared" si="55"/>
        <v>4706362000</v>
      </c>
      <c r="N1166" s="4">
        <f t="shared" si="56"/>
        <v>0.60523393653101909</v>
      </c>
    </row>
    <row r="1167" spans="1:14" x14ac:dyDescent="0.45">
      <c r="A1167" s="2">
        <v>44229</v>
      </c>
      <c r="B1167" s="1">
        <v>1110</v>
      </c>
      <c r="D1167" s="2">
        <v>44229</v>
      </c>
      <c r="E1167" s="1">
        <v>651.70000000000005</v>
      </c>
      <c r="G1167" s="3">
        <v>1680000</v>
      </c>
      <c r="H1167" s="3">
        <f t="shared" si="54"/>
        <v>1864800000</v>
      </c>
      <c r="J1167" s="3">
        <v>7240000</v>
      </c>
      <c r="K1167" s="3"/>
      <c r="L1167" s="3">
        <f t="shared" si="55"/>
        <v>4718308000</v>
      </c>
      <c r="N1167" s="4">
        <f t="shared" si="56"/>
        <v>0.60477357561227452</v>
      </c>
    </row>
    <row r="1168" spans="1:14" x14ac:dyDescent="0.45">
      <c r="A1168" s="2">
        <v>44228</v>
      </c>
      <c r="B1168" s="1">
        <v>1110</v>
      </c>
      <c r="D1168" s="2">
        <v>44228</v>
      </c>
      <c r="E1168" s="1">
        <v>639.25</v>
      </c>
      <c r="G1168" s="3">
        <v>1680000</v>
      </c>
      <c r="H1168" s="3">
        <f t="shared" si="54"/>
        <v>1864800000</v>
      </c>
      <c r="J1168" s="3">
        <v>7240000</v>
      </c>
      <c r="K1168" s="3"/>
      <c r="L1168" s="3">
        <f t="shared" si="55"/>
        <v>4628170000</v>
      </c>
      <c r="N1168" s="4">
        <f t="shared" si="56"/>
        <v>0.59707616617367121</v>
      </c>
    </row>
    <row r="1169" spans="1:14" x14ac:dyDescent="0.45">
      <c r="A1169" s="2">
        <v>44225</v>
      </c>
      <c r="B1169" s="1">
        <v>1116.8</v>
      </c>
      <c r="D1169" s="2">
        <v>44225</v>
      </c>
      <c r="E1169" s="1">
        <v>628.54999999999995</v>
      </c>
      <c r="G1169" s="3">
        <v>1680000</v>
      </c>
      <c r="H1169" s="3">
        <f t="shared" si="54"/>
        <v>1876224000</v>
      </c>
      <c r="J1169" s="3">
        <v>7240000</v>
      </c>
      <c r="K1169" s="3"/>
      <c r="L1169" s="3">
        <f t="shared" si="55"/>
        <v>4550702000</v>
      </c>
      <c r="N1169" s="4">
        <f t="shared" si="56"/>
        <v>0.58770668789123093</v>
      </c>
    </row>
    <row r="1170" spans="1:14" x14ac:dyDescent="0.45">
      <c r="A1170" s="2">
        <v>44224</v>
      </c>
      <c r="B1170" s="1">
        <v>1096.5</v>
      </c>
      <c r="D1170" s="2">
        <v>44224</v>
      </c>
      <c r="E1170" s="1">
        <v>630.35</v>
      </c>
      <c r="G1170" s="3">
        <v>1680000</v>
      </c>
      <c r="H1170" s="3">
        <f t="shared" si="54"/>
        <v>1842120000</v>
      </c>
      <c r="J1170" s="3">
        <v>7240000</v>
      </c>
      <c r="K1170" s="3"/>
      <c r="L1170" s="3">
        <f t="shared" si="55"/>
        <v>4563734000</v>
      </c>
      <c r="N1170" s="4">
        <f t="shared" si="56"/>
        <v>0.5963568428834809</v>
      </c>
    </row>
    <row r="1171" spans="1:14" x14ac:dyDescent="0.45">
      <c r="A1171" s="2">
        <v>44223</v>
      </c>
      <c r="B1171" s="1">
        <v>1091</v>
      </c>
      <c r="D1171" s="2">
        <v>44223</v>
      </c>
      <c r="E1171" s="1">
        <v>648.4</v>
      </c>
      <c r="G1171" s="3">
        <v>1680000</v>
      </c>
      <c r="H1171" s="3">
        <f t="shared" si="54"/>
        <v>1832880000</v>
      </c>
      <c r="J1171" s="3">
        <v>7240000</v>
      </c>
      <c r="K1171" s="3"/>
      <c r="L1171" s="3">
        <f t="shared" si="55"/>
        <v>4694416000</v>
      </c>
      <c r="N1171" s="4">
        <f t="shared" si="56"/>
        <v>0.60956165793572614</v>
      </c>
    </row>
    <row r="1172" spans="1:14" x14ac:dyDescent="0.45">
      <c r="A1172" s="2">
        <v>44221</v>
      </c>
      <c r="B1172" s="1">
        <v>1122</v>
      </c>
      <c r="D1172" s="2">
        <v>44221</v>
      </c>
      <c r="E1172" s="1">
        <v>660.85</v>
      </c>
      <c r="G1172" s="3">
        <v>1680000</v>
      </c>
      <c r="H1172" s="3">
        <f t="shared" si="54"/>
        <v>1884960000</v>
      </c>
      <c r="J1172" s="3">
        <v>7240000</v>
      </c>
      <c r="K1172" s="3"/>
      <c r="L1172" s="3">
        <f t="shared" si="55"/>
        <v>4784554000</v>
      </c>
      <c r="N1172" s="4">
        <f t="shared" si="56"/>
        <v>0.60603224459374894</v>
      </c>
    </row>
    <row r="1173" spans="1:14" x14ac:dyDescent="0.45">
      <c r="A1173" s="2">
        <v>44218</v>
      </c>
      <c r="B1173" s="1">
        <v>1068.05</v>
      </c>
      <c r="D1173" s="2">
        <v>44218</v>
      </c>
      <c r="E1173" s="1">
        <v>683.6</v>
      </c>
      <c r="G1173" s="3">
        <v>1680000</v>
      </c>
      <c r="H1173" s="3">
        <f t="shared" si="54"/>
        <v>1794324000</v>
      </c>
      <c r="J1173" s="3">
        <v>7240000</v>
      </c>
      <c r="K1173" s="3"/>
      <c r="L1173" s="3">
        <f t="shared" si="55"/>
        <v>4949264000</v>
      </c>
      <c r="N1173" s="4">
        <f t="shared" si="56"/>
        <v>0.63745639755729333</v>
      </c>
    </row>
    <row r="1174" spans="1:14" x14ac:dyDescent="0.45">
      <c r="A1174" s="2">
        <v>44217</v>
      </c>
      <c r="B1174" s="1">
        <v>1066.3499999999999</v>
      </c>
      <c r="D1174" s="2">
        <v>44217</v>
      </c>
      <c r="E1174" s="1">
        <v>695.55</v>
      </c>
      <c r="G1174" s="3">
        <v>1680000</v>
      </c>
      <c r="H1174" s="3">
        <f t="shared" si="54"/>
        <v>1791467999.9999998</v>
      </c>
      <c r="J1174" s="3">
        <v>7240000</v>
      </c>
      <c r="K1174" s="3"/>
      <c r="L1174" s="3">
        <f t="shared" si="55"/>
        <v>5035782000</v>
      </c>
      <c r="N1174" s="4">
        <f t="shared" si="56"/>
        <v>0.64425227303326471</v>
      </c>
    </row>
    <row r="1175" spans="1:14" x14ac:dyDescent="0.45">
      <c r="A1175" s="2">
        <v>44216</v>
      </c>
      <c r="B1175" s="1">
        <v>1069.2</v>
      </c>
      <c r="D1175" s="2">
        <v>44216</v>
      </c>
      <c r="E1175" s="1">
        <v>673.35</v>
      </c>
      <c r="G1175" s="3">
        <v>1680000</v>
      </c>
      <c r="H1175" s="3">
        <f t="shared" si="54"/>
        <v>1796256000</v>
      </c>
      <c r="J1175" s="3">
        <v>7240000</v>
      </c>
      <c r="K1175" s="3"/>
      <c r="L1175" s="3">
        <f t="shared" si="55"/>
        <v>4875054000</v>
      </c>
      <c r="N1175" s="4">
        <f t="shared" si="56"/>
        <v>0.63154131215777309</v>
      </c>
    </row>
    <row r="1176" spans="1:14" x14ac:dyDescent="0.45">
      <c r="A1176" s="2">
        <v>44215</v>
      </c>
      <c r="B1176" s="1">
        <v>1123.3</v>
      </c>
      <c r="D1176" s="2">
        <v>44215</v>
      </c>
      <c r="E1176" s="1">
        <v>668.8</v>
      </c>
      <c r="G1176" s="3">
        <v>1680000</v>
      </c>
      <c r="H1176" s="3">
        <f t="shared" si="54"/>
        <v>1887144000</v>
      </c>
      <c r="J1176" s="3">
        <v>7240000</v>
      </c>
      <c r="K1176" s="3"/>
      <c r="L1176" s="3">
        <f t="shared" si="55"/>
        <v>4842112000</v>
      </c>
      <c r="N1176" s="4">
        <f t="shared" si="56"/>
        <v>0.61026428137143462</v>
      </c>
    </row>
    <row r="1177" spans="1:14" x14ac:dyDescent="0.45">
      <c r="A1177" s="2">
        <v>44214</v>
      </c>
      <c r="B1177" s="1">
        <v>1100.1500000000001</v>
      </c>
      <c r="D1177" s="2">
        <v>44214</v>
      </c>
      <c r="E1177" s="1">
        <v>664.7</v>
      </c>
      <c r="G1177" s="3">
        <v>1680000</v>
      </c>
      <c r="H1177" s="3">
        <f t="shared" si="54"/>
        <v>1848252000.0000002</v>
      </c>
      <c r="J1177" s="3">
        <v>7240000</v>
      </c>
      <c r="K1177" s="3"/>
      <c r="L1177" s="3">
        <f t="shared" si="55"/>
        <v>4812428000</v>
      </c>
      <c r="N1177" s="4">
        <f t="shared" si="56"/>
        <v>0.61594189045529613</v>
      </c>
    </row>
    <row r="1178" spans="1:14" x14ac:dyDescent="0.45">
      <c r="A1178" s="2">
        <v>44211</v>
      </c>
      <c r="B1178" s="1">
        <v>1088.5</v>
      </c>
      <c r="D1178" s="2">
        <v>44211</v>
      </c>
      <c r="E1178" s="1">
        <v>675.2</v>
      </c>
      <c r="G1178" s="3">
        <v>1680000</v>
      </c>
      <c r="H1178" s="3">
        <f t="shared" si="54"/>
        <v>1828680000</v>
      </c>
      <c r="J1178" s="3">
        <v>7240000</v>
      </c>
      <c r="K1178" s="3"/>
      <c r="L1178" s="3">
        <f t="shared" si="55"/>
        <v>4888448000</v>
      </c>
      <c r="N1178" s="4">
        <f t="shared" si="56"/>
        <v>0.62591808279437566</v>
      </c>
    </row>
    <row r="1179" spans="1:14" x14ac:dyDescent="0.45">
      <c r="A1179" s="2">
        <v>44210</v>
      </c>
      <c r="B1179" s="1">
        <v>1069.95</v>
      </c>
      <c r="D1179" s="2">
        <v>44210</v>
      </c>
      <c r="E1179" s="1">
        <v>662.85</v>
      </c>
      <c r="G1179" s="3">
        <v>1680000</v>
      </c>
      <c r="H1179" s="3">
        <f t="shared" si="54"/>
        <v>1797516000</v>
      </c>
      <c r="J1179" s="3">
        <v>7240000</v>
      </c>
      <c r="K1179" s="3"/>
      <c r="L1179" s="3">
        <f t="shared" si="55"/>
        <v>4799034000</v>
      </c>
      <c r="N1179" s="4">
        <f t="shared" si="56"/>
        <v>0.62544212022669554</v>
      </c>
    </row>
    <row r="1180" spans="1:14" x14ac:dyDescent="0.45">
      <c r="A1180" s="2">
        <v>44209</v>
      </c>
      <c r="B1180" s="1">
        <v>1071.5</v>
      </c>
      <c r="D1180" s="2">
        <v>44209</v>
      </c>
      <c r="E1180" s="1">
        <v>651.45000000000005</v>
      </c>
      <c r="G1180" s="3">
        <v>1680000</v>
      </c>
      <c r="H1180" s="3">
        <f t="shared" si="54"/>
        <v>1800120000</v>
      </c>
      <c r="J1180" s="3">
        <v>7240000</v>
      </c>
      <c r="K1180" s="3"/>
      <c r="L1180" s="3">
        <f t="shared" si="55"/>
        <v>4716498000</v>
      </c>
      <c r="N1180" s="4">
        <f t="shared" si="56"/>
        <v>0.61833546839201459</v>
      </c>
    </row>
    <row r="1181" spans="1:14" x14ac:dyDescent="0.45">
      <c r="A1181" s="2">
        <v>44208</v>
      </c>
      <c r="B1181" s="1">
        <v>1020.15</v>
      </c>
      <c r="D1181" s="2">
        <v>44208</v>
      </c>
      <c r="E1181" s="1">
        <v>667.05</v>
      </c>
      <c r="G1181" s="3">
        <v>1680000</v>
      </c>
      <c r="H1181" s="3">
        <f t="shared" si="54"/>
        <v>1713852000</v>
      </c>
      <c r="J1181" s="3">
        <v>7240000</v>
      </c>
      <c r="K1181" s="3"/>
      <c r="L1181" s="3">
        <f t="shared" si="55"/>
        <v>4829442000</v>
      </c>
      <c r="N1181" s="4">
        <f t="shared" si="56"/>
        <v>0.6451242193197475</v>
      </c>
    </row>
    <row r="1182" spans="1:14" x14ac:dyDescent="0.45">
      <c r="A1182" s="2">
        <v>44207</v>
      </c>
      <c r="B1182" s="1">
        <v>999.25</v>
      </c>
      <c r="D1182" s="2">
        <v>44207</v>
      </c>
      <c r="E1182" s="1">
        <v>626.15</v>
      </c>
      <c r="G1182" s="3">
        <v>1680000</v>
      </c>
      <c r="H1182" s="3">
        <f t="shared" si="54"/>
        <v>1678740000</v>
      </c>
      <c r="J1182" s="3">
        <v>7240000</v>
      </c>
      <c r="K1182" s="3"/>
      <c r="L1182" s="3">
        <f t="shared" si="55"/>
        <v>4533326000</v>
      </c>
      <c r="N1182" s="4">
        <f t="shared" si="56"/>
        <v>0.62968910685002577</v>
      </c>
    </row>
    <row r="1183" spans="1:14" x14ac:dyDescent="0.45">
      <c r="A1183" s="2">
        <v>44204</v>
      </c>
      <c r="B1183" s="1">
        <v>1025.4000000000001</v>
      </c>
      <c r="D1183" s="2">
        <v>44204</v>
      </c>
      <c r="E1183" s="1">
        <v>636.70000000000005</v>
      </c>
      <c r="G1183" s="3">
        <v>1680000</v>
      </c>
      <c r="H1183" s="3">
        <f t="shared" si="54"/>
        <v>1722672000.0000002</v>
      </c>
      <c r="J1183" s="3">
        <v>7240000</v>
      </c>
      <c r="K1183" s="3"/>
      <c r="L1183" s="3">
        <f t="shared" si="55"/>
        <v>4609708000</v>
      </c>
      <c r="N1183" s="4">
        <f t="shared" si="56"/>
        <v>0.62629476747767965</v>
      </c>
    </row>
    <row r="1184" spans="1:14" x14ac:dyDescent="0.45">
      <c r="A1184" s="2">
        <v>44203</v>
      </c>
      <c r="B1184" s="1">
        <v>1021.7</v>
      </c>
      <c r="D1184" s="2">
        <v>44203</v>
      </c>
      <c r="E1184" s="1">
        <v>638.4</v>
      </c>
      <c r="G1184" s="3">
        <v>1680000</v>
      </c>
      <c r="H1184" s="3">
        <f t="shared" si="54"/>
        <v>1716456000</v>
      </c>
      <c r="J1184" s="3">
        <v>7240000</v>
      </c>
      <c r="K1184" s="3"/>
      <c r="L1184" s="3">
        <f t="shared" si="55"/>
        <v>4622016000</v>
      </c>
      <c r="N1184" s="4">
        <f t="shared" si="56"/>
        <v>0.6286347775516139</v>
      </c>
    </row>
    <row r="1185" spans="1:14" x14ac:dyDescent="0.45">
      <c r="A1185" s="2">
        <v>44202</v>
      </c>
      <c r="B1185" s="1">
        <v>1039.5999999999999</v>
      </c>
      <c r="D1185" s="2">
        <v>44202</v>
      </c>
      <c r="E1185" s="1">
        <v>643.54999999999995</v>
      </c>
      <c r="G1185" s="3">
        <v>1680000</v>
      </c>
      <c r="H1185" s="3">
        <f t="shared" si="54"/>
        <v>1746527999.9999998</v>
      </c>
      <c r="J1185" s="3">
        <v>7240000</v>
      </c>
      <c r="K1185" s="3"/>
      <c r="L1185" s="3">
        <f t="shared" si="55"/>
        <v>4659302000</v>
      </c>
      <c r="N1185" s="4">
        <f t="shared" si="56"/>
        <v>0.62515243699592782</v>
      </c>
    </row>
    <row r="1186" spans="1:14" x14ac:dyDescent="0.45">
      <c r="A1186" s="2">
        <v>44201</v>
      </c>
      <c r="B1186" s="1">
        <v>1040.0999999999999</v>
      </c>
      <c r="D1186" s="2">
        <v>44201</v>
      </c>
      <c r="E1186" s="1">
        <v>649.4</v>
      </c>
      <c r="G1186" s="3">
        <v>1680000</v>
      </c>
      <c r="H1186" s="3">
        <f t="shared" si="54"/>
        <v>1747367999.9999998</v>
      </c>
      <c r="J1186" s="3">
        <v>7240000</v>
      </c>
      <c r="K1186" s="3"/>
      <c r="L1186" s="3">
        <f t="shared" si="55"/>
        <v>4701656000</v>
      </c>
      <c r="N1186" s="4">
        <f t="shared" si="56"/>
        <v>0.62835052160345217</v>
      </c>
    </row>
    <row r="1187" spans="1:14" x14ac:dyDescent="0.45">
      <c r="A1187" s="2">
        <v>44200</v>
      </c>
      <c r="B1187" s="1">
        <v>1025</v>
      </c>
      <c r="D1187" s="2">
        <v>44200</v>
      </c>
      <c r="E1187" s="1">
        <v>655.6</v>
      </c>
      <c r="G1187" s="3">
        <v>1680000</v>
      </c>
      <c r="H1187" s="3">
        <f t="shared" si="54"/>
        <v>1722000000</v>
      </c>
      <c r="J1187" s="3">
        <v>7240000</v>
      </c>
      <c r="K1187" s="3"/>
      <c r="L1187" s="3">
        <f t="shared" si="55"/>
        <v>4746544000</v>
      </c>
      <c r="N1187" s="4">
        <f t="shared" si="56"/>
        <v>0.63720972564459533</v>
      </c>
    </row>
    <row r="1188" spans="1:14" x14ac:dyDescent="0.45">
      <c r="A1188" s="2">
        <v>44197</v>
      </c>
      <c r="B1188" s="1">
        <v>1038.5999999999999</v>
      </c>
      <c r="D1188" s="2">
        <v>44197</v>
      </c>
      <c r="E1188" s="1">
        <v>637.79999999999995</v>
      </c>
      <c r="G1188" s="3">
        <v>1680000</v>
      </c>
      <c r="H1188" s="3">
        <f t="shared" si="54"/>
        <v>1744847999.9999998</v>
      </c>
      <c r="J1188" s="3">
        <v>7240000</v>
      </c>
      <c r="K1188" s="3"/>
      <c r="L1188" s="3">
        <f t="shared" si="55"/>
        <v>4617672000</v>
      </c>
      <c r="N1188" s="4">
        <f t="shared" si="56"/>
        <v>0.62213686896773956</v>
      </c>
    </row>
    <row r="1189" spans="1:14" x14ac:dyDescent="0.45">
      <c r="A1189" s="2">
        <v>44196</v>
      </c>
      <c r="B1189" s="1">
        <v>1039</v>
      </c>
      <c r="D1189" s="2">
        <v>44196</v>
      </c>
      <c r="E1189" s="1">
        <v>646.79999999999995</v>
      </c>
      <c r="G1189" s="3">
        <v>1680000</v>
      </c>
      <c r="H1189" s="3">
        <f t="shared" si="54"/>
        <v>1745520000</v>
      </c>
      <c r="J1189" s="3">
        <v>7240000</v>
      </c>
      <c r="K1189" s="3"/>
      <c r="L1189" s="3">
        <f t="shared" si="55"/>
        <v>4682832000</v>
      </c>
      <c r="N1189" s="4">
        <f t="shared" si="56"/>
        <v>0.62725120183683725</v>
      </c>
    </row>
    <row r="1190" spans="1:14" x14ac:dyDescent="0.45">
      <c r="A1190" s="2">
        <v>44195</v>
      </c>
      <c r="B1190" s="1">
        <v>1017.85</v>
      </c>
      <c r="D1190" s="2">
        <v>44195</v>
      </c>
      <c r="E1190" s="1">
        <v>640.25</v>
      </c>
      <c r="G1190" s="3">
        <v>1680000</v>
      </c>
      <c r="H1190" s="3">
        <f t="shared" si="54"/>
        <v>1709988000</v>
      </c>
      <c r="J1190" s="3">
        <v>7240000</v>
      </c>
      <c r="K1190" s="3"/>
      <c r="L1190" s="3">
        <f t="shared" si="55"/>
        <v>4635410000</v>
      </c>
      <c r="N1190" s="4">
        <f t="shared" si="56"/>
        <v>0.63110318181131764</v>
      </c>
    </row>
    <row r="1191" spans="1:14" x14ac:dyDescent="0.45">
      <c r="A1191" s="2">
        <v>44194</v>
      </c>
      <c r="B1191" s="1">
        <v>1012.85</v>
      </c>
      <c r="D1191" s="2">
        <v>44194</v>
      </c>
      <c r="E1191" s="1">
        <v>648.4</v>
      </c>
      <c r="G1191" s="3">
        <v>1680000</v>
      </c>
      <c r="H1191" s="3">
        <f t="shared" si="54"/>
        <v>1701588000</v>
      </c>
      <c r="J1191" s="3">
        <v>7240000</v>
      </c>
      <c r="K1191" s="3"/>
      <c r="L1191" s="3">
        <f t="shared" si="55"/>
        <v>4694416000</v>
      </c>
      <c r="N1191" s="4">
        <f t="shared" si="56"/>
        <v>0.63752935402401489</v>
      </c>
    </row>
    <row r="1192" spans="1:14" x14ac:dyDescent="0.45">
      <c r="A1192" s="2">
        <v>44193</v>
      </c>
      <c r="B1192" s="1">
        <v>1015.7</v>
      </c>
      <c r="D1192" s="2">
        <v>44193</v>
      </c>
      <c r="E1192" s="1">
        <v>643.75</v>
      </c>
      <c r="G1192" s="3">
        <v>1680000</v>
      </c>
      <c r="H1192" s="3">
        <f t="shared" si="54"/>
        <v>1706376000</v>
      </c>
      <c r="J1192" s="3">
        <v>7240000</v>
      </c>
      <c r="K1192" s="3"/>
      <c r="L1192" s="3">
        <f t="shared" si="55"/>
        <v>4660750000</v>
      </c>
      <c r="N1192" s="4">
        <f t="shared" si="56"/>
        <v>0.63388381698224538</v>
      </c>
    </row>
    <row r="1193" spans="1:14" x14ac:dyDescent="0.45">
      <c r="A1193" s="2">
        <v>44189</v>
      </c>
      <c r="B1193" s="1">
        <v>1009.6</v>
      </c>
      <c r="D1193" s="2">
        <v>44189</v>
      </c>
      <c r="E1193" s="1">
        <v>624.35</v>
      </c>
      <c r="G1193" s="3">
        <v>1680000</v>
      </c>
      <c r="H1193" s="3">
        <f t="shared" si="54"/>
        <v>1696128000</v>
      </c>
      <c r="J1193" s="3">
        <v>7240000</v>
      </c>
      <c r="K1193" s="3"/>
      <c r="L1193" s="3">
        <f t="shared" si="55"/>
        <v>4520294000</v>
      </c>
      <c r="N1193" s="4">
        <f t="shared" si="56"/>
        <v>0.62477484871559241</v>
      </c>
    </row>
    <row r="1194" spans="1:14" x14ac:dyDescent="0.45">
      <c r="A1194" s="2">
        <v>44188</v>
      </c>
      <c r="B1194" s="1">
        <v>1000</v>
      </c>
      <c r="D1194" s="2">
        <v>44188</v>
      </c>
      <c r="E1194" s="1">
        <v>610.5</v>
      </c>
      <c r="G1194" s="3">
        <v>1680000</v>
      </c>
      <c r="H1194" s="3">
        <f t="shared" si="54"/>
        <v>1680000000</v>
      </c>
      <c r="J1194" s="3">
        <v>7240000</v>
      </c>
      <c r="K1194" s="3"/>
      <c r="L1194" s="3">
        <f t="shared" si="55"/>
        <v>4420020000</v>
      </c>
      <c r="N1194" s="4">
        <f t="shared" si="56"/>
        <v>0.61991122212116689</v>
      </c>
    </row>
    <row r="1195" spans="1:14" x14ac:dyDescent="0.45">
      <c r="A1195" s="2">
        <v>44187</v>
      </c>
      <c r="B1195" s="1">
        <v>1008</v>
      </c>
      <c r="D1195" s="2">
        <v>44187</v>
      </c>
      <c r="E1195" s="1">
        <v>596.75</v>
      </c>
      <c r="G1195" s="3">
        <v>1680000</v>
      </c>
      <c r="H1195" s="3">
        <f t="shared" si="54"/>
        <v>1693440000</v>
      </c>
      <c r="J1195" s="3">
        <v>7240000</v>
      </c>
      <c r="K1195" s="3"/>
      <c r="L1195" s="3">
        <f t="shared" si="55"/>
        <v>4320470000</v>
      </c>
      <c r="N1195" s="4">
        <f t="shared" si="56"/>
        <v>0.6080426435086923</v>
      </c>
    </row>
    <row r="1196" spans="1:14" x14ac:dyDescent="0.45">
      <c r="A1196" s="2">
        <v>44186</v>
      </c>
      <c r="B1196" s="1">
        <v>996.3</v>
      </c>
      <c r="D1196" s="2">
        <v>44186</v>
      </c>
      <c r="E1196" s="1">
        <v>589.04999999999995</v>
      </c>
      <c r="G1196" s="3">
        <v>1680000</v>
      </c>
      <c r="H1196" s="3">
        <f t="shared" si="54"/>
        <v>1673784000</v>
      </c>
      <c r="J1196" s="3">
        <v>7240000</v>
      </c>
      <c r="K1196" s="3"/>
      <c r="L1196" s="3">
        <f t="shared" si="55"/>
        <v>4264721999.9999995</v>
      </c>
      <c r="N1196" s="4">
        <f t="shared" si="56"/>
        <v>0.60752799361834131</v>
      </c>
    </row>
    <row r="1197" spans="1:14" x14ac:dyDescent="0.45">
      <c r="A1197" s="2">
        <v>44183</v>
      </c>
      <c r="B1197" s="1">
        <v>993.55</v>
      </c>
      <c r="D1197" s="2">
        <v>44183</v>
      </c>
      <c r="E1197" s="1">
        <v>634.25</v>
      </c>
      <c r="G1197" s="3">
        <v>1680000</v>
      </c>
      <c r="H1197" s="3">
        <f t="shared" si="54"/>
        <v>1669164000</v>
      </c>
      <c r="J1197" s="3">
        <v>7240000</v>
      </c>
      <c r="K1197" s="3"/>
      <c r="L1197" s="3">
        <f t="shared" si="55"/>
        <v>4591970000</v>
      </c>
      <c r="N1197" s="4">
        <f t="shared" si="56"/>
        <v>0.63650372280306711</v>
      </c>
    </row>
    <row r="1198" spans="1:14" x14ac:dyDescent="0.45">
      <c r="A1198" s="2">
        <v>44182</v>
      </c>
      <c r="B1198" s="1">
        <v>992</v>
      </c>
      <c r="D1198" s="2">
        <v>44182</v>
      </c>
      <c r="E1198" s="1">
        <v>635.15</v>
      </c>
      <c r="G1198" s="3">
        <v>1680000</v>
      </c>
      <c r="H1198" s="3">
        <f t="shared" si="54"/>
        <v>1666560000</v>
      </c>
      <c r="J1198" s="3">
        <v>7240000</v>
      </c>
      <c r="K1198" s="3"/>
      <c r="L1198" s="3">
        <f t="shared" si="55"/>
        <v>4598486000</v>
      </c>
      <c r="N1198" s="4">
        <f t="shared" si="56"/>
        <v>0.63758506604130138</v>
      </c>
    </row>
    <row r="1199" spans="1:14" x14ac:dyDescent="0.45">
      <c r="A1199" s="2">
        <v>44181</v>
      </c>
      <c r="B1199" s="1">
        <v>997.2</v>
      </c>
      <c r="D1199" s="2">
        <v>44181</v>
      </c>
      <c r="E1199" s="1">
        <v>634.9</v>
      </c>
      <c r="G1199" s="3">
        <v>1680000</v>
      </c>
      <c r="H1199" s="3">
        <f t="shared" si="54"/>
        <v>1675296000</v>
      </c>
      <c r="J1199" s="3">
        <v>7240000</v>
      </c>
      <c r="K1199" s="3"/>
      <c r="L1199" s="3">
        <f t="shared" si="55"/>
        <v>4596676000</v>
      </c>
      <c r="N1199" s="4">
        <f t="shared" si="56"/>
        <v>0.6355418567678035</v>
      </c>
    </row>
    <row r="1200" spans="1:14" x14ac:dyDescent="0.45">
      <c r="A1200" s="2">
        <v>44180</v>
      </c>
      <c r="B1200" s="1">
        <v>1000</v>
      </c>
      <c r="D1200" s="2">
        <v>44180</v>
      </c>
      <c r="E1200" s="1">
        <v>635.29999999999995</v>
      </c>
      <c r="G1200" s="3">
        <v>1680000</v>
      </c>
      <c r="H1200" s="3">
        <f t="shared" si="54"/>
        <v>1680000000</v>
      </c>
      <c r="J1200" s="3">
        <v>7240000</v>
      </c>
      <c r="K1200" s="3"/>
      <c r="L1200" s="3">
        <f t="shared" si="55"/>
        <v>4599572000</v>
      </c>
      <c r="N1200" s="4">
        <f t="shared" si="56"/>
        <v>0.63474862443723024</v>
      </c>
    </row>
    <row r="1201" spans="1:14" x14ac:dyDescent="0.45">
      <c r="A1201" s="2">
        <v>44179</v>
      </c>
      <c r="B1201" s="1">
        <v>997.65</v>
      </c>
      <c r="D1201" s="2">
        <v>44179</v>
      </c>
      <c r="E1201" s="1">
        <v>630.70000000000005</v>
      </c>
      <c r="G1201" s="3">
        <v>1680000</v>
      </c>
      <c r="H1201" s="3">
        <f t="shared" si="54"/>
        <v>1676052000</v>
      </c>
      <c r="J1201" s="3">
        <v>7240000</v>
      </c>
      <c r="K1201" s="3"/>
      <c r="L1201" s="3">
        <f t="shared" si="55"/>
        <v>4566268000</v>
      </c>
      <c r="N1201" s="4">
        <f t="shared" si="56"/>
        <v>0.63294927060785744</v>
      </c>
    </row>
    <row r="1202" spans="1:14" x14ac:dyDescent="0.45">
      <c r="A1202" s="2">
        <v>44176</v>
      </c>
      <c r="B1202" s="1">
        <v>994.1</v>
      </c>
      <c r="D1202" s="2">
        <v>44176</v>
      </c>
      <c r="E1202" s="1">
        <v>612.04999999999995</v>
      </c>
      <c r="G1202" s="3">
        <v>1680000</v>
      </c>
      <c r="H1202" s="3">
        <f t="shared" si="54"/>
        <v>1670088000</v>
      </c>
      <c r="J1202" s="3">
        <v>7240000</v>
      </c>
      <c r="K1202" s="3"/>
      <c r="L1202" s="3">
        <f t="shared" si="55"/>
        <v>4431242000</v>
      </c>
      <c r="N1202" s="4">
        <f t="shared" si="56"/>
        <v>0.62311063128576594</v>
      </c>
    </row>
    <row r="1203" spans="1:14" x14ac:dyDescent="0.45">
      <c r="A1203" s="2">
        <v>44175</v>
      </c>
      <c r="B1203" s="1">
        <v>1002.1</v>
      </c>
      <c r="D1203" s="2">
        <v>44175</v>
      </c>
      <c r="E1203" s="1">
        <v>597.20000000000005</v>
      </c>
      <c r="G1203" s="3">
        <v>1680000</v>
      </c>
      <c r="H1203" s="3">
        <f t="shared" si="54"/>
        <v>1683528000</v>
      </c>
      <c r="J1203" s="3">
        <v>7240000</v>
      </c>
      <c r="K1203" s="3"/>
      <c r="L1203" s="3">
        <f t="shared" si="55"/>
        <v>4323728000</v>
      </c>
      <c r="N1203" s="4">
        <f t="shared" si="56"/>
        <v>0.61063045593987408</v>
      </c>
    </row>
    <row r="1204" spans="1:14" x14ac:dyDescent="0.45">
      <c r="A1204" s="2">
        <v>44174</v>
      </c>
      <c r="B1204" s="1">
        <v>1003</v>
      </c>
      <c r="D1204" s="2">
        <v>44174</v>
      </c>
      <c r="E1204" s="1">
        <v>590.5</v>
      </c>
      <c r="G1204" s="3">
        <v>1680000</v>
      </c>
      <c r="H1204" s="3">
        <f t="shared" si="54"/>
        <v>1685040000</v>
      </c>
      <c r="J1204" s="3">
        <v>7240000</v>
      </c>
      <c r="K1204" s="3"/>
      <c r="L1204" s="3">
        <f t="shared" si="55"/>
        <v>4275220000</v>
      </c>
      <c r="N1204" s="4">
        <f t="shared" si="56"/>
        <v>0.60585887977694708</v>
      </c>
    </row>
    <row r="1205" spans="1:14" x14ac:dyDescent="0.45">
      <c r="A1205" s="2">
        <v>44173</v>
      </c>
      <c r="B1205" s="1">
        <v>974.45</v>
      </c>
      <c r="D1205" s="2">
        <v>44173</v>
      </c>
      <c r="E1205" s="1">
        <v>572</v>
      </c>
      <c r="G1205" s="3">
        <v>1680000</v>
      </c>
      <c r="H1205" s="3">
        <f t="shared" si="54"/>
        <v>1637076000</v>
      </c>
      <c r="J1205" s="3">
        <v>7240000</v>
      </c>
      <c r="K1205" s="3"/>
      <c r="L1205" s="3">
        <f t="shared" si="55"/>
        <v>4141280000</v>
      </c>
      <c r="N1205" s="4">
        <f t="shared" si="56"/>
        <v>0.60469323494185367</v>
      </c>
    </row>
    <row r="1206" spans="1:14" x14ac:dyDescent="0.45">
      <c r="A1206" s="2">
        <v>44172</v>
      </c>
      <c r="B1206" s="1">
        <v>1005.85</v>
      </c>
      <c r="D1206" s="2">
        <v>44172</v>
      </c>
      <c r="E1206" s="1">
        <v>577.45000000000005</v>
      </c>
      <c r="G1206" s="3">
        <v>1680000</v>
      </c>
      <c r="H1206" s="3">
        <f t="shared" si="54"/>
        <v>1689828000</v>
      </c>
      <c r="J1206" s="3">
        <v>7240000</v>
      </c>
      <c r="K1206" s="3"/>
      <c r="L1206" s="3">
        <f t="shared" si="55"/>
        <v>4180738000.0000005</v>
      </c>
      <c r="N1206" s="4">
        <f t="shared" si="56"/>
        <v>0.59580629065968738</v>
      </c>
    </row>
    <row r="1207" spans="1:14" x14ac:dyDescent="0.45">
      <c r="A1207" s="2">
        <v>44169</v>
      </c>
      <c r="B1207" s="1">
        <v>1004</v>
      </c>
      <c r="D1207" s="2">
        <v>44169</v>
      </c>
      <c r="E1207" s="1">
        <v>579.20000000000005</v>
      </c>
      <c r="G1207" s="3">
        <v>1680000</v>
      </c>
      <c r="H1207" s="3">
        <f t="shared" si="54"/>
        <v>1686720000</v>
      </c>
      <c r="J1207" s="3">
        <v>7240000</v>
      </c>
      <c r="K1207" s="3"/>
      <c r="L1207" s="3">
        <f t="shared" si="55"/>
        <v>4193408000.0000005</v>
      </c>
      <c r="N1207" s="4">
        <f t="shared" si="56"/>
        <v>0.59776868837947572</v>
      </c>
    </row>
    <row r="1208" spans="1:14" x14ac:dyDescent="0.45">
      <c r="A1208" s="2">
        <v>44168</v>
      </c>
      <c r="B1208" s="1">
        <v>969.3</v>
      </c>
      <c r="D1208" s="2">
        <v>44168</v>
      </c>
      <c r="E1208" s="1">
        <v>566.85</v>
      </c>
      <c r="G1208" s="3">
        <v>1680000</v>
      </c>
      <c r="H1208" s="3">
        <f t="shared" si="54"/>
        <v>1628424000</v>
      </c>
      <c r="J1208" s="3">
        <v>7240000</v>
      </c>
      <c r="K1208" s="3"/>
      <c r="L1208" s="3">
        <f t="shared" si="55"/>
        <v>4103994000</v>
      </c>
      <c r="N1208" s="4">
        <f t="shared" si="56"/>
        <v>0.60320994621337165</v>
      </c>
    </row>
    <row r="1209" spans="1:14" x14ac:dyDescent="0.45">
      <c r="A1209" s="2">
        <v>44167</v>
      </c>
      <c r="B1209" s="1">
        <v>961.75</v>
      </c>
      <c r="D1209" s="2">
        <v>44167</v>
      </c>
      <c r="E1209" s="1">
        <v>571.85</v>
      </c>
      <c r="G1209" s="3">
        <v>1680000</v>
      </c>
      <c r="H1209" s="3">
        <f t="shared" si="54"/>
        <v>1615740000</v>
      </c>
      <c r="J1209" s="3">
        <v>7240000</v>
      </c>
      <c r="K1209" s="3"/>
      <c r="L1209" s="3">
        <f t="shared" si="55"/>
        <v>4140194000</v>
      </c>
      <c r="N1209" s="4">
        <f t="shared" si="56"/>
        <v>0.60974292508998373</v>
      </c>
    </row>
    <row r="1210" spans="1:14" x14ac:dyDescent="0.45">
      <c r="A1210" s="2">
        <v>44166</v>
      </c>
      <c r="B1210" s="1">
        <v>964.7</v>
      </c>
      <c r="D1210" s="2">
        <v>44166</v>
      </c>
      <c r="E1210" s="1">
        <v>567.04999999999995</v>
      </c>
      <c r="G1210" s="3">
        <v>1680000</v>
      </c>
      <c r="H1210" s="3">
        <f t="shared" si="54"/>
        <v>1620696000</v>
      </c>
      <c r="J1210" s="3">
        <v>7240000</v>
      </c>
      <c r="K1210" s="3"/>
      <c r="L1210" s="3">
        <f t="shared" si="55"/>
        <v>4105441999.9999995</v>
      </c>
      <c r="N1210" s="4">
        <f t="shared" si="56"/>
        <v>0.60523227462475404</v>
      </c>
    </row>
    <row r="1211" spans="1:14" x14ac:dyDescent="0.45">
      <c r="A1211" s="2">
        <v>44162</v>
      </c>
      <c r="B1211" s="1">
        <v>940.4</v>
      </c>
      <c r="D1211" s="2">
        <v>44162</v>
      </c>
      <c r="E1211" s="1">
        <v>568.29999999999995</v>
      </c>
      <c r="G1211" s="3">
        <v>1680000</v>
      </c>
      <c r="H1211" s="3">
        <f t="shared" si="54"/>
        <v>1579872000</v>
      </c>
      <c r="J1211" s="3">
        <v>7240000</v>
      </c>
      <c r="K1211" s="3"/>
      <c r="L1211" s="3">
        <f t="shared" si="55"/>
        <v>4114491999.9999995</v>
      </c>
      <c r="N1211" s="4">
        <f t="shared" si="56"/>
        <v>0.61602258553425304</v>
      </c>
    </row>
    <row r="1212" spans="1:14" x14ac:dyDescent="0.45">
      <c r="A1212" s="2">
        <v>44161</v>
      </c>
      <c r="B1212" s="1">
        <v>843.85</v>
      </c>
      <c r="D1212" s="2">
        <v>44161</v>
      </c>
      <c r="E1212" s="1">
        <v>567.4</v>
      </c>
      <c r="G1212" s="3">
        <v>1680000</v>
      </c>
      <c r="H1212" s="3">
        <f t="shared" si="54"/>
        <v>1417668000</v>
      </c>
      <c r="J1212" s="3">
        <v>7240000</v>
      </c>
      <c r="K1212" s="3"/>
      <c r="L1212" s="3">
        <f t="shared" si="55"/>
        <v>4107976000</v>
      </c>
      <c r="N1212" s="4">
        <f t="shared" si="56"/>
        <v>0.65489866542550401</v>
      </c>
    </row>
    <row r="1213" spans="1:14" x14ac:dyDescent="0.45">
      <c r="A1213" s="2">
        <v>44160</v>
      </c>
      <c r="B1213" s="1">
        <v>844.3</v>
      </c>
      <c r="D1213" s="2">
        <v>44160</v>
      </c>
      <c r="E1213" s="1">
        <v>562.65</v>
      </c>
      <c r="G1213" s="3">
        <v>1680000</v>
      </c>
      <c r="H1213" s="3">
        <f t="shared" si="54"/>
        <v>1418424000</v>
      </c>
      <c r="J1213" s="3">
        <v>7240000</v>
      </c>
      <c r="K1213" s="3"/>
      <c r="L1213" s="3">
        <f t="shared" si="55"/>
        <v>4073586000</v>
      </c>
      <c r="N1213" s="4">
        <f t="shared" si="56"/>
        <v>0.65179966741833861</v>
      </c>
    </row>
    <row r="1214" spans="1:14" x14ac:dyDescent="0.45">
      <c r="A1214" s="2">
        <v>44159</v>
      </c>
      <c r="B1214" s="1">
        <v>860</v>
      </c>
      <c r="D1214" s="2">
        <v>44159</v>
      </c>
      <c r="E1214" s="1">
        <v>572.45000000000005</v>
      </c>
      <c r="G1214" s="3">
        <v>1680000</v>
      </c>
      <c r="H1214" s="3">
        <f t="shared" si="54"/>
        <v>1444800000</v>
      </c>
      <c r="J1214" s="3">
        <v>7240000</v>
      </c>
      <c r="K1214" s="3"/>
      <c r="L1214" s="3">
        <f t="shared" si="55"/>
        <v>4144538000.0000005</v>
      </c>
      <c r="N1214" s="4">
        <f t="shared" si="56"/>
        <v>0.65139660922399556</v>
      </c>
    </row>
    <row r="1215" spans="1:14" x14ac:dyDescent="0.45">
      <c r="A1215" s="2">
        <v>44158</v>
      </c>
      <c r="B1215" s="1">
        <v>835</v>
      </c>
      <c r="D1215" s="2">
        <v>44158</v>
      </c>
      <c r="E1215" s="1">
        <v>544.4</v>
      </c>
      <c r="G1215" s="3">
        <v>1680000</v>
      </c>
      <c r="H1215" s="3">
        <f t="shared" si="54"/>
        <v>1402800000</v>
      </c>
      <c r="J1215" s="3">
        <v>7240000</v>
      </c>
      <c r="K1215" s="3"/>
      <c r="L1215" s="3">
        <f t="shared" si="55"/>
        <v>3941456000</v>
      </c>
      <c r="N1215" s="4">
        <f t="shared" si="56"/>
        <v>0.64409091462647305</v>
      </c>
    </row>
    <row r="1216" spans="1:14" x14ac:dyDescent="0.45">
      <c r="A1216" s="2">
        <v>44155</v>
      </c>
      <c r="B1216" s="1">
        <v>849.7</v>
      </c>
      <c r="D1216" s="2">
        <v>44155</v>
      </c>
      <c r="E1216" s="1">
        <v>526.15</v>
      </c>
      <c r="G1216" s="3">
        <v>1680000</v>
      </c>
      <c r="H1216" s="3">
        <f t="shared" si="54"/>
        <v>1427496000</v>
      </c>
      <c r="J1216" s="3">
        <v>7240000</v>
      </c>
      <c r="K1216" s="3"/>
      <c r="L1216" s="3">
        <f t="shared" si="55"/>
        <v>3809326000</v>
      </c>
      <c r="N1216" s="4">
        <f t="shared" si="56"/>
        <v>0.62526284177305902</v>
      </c>
    </row>
    <row r="1217" spans="1:14" x14ac:dyDescent="0.45">
      <c r="A1217" s="2">
        <v>44154</v>
      </c>
      <c r="B1217" s="1">
        <v>868.9</v>
      </c>
      <c r="D1217" s="2">
        <v>44154</v>
      </c>
      <c r="E1217" s="1">
        <v>526.5</v>
      </c>
      <c r="G1217" s="3">
        <v>1680000</v>
      </c>
      <c r="H1217" s="3">
        <f t="shared" si="54"/>
        <v>1459752000</v>
      </c>
      <c r="J1217" s="3">
        <v>7240000</v>
      </c>
      <c r="K1217" s="3"/>
      <c r="L1217" s="3">
        <f t="shared" si="55"/>
        <v>3811860000</v>
      </c>
      <c r="N1217" s="4">
        <f t="shared" si="56"/>
        <v>0.61704994412176739</v>
      </c>
    </row>
    <row r="1218" spans="1:14" x14ac:dyDescent="0.45">
      <c r="A1218" s="2">
        <v>44153</v>
      </c>
      <c r="B1218" s="1">
        <v>830</v>
      </c>
      <c r="D1218" s="2">
        <v>44153</v>
      </c>
      <c r="E1218" s="1">
        <v>530.4</v>
      </c>
      <c r="G1218" s="3">
        <v>1680000</v>
      </c>
      <c r="H1218" s="3">
        <f t="shared" si="54"/>
        <v>1394400000</v>
      </c>
      <c r="J1218" s="3">
        <v>7240000</v>
      </c>
      <c r="K1218" s="3"/>
      <c r="L1218" s="3">
        <f t="shared" si="55"/>
        <v>3840096000</v>
      </c>
      <c r="N1218" s="4">
        <f t="shared" si="56"/>
        <v>0.63688407789805257</v>
      </c>
    </row>
    <row r="1219" spans="1:14" x14ac:dyDescent="0.45">
      <c r="A1219" s="2">
        <v>44152</v>
      </c>
      <c r="B1219" s="1">
        <v>842.35</v>
      </c>
      <c r="D1219" s="2">
        <v>44152</v>
      </c>
      <c r="E1219" s="1">
        <v>526.75</v>
      </c>
      <c r="G1219" s="3">
        <v>1680000</v>
      </c>
      <c r="H1219" s="3">
        <f t="shared" ref="H1219:H1244" si="57">+G1219*B1219</f>
        <v>1415148000</v>
      </c>
      <c r="J1219" s="3">
        <v>7240000</v>
      </c>
      <c r="K1219" s="3"/>
      <c r="L1219" s="3">
        <f t="shared" ref="L1219:L1244" si="58">+(J1219*E1219)</f>
        <v>3813670000</v>
      </c>
      <c r="N1219" s="4">
        <f t="shared" ref="N1219:N1244" si="59">1- (H1219/L1219)</f>
        <v>0.62892751601475738</v>
      </c>
    </row>
    <row r="1220" spans="1:14" x14ac:dyDescent="0.45">
      <c r="A1220" s="2">
        <v>44149</v>
      </c>
      <c r="B1220" s="1">
        <v>837</v>
      </c>
      <c r="D1220" s="2">
        <v>44149</v>
      </c>
      <c r="E1220" s="1">
        <v>514.20000000000005</v>
      </c>
      <c r="G1220" s="3">
        <v>1680000</v>
      </c>
      <c r="H1220" s="3">
        <f t="shared" si="57"/>
        <v>1406160000</v>
      </c>
      <c r="J1220" s="3">
        <v>7240000</v>
      </c>
      <c r="K1220" s="3"/>
      <c r="L1220" s="3">
        <f t="shared" si="58"/>
        <v>3722808000.0000005</v>
      </c>
      <c r="N1220" s="4">
        <f t="shared" si="59"/>
        <v>0.62228511381731222</v>
      </c>
    </row>
    <row r="1221" spans="1:14" x14ac:dyDescent="0.45">
      <c r="A1221" s="2">
        <v>44148</v>
      </c>
      <c r="B1221" s="1">
        <v>836</v>
      </c>
      <c r="D1221" s="2">
        <v>44148</v>
      </c>
      <c r="E1221" s="1">
        <v>510.75</v>
      </c>
      <c r="G1221" s="3">
        <v>1680000</v>
      </c>
      <c r="H1221" s="3">
        <f t="shared" si="57"/>
        <v>1404480000</v>
      </c>
      <c r="J1221" s="3">
        <v>7240000</v>
      </c>
      <c r="K1221" s="3"/>
      <c r="L1221" s="3">
        <f t="shared" si="58"/>
        <v>3697830000</v>
      </c>
      <c r="N1221" s="4">
        <f t="shared" si="59"/>
        <v>0.62018805623838846</v>
      </c>
    </row>
    <row r="1222" spans="1:14" x14ac:dyDescent="0.45">
      <c r="A1222" s="2">
        <v>44147</v>
      </c>
      <c r="B1222" s="1">
        <v>854</v>
      </c>
      <c r="D1222" s="2">
        <v>44147</v>
      </c>
      <c r="E1222" s="1">
        <v>504</v>
      </c>
      <c r="G1222" s="3">
        <v>1680000</v>
      </c>
      <c r="H1222" s="3">
        <f t="shared" si="57"/>
        <v>1434720000</v>
      </c>
      <c r="J1222" s="3">
        <v>7240000</v>
      </c>
      <c r="K1222" s="3"/>
      <c r="L1222" s="3">
        <f t="shared" si="58"/>
        <v>3648960000</v>
      </c>
      <c r="N1222" s="4">
        <f t="shared" si="59"/>
        <v>0.6068139963167587</v>
      </c>
    </row>
    <row r="1223" spans="1:14" x14ac:dyDescent="0.45">
      <c r="A1223" s="2">
        <v>44146</v>
      </c>
      <c r="B1223" s="1">
        <v>854.55</v>
      </c>
      <c r="D1223" s="2">
        <v>44146</v>
      </c>
      <c r="E1223" s="1">
        <v>506.35</v>
      </c>
      <c r="G1223" s="3">
        <v>1680000</v>
      </c>
      <c r="H1223" s="3">
        <f t="shared" si="57"/>
        <v>1435644000</v>
      </c>
      <c r="J1223" s="3">
        <v>7240000</v>
      </c>
      <c r="K1223" s="3"/>
      <c r="L1223" s="3">
        <f t="shared" si="58"/>
        <v>3665974000</v>
      </c>
      <c r="N1223" s="4">
        <f t="shared" si="59"/>
        <v>0.60838674796929815</v>
      </c>
    </row>
    <row r="1224" spans="1:14" x14ac:dyDescent="0.45">
      <c r="A1224" s="2">
        <v>44145</v>
      </c>
      <c r="B1224" s="1">
        <v>822.3</v>
      </c>
      <c r="D1224" s="2">
        <v>44145</v>
      </c>
      <c r="E1224" s="1">
        <v>495.7</v>
      </c>
      <c r="G1224" s="3">
        <v>1680000</v>
      </c>
      <c r="H1224" s="3">
        <f t="shared" si="57"/>
        <v>1381464000</v>
      </c>
      <c r="J1224" s="3">
        <v>7240000</v>
      </c>
      <c r="K1224" s="3"/>
      <c r="L1224" s="3">
        <f t="shared" si="58"/>
        <v>3588868000</v>
      </c>
      <c r="N1224" s="4">
        <f t="shared" si="59"/>
        <v>0.6150697100032656</v>
      </c>
    </row>
    <row r="1225" spans="1:14" x14ac:dyDescent="0.45">
      <c r="A1225" s="2">
        <v>44144</v>
      </c>
      <c r="B1225" s="1">
        <v>837</v>
      </c>
      <c r="D1225" s="2">
        <v>44144</v>
      </c>
      <c r="E1225" s="1">
        <v>504.5</v>
      </c>
      <c r="G1225" s="3">
        <v>1680000</v>
      </c>
      <c r="H1225" s="3">
        <f t="shared" si="57"/>
        <v>1406160000</v>
      </c>
      <c r="J1225" s="3">
        <v>7240000</v>
      </c>
      <c r="K1225" s="3"/>
      <c r="L1225" s="3">
        <f t="shared" si="58"/>
        <v>3652580000</v>
      </c>
      <c r="N1225" s="4">
        <f t="shared" si="59"/>
        <v>0.61502280579754587</v>
      </c>
    </row>
    <row r="1226" spans="1:14" x14ac:dyDescent="0.45">
      <c r="A1226" s="2">
        <v>44141</v>
      </c>
      <c r="B1226" s="1">
        <v>837.4</v>
      </c>
      <c r="D1226" s="2">
        <v>44141</v>
      </c>
      <c r="E1226" s="1">
        <v>512.45000000000005</v>
      </c>
      <c r="G1226" s="3">
        <v>1680000</v>
      </c>
      <c r="H1226" s="3">
        <f t="shared" si="57"/>
        <v>1406832000</v>
      </c>
      <c r="J1226" s="3">
        <v>7240000</v>
      </c>
      <c r="K1226" s="3"/>
      <c r="L1226" s="3">
        <f t="shared" si="58"/>
        <v>3710138000.0000005</v>
      </c>
      <c r="N1226" s="4">
        <f t="shared" si="59"/>
        <v>0.62081410448883578</v>
      </c>
    </row>
    <row r="1227" spans="1:14" x14ac:dyDescent="0.45">
      <c r="A1227" s="2">
        <v>44140</v>
      </c>
      <c r="B1227" s="1">
        <v>850</v>
      </c>
      <c r="D1227" s="2">
        <v>44140</v>
      </c>
      <c r="E1227" s="1">
        <v>459.8</v>
      </c>
      <c r="G1227" s="3">
        <v>1680000</v>
      </c>
      <c r="H1227" s="3">
        <f t="shared" si="57"/>
        <v>1428000000</v>
      </c>
      <c r="J1227" s="3">
        <v>7240000</v>
      </c>
      <c r="K1227" s="3"/>
      <c r="L1227" s="3">
        <f t="shared" si="58"/>
        <v>3328952000</v>
      </c>
      <c r="N1227" s="4">
        <f t="shared" si="59"/>
        <v>0.57103616994177142</v>
      </c>
    </row>
    <row r="1228" spans="1:14" x14ac:dyDescent="0.45">
      <c r="A1228" s="2">
        <v>44139</v>
      </c>
      <c r="B1228" s="1">
        <v>361.2</v>
      </c>
      <c r="D1228" s="2">
        <v>44139</v>
      </c>
      <c r="E1228" s="1">
        <v>456.05</v>
      </c>
      <c r="G1228" s="3">
        <v>1680000</v>
      </c>
      <c r="H1228" s="3">
        <f t="shared" si="57"/>
        <v>606816000</v>
      </c>
      <c r="J1228" s="3">
        <v>7240000</v>
      </c>
      <c r="K1228" s="3"/>
      <c r="L1228" s="3">
        <f t="shared" si="58"/>
        <v>3301802000</v>
      </c>
      <c r="N1228" s="4">
        <f t="shared" si="59"/>
        <v>0.81621672044538107</v>
      </c>
    </row>
    <row r="1229" spans="1:14" x14ac:dyDescent="0.45">
      <c r="A1229" s="2">
        <v>44138</v>
      </c>
      <c r="B1229" s="1">
        <v>353.65</v>
      </c>
      <c r="D1229" s="2">
        <v>44138</v>
      </c>
      <c r="E1229" s="1">
        <v>440.4</v>
      </c>
      <c r="G1229" s="3">
        <v>1680000</v>
      </c>
      <c r="H1229" s="3">
        <f t="shared" si="57"/>
        <v>594132000</v>
      </c>
      <c r="J1229" s="3">
        <v>7240000</v>
      </c>
      <c r="K1229" s="3"/>
      <c r="L1229" s="3">
        <f t="shared" si="58"/>
        <v>3188496000</v>
      </c>
      <c r="N1229" s="4">
        <f t="shared" si="59"/>
        <v>0.81366387161846843</v>
      </c>
    </row>
    <row r="1230" spans="1:14" x14ac:dyDescent="0.45">
      <c r="A1230" s="2">
        <v>44137</v>
      </c>
      <c r="B1230" s="1">
        <v>358.3</v>
      </c>
      <c r="D1230" s="2">
        <v>44137</v>
      </c>
      <c r="E1230" s="1">
        <v>441.25</v>
      </c>
      <c r="G1230" s="3">
        <v>1680000</v>
      </c>
      <c r="H1230" s="3">
        <f t="shared" si="57"/>
        <v>601944000</v>
      </c>
      <c r="J1230" s="3">
        <v>7240000</v>
      </c>
      <c r="K1230" s="3"/>
      <c r="L1230" s="3">
        <f t="shared" si="58"/>
        <v>3194650000</v>
      </c>
      <c r="N1230" s="4">
        <f t="shared" si="59"/>
        <v>0.81157748110121608</v>
      </c>
    </row>
    <row r="1231" spans="1:14" x14ac:dyDescent="0.45">
      <c r="A1231" s="2">
        <v>44134</v>
      </c>
      <c r="B1231" s="1">
        <v>366.5</v>
      </c>
      <c r="D1231" s="2">
        <v>44134</v>
      </c>
      <c r="E1231" s="1">
        <v>454.4</v>
      </c>
      <c r="G1231" s="3">
        <v>1680000</v>
      </c>
      <c r="H1231" s="3">
        <f t="shared" si="57"/>
        <v>615720000</v>
      </c>
      <c r="J1231" s="3">
        <v>7240000</v>
      </c>
      <c r="K1231" s="3"/>
      <c r="L1231" s="3">
        <f t="shared" si="58"/>
        <v>3289856000</v>
      </c>
      <c r="N1231" s="4">
        <f t="shared" si="59"/>
        <v>0.81284287215002726</v>
      </c>
    </row>
    <row r="1232" spans="1:14" x14ac:dyDescent="0.45">
      <c r="A1232" s="2">
        <v>44133</v>
      </c>
      <c r="B1232" s="1">
        <v>367.95</v>
      </c>
      <c r="D1232" s="2">
        <v>44133</v>
      </c>
      <c r="E1232" s="1">
        <v>436.6</v>
      </c>
      <c r="G1232" s="3">
        <v>1680000</v>
      </c>
      <c r="H1232" s="3">
        <f t="shared" si="57"/>
        <v>618156000</v>
      </c>
      <c r="J1232" s="3">
        <v>7240000</v>
      </c>
      <c r="K1232" s="3"/>
      <c r="L1232" s="3">
        <f t="shared" si="58"/>
        <v>3160984000</v>
      </c>
      <c r="N1232" s="4">
        <f t="shared" si="59"/>
        <v>0.80444190796283688</v>
      </c>
    </row>
    <row r="1233" spans="1:14" x14ac:dyDescent="0.45">
      <c r="A1233" s="2">
        <v>44132</v>
      </c>
      <c r="B1233" s="1">
        <v>373.1</v>
      </c>
      <c r="D1233" s="2">
        <v>44132</v>
      </c>
      <c r="E1233" s="1">
        <v>432.35</v>
      </c>
      <c r="G1233" s="3">
        <v>1680000</v>
      </c>
      <c r="H1233" s="3">
        <f t="shared" si="57"/>
        <v>626808000</v>
      </c>
      <c r="J1233" s="3">
        <v>7240000</v>
      </c>
      <c r="K1233" s="3"/>
      <c r="L1233" s="3">
        <f t="shared" si="58"/>
        <v>3130214000</v>
      </c>
      <c r="N1233" s="4">
        <f t="shared" si="59"/>
        <v>0.79975554387016357</v>
      </c>
    </row>
    <row r="1234" spans="1:14" x14ac:dyDescent="0.45">
      <c r="A1234" s="2">
        <v>44131</v>
      </c>
      <c r="B1234" s="1">
        <v>377.45</v>
      </c>
      <c r="D1234" s="2">
        <v>44131</v>
      </c>
      <c r="E1234" s="1">
        <v>446.9</v>
      </c>
      <c r="G1234" s="3">
        <v>1680000</v>
      </c>
      <c r="H1234" s="3">
        <f t="shared" si="57"/>
        <v>634116000</v>
      </c>
      <c r="J1234" s="3">
        <v>7240000</v>
      </c>
      <c r="K1234" s="3"/>
      <c r="L1234" s="3">
        <f t="shared" si="58"/>
        <v>3235556000</v>
      </c>
      <c r="N1234" s="4">
        <f t="shared" si="59"/>
        <v>0.804016373074674</v>
      </c>
    </row>
    <row r="1235" spans="1:14" x14ac:dyDescent="0.45">
      <c r="A1235" s="2">
        <v>44130</v>
      </c>
      <c r="B1235" s="1">
        <v>377.7</v>
      </c>
      <c r="D1235" s="2">
        <v>44130</v>
      </c>
      <c r="E1235" s="1">
        <v>445.35</v>
      </c>
      <c r="G1235" s="3">
        <v>1680000</v>
      </c>
      <c r="H1235" s="3">
        <f t="shared" si="57"/>
        <v>634536000</v>
      </c>
      <c r="J1235" s="3">
        <v>7240000</v>
      </c>
      <c r="K1235" s="3"/>
      <c r="L1235" s="3">
        <f t="shared" si="58"/>
        <v>3224334000</v>
      </c>
      <c r="N1235" s="4">
        <f t="shared" si="59"/>
        <v>0.80320401050263401</v>
      </c>
    </row>
    <row r="1236" spans="1:14" x14ac:dyDescent="0.45">
      <c r="A1236" s="2">
        <v>44127</v>
      </c>
      <c r="B1236" s="1">
        <v>382.2</v>
      </c>
      <c r="D1236" s="2">
        <v>44127</v>
      </c>
      <c r="E1236" s="1">
        <v>454.15</v>
      </c>
      <c r="G1236" s="3">
        <v>1680000</v>
      </c>
      <c r="H1236" s="3">
        <f t="shared" si="57"/>
        <v>642096000</v>
      </c>
      <c r="J1236" s="3">
        <v>7240000</v>
      </c>
      <c r="K1236" s="3"/>
      <c r="L1236" s="3">
        <f t="shared" si="58"/>
        <v>3288046000</v>
      </c>
      <c r="N1236" s="4">
        <f t="shared" si="59"/>
        <v>0.80471806051375194</v>
      </c>
    </row>
    <row r="1237" spans="1:14" x14ac:dyDescent="0.45">
      <c r="A1237" s="2">
        <v>44126</v>
      </c>
      <c r="B1237" s="1">
        <v>386.05</v>
      </c>
      <c r="D1237" s="2">
        <v>44126</v>
      </c>
      <c r="E1237" s="1">
        <v>454.05</v>
      </c>
      <c r="G1237" s="3">
        <v>1680000</v>
      </c>
      <c r="H1237" s="3">
        <f t="shared" si="57"/>
        <v>648564000</v>
      </c>
      <c r="J1237" s="3">
        <v>7240000</v>
      </c>
      <c r="K1237" s="3"/>
      <c r="L1237" s="3">
        <f t="shared" si="58"/>
        <v>3287322000</v>
      </c>
      <c r="N1237" s="4">
        <f t="shared" si="59"/>
        <v>0.8027074926034018</v>
      </c>
    </row>
    <row r="1238" spans="1:14" x14ac:dyDescent="0.45">
      <c r="A1238" s="2">
        <v>44125</v>
      </c>
      <c r="B1238" s="1">
        <v>387.1</v>
      </c>
      <c r="D1238" s="2">
        <v>44125</v>
      </c>
      <c r="E1238" s="1">
        <v>464.25</v>
      </c>
      <c r="G1238" s="3">
        <v>1680000</v>
      </c>
      <c r="H1238" s="3">
        <f t="shared" si="57"/>
        <v>650328000</v>
      </c>
      <c r="J1238" s="3">
        <v>7240000</v>
      </c>
      <c r="K1238" s="3"/>
      <c r="L1238" s="3">
        <f t="shared" si="58"/>
        <v>3361170000</v>
      </c>
      <c r="N1238" s="4">
        <f t="shared" si="59"/>
        <v>0.80651737341461449</v>
      </c>
    </row>
    <row r="1239" spans="1:14" x14ac:dyDescent="0.45">
      <c r="A1239" s="2">
        <v>44124</v>
      </c>
      <c r="B1239" s="1">
        <v>372.6</v>
      </c>
      <c r="D1239" s="2">
        <v>44124</v>
      </c>
      <c r="E1239" s="1">
        <v>463.1</v>
      </c>
      <c r="G1239" s="3">
        <v>1680000</v>
      </c>
      <c r="H1239" s="3">
        <f t="shared" si="57"/>
        <v>625968000</v>
      </c>
      <c r="J1239" s="3">
        <v>7240000</v>
      </c>
      <c r="K1239" s="3"/>
      <c r="L1239" s="3">
        <f t="shared" si="58"/>
        <v>3352844000</v>
      </c>
      <c r="N1239" s="4">
        <f t="shared" si="59"/>
        <v>0.81330237851805809</v>
      </c>
    </row>
    <row r="1240" spans="1:14" x14ac:dyDescent="0.45">
      <c r="A1240" s="2">
        <v>44123</v>
      </c>
      <c r="B1240" s="1">
        <v>375.9</v>
      </c>
      <c r="D1240" s="2">
        <v>44123</v>
      </c>
      <c r="E1240" s="1">
        <v>468.2</v>
      </c>
      <c r="G1240" s="3">
        <v>1680000</v>
      </c>
      <c r="H1240" s="3">
        <f t="shared" si="57"/>
        <v>631512000</v>
      </c>
      <c r="J1240" s="3">
        <v>7240000</v>
      </c>
      <c r="K1240" s="3"/>
      <c r="L1240" s="3">
        <f t="shared" si="58"/>
        <v>3389768000</v>
      </c>
      <c r="N1240" s="4">
        <f t="shared" si="59"/>
        <v>0.81370052463767428</v>
      </c>
    </row>
    <row r="1241" spans="1:14" x14ac:dyDescent="0.45">
      <c r="A1241" s="2">
        <v>44120</v>
      </c>
      <c r="B1241" s="1">
        <v>375.8</v>
      </c>
      <c r="D1241" s="2">
        <v>44120</v>
      </c>
      <c r="E1241" s="1">
        <v>460.55</v>
      </c>
      <c r="G1241" s="3">
        <v>1680000</v>
      </c>
      <c r="H1241" s="3">
        <f t="shared" si="57"/>
        <v>631344000</v>
      </c>
      <c r="J1241" s="3">
        <v>7240000</v>
      </c>
      <c r="K1241" s="3"/>
      <c r="L1241" s="3">
        <f t="shared" si="58"/>
        <v>3334382000</v>
      </c>
      <c r="N1241" s="4">
        <f t="shared" si="59"/>
        <v>0.81065636750678238</v>
      </c>
    </row>
    <row r="1242" spans="1:14" x14ac:dyDescent="0.45">
      <c r="A1242" s="2">
        <v>44119</v>
      </c>
      <c r="B1242" s="1">
        <v>382.8</v>
      </c>
      <c r="D1242" s="2">
        <v>44119</v>
      </c>
      <c r="E1242" s="1">
        <v>452.9</v>
      </c>
      <c r="G1242" s="3">
        <v>1680000</v>
      </c>
      <c r="H1242" s="3">
        <f t="shared" si="57"/>
        <v>643104000</v>
      </c>
      <c r="J1242" s="3">
        <v>7240000</v>
      </c>
      <c r="K1242" s="3"/>
      <c r="L1242" s="3">
        <f t="shared" si="58"/>
        <v>3278996000</v>
      </c>
      <c r="N1242" s="4">
        <f t="shared" si="59"/>
        <v>0.80387167291451411</v>
      </c>
    </row>
    <row r="1243" spans="1:14" x14ac:dyDescent="0.45">
      <c r="A1243" s="2">
        <v>44118</v>
      </c>
      <c r="B1243" s="1">
        <v>378.75</v>
      </c>
      <c r="D1243" s="2">
        <v>44118</v>
      </c>
      <c r="E1243" s="1">
        <v>467</v>
      </c>
      <c r="G1243" s="3">
        <v>1680000</v>
      </c>
      <c r="H1243" s="3">
        <f t="shared" si="57"/>
        <v>636300000</v>
      </c>
      <c r="J1243" s="3">
        <v>7240000</v>
      </c>
      <c r="K1243" s="3"/>
      <c r="L1243" s="3">
        <f t="shared" si="58"/>
        <v>3381080000</v>
      </c>
      <c r="N1243" s="4">
        <f t="shared" si="59"/>
        <v>0.81180569522164514</v>
      </c>
    </row>
    <row r="1244" spans="1:14" x14ac:dyDescent="0.45">
      <c r="A1244" s="2">
        <v>44117</v>
      </c>
      <c r="B1244" s="1">
        <v>387.35</v>
      </c>
      <c r="D1244" s="2">
        <v>44117</v>
      </c>
      <c r="E1244" s="1">
        <v>465</v>
      </c>
      <c r="G1244" s="3">
        <v>1680000</v>
      </c>
      <c r="H1244" s="3">
        <f t="shared" si="57"/>
        <v>650748000</v>
      </c>
      <c r="J1244" s="3">
        <v>7240000</v>
      </c>
      <c r="K1244" s="3"/>
      <c r="L1244" s="3">
        <f t="shared" si="58"/>
        <v>3366600000</v>
      </c>
      <c r="N1244" s="4">
        <f t="shared" si="59"/>
        <v>0.8067046872215291</v>
      </c>
    </row>
  </sheetData>
  <mergeCells count="4">
    <mergeCell ref="A1:B1"/>
    <mergeCell ref="D1:E1"/>
    <mergeCell ref="Q28:U28"/>
    <mergeCell ref="Q29:U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E190-021D-4ECC-BE47-55C267A26057}">
  <dimension ref="B2:N22"/>
  <sheetViews>
    <sheetView showGridLines="0" workbookViewId="0">
      <selection activeCell="E21" sqref="A1:XFD1048576"/>
    </sheetView>
  </sheetViews>
  <sheetFormatPr defaultRowHeight="14.25" x14ac:dyDescent="0.45"/>
  <cols>
    <col min="2" max="2" width="16.33203125" bestFit="1" customWidth="1"/>
    <col min="3" max="3" width="11" bestFit="1" customWidth="1"/>
    <col min="4" max="4" width="10" bestFit="1" customWidth="1"/>
    <col min="5" max="5" width="11.33203125" bestFit="1" customWidth="1"/>
    <col min="6" max="6" width="14.06640625" bestFit="1" customWidth="1"/>
    <col min="9" max="9" width="14.73046875" bestFit="1" customWidth="1"/>
    <col min="12" max="12" width="14.53125" bestFit="1" customWidth="1"/>
    <col min="14" max="14" width="34.73046875" bestFit="1" customWidth="1"/>
  </cols>
  <sheetData>
    <row r="2" spans="2:14" x14ac:dyDescent="0.45">
      <c r="D2" s="21" t="s">
        <v>16</v>
      </c>
      <c r="E2" s="21"/>
      <c r="F2" s="21" t="s">
        <v>22</v>
      </c>
      <c r="G2" s="21"/>
      <c r="H2" s="21" t="s">
        <v>17</v>
      </c>
      <c r="I2" s="21"/>
      <c r="J2" s="21" t="s">
        <v>22</v>
      </c>
      <c r="K2" s="21"/>
      <c r="L2" s="21" t="s">
        <v>18</v>
      </c>
      <c r="M2" s="21"/>
      <c r="N2" s="21" t="s">
        <v>19</v>
      </c>
    </row>
    <row r="3" spans="2:14" x14ac:dyDescent="0.45">
      <c r="B3" s="2">
        <v>45943</v>
      </c>
      <c r="D3">
        <v>50</v>
      </c>
      <c r="E3" t="s">
        <v>20</v>
      </c>
      <c r="F3" s="20">
        <v>6129.4</v>
      </c>
      <c r="H3" s="18">
        <f t="shared" ref="H3:H8" si="0">+(F3/J3)*D3</f>
        <v>323.62196409714886</v>
      </c>
      <c r="I3" t="s">
        <v>21</v>
      </c>
      <c r="J3" s="20">
        <v>947</v>
      </c>
      <c r="L3" s="26">
        <f t="shared" ref="L3:L8" si="1">+ 1 - ((F3/J3)/N3)</f>
        <v>0.71003472016895464</v>
      </c>
      <c r="N3" s="17">
        <f>+'InPru vs KSB'!J3/'InPru vs KSB'!G3</f>
        <v>22.321428571428573</v>
      </c>
    </row>
    <row r="4" spans="2:14" x14ac:dyDescent="0.45">
      <c r="B4" s="2">
        <f>+B3+7</f>
        <v>45950</v>
      </c>
      <c r="D4">
        <v>50</v>
      </c>
      <c r="E4" t="s">
        <v>20</v>
      </c>
      <c r="F4" s="20">
        <v>6129.4</v>
      </c>
      <c r="H4" s="18">
        <f t="shared" si="0"/>
        <v>301.05108055009822</v>
      </c>
      <c r="I4" t="s">
        <v>21</v>
      </c>
      <c r="J4" s="20">
        <v>1018</v>
      </c>
      <c r="L4" s="26">
        <f t="shared" si="1"/>
        <v>0.73025823182711203</v>
      </c>
      <c r="N4" s="17">
        <f>+'InPru vs KSB'!J4/'InPru vs KSB'!G4</f>
        <v>22.321428571428573</v>
      </c>
    </row>
    <row r="5" spans="2:14" x14ac:dyDescent="0.45">
      <c r="B5" s="2">
        <f>+B4+7</f>
        <v>45957</v>
      </c>
      <c r="D5">
        <v>50</v>
      </c>
      <c r="E5" t="s">
        <v>20</v>
      </c>
      <c r="F5" s="20">
        <v>6129.4</v>
      </c>
      <c r="H5" s="18">
        <f t="shared" si="0"/>
        <v>279.37101185050136</v>
      </c>
      <c r="I5" t="s">
        <v>21</v>
      </c>
      <c r="J5" s="20">
        <v>1097</v>
      </c>
      <c r="L5" s="26">
        <f t="shared" si="1"/>
        <v>0.7496835733819508</v>
      </c>
      <c r="N5" s="17">
        <f>+'InPru vs KSB'!J5/'InPru vs KSB'!G5</f>
        <v>22.321428571428573</v>
      </c>
    </row>
    <row r="6" spans="2:14" x14ac:dyDescent="0.45">
      <c r="B6" s="2">
        <f>+B5+7</f>
        <v>45964</v>
      </c>
      <c r="D6">
        <v>100</v>
      </c>
      <c r="E6" t="s">
        <v>20</v>
      </c>
      <c r="F6" s="20">
        <v>6129.4</v>
      </c>
      <c r="H6" s="18">
        <f t="shared" si="0"/>
        <v>512.92050209205013</v>
      </c>
      <c r="I6" t="s">
        <v>21</v>
      </c>
      <c r="J6" s="20">
        <v>1195</v>
      </c>
      <c r="L6" s="26">
        <f t="shared" si="1"/>
        <v>0.77021161506276159</v>
      </c>
      <c r="N6" s="17">
        <f>+'InPru vs KSB'!J6/'InPru vs KSB'!G6</f>
        <v>22.321428571428573</v>
      </c>
    </row>
    <row r="7" spans="2:14" x14ac:dyDescent="0.45">
      <c r="B7" s="2">
        <f>+B6+7</f>
        <v>45971</v>
      </c>
      <c r="D7">
        <v>100</v>
      </c>
      <c r="E7" t="s">
        <v>20</v>
      </c>
      <c r="F7" s="20">
        <v>6129.4</v>
      </c>
      <c r="H7" s="18">
        <f t="shared" si="0"/>
        <v>467.8931297709924</v>
      </c>
      <c r="I7" t="s">
        <v>21</v>
      </c>
      <c r="J7" s="20">
        <v>1310</v>
      </c>
      <c r="L7" s="26">
        <f t="shared" si="1"/>
        <v>0.79038387786259545</v>
      </c>
      <c r="N7" s="17">
        <f>+'InPru vs KSB'!J7/'InPru vs KSB'!G7</f>
        <v>22.321428571428573</v>
      </c>
    </row>
    <row r="8" spans="2:14" ht="14.65" thickBot="1" x14ac:dyDescent="0.5">
      <c r="B8" s="34">
        <f>+B7+7</f>
        <v>45978</v>
      </c>
      <c r="C8" s="23"/>
      <c r="D8" s="23">
        <v>150</v>
      </c>
      <c r="E8" s="23" t="s">
        <v>20</v>
      </c>
      <c r="F8" s="27">
        <v>6129.4</v>
      </c>
      <c r="G8" s="23"/>
      <c r="H8" s="28">
        <f t="shared" si="0"/>
        <v>636.2698961937715</v>
      </c>
      <c r="I8" s="23" t="s">
        <v>21</v>
      </c>
      <c r="J8" s="27">
        <v>1445</v>
      </c>
      <c r="K8" s="23"/>
      <c r="L8" s="29">
        <f t="shared" si="1"/>
        <v>0.80996739100346027</v>
      </c>
      <c r="M8" s="23"/>
      <c r="N8" s="30">
        <f>+'InPru vs KSB'!J8/'InPru vs KSB'!G8</f>
        <v>22.321428571428573</v>
      </c>
    </row>
    <row r="9" spans="2:14" x14ac:dyDescent="0.45">
      <c r="B9" s="21" t="s">
        <v>26</v>
      </c>
      <c r="C9" s="21"/>
      <c r="D9" s="21">
        <f>+SUM(D3:D8)</f>
        <v>500</v>
      </c>
      <c r="E9" s="21"/>
      <c r="F9" s="22">
        <f>+SUMPRODUCT(D3:D8,F3:F8)/D9</f>
        <v>6129.4</v>
      </c>
      <c r="G9" s="21"/>
      <c r="H9" s="31">
        <f>+SUM(H3:H8)</f>
        <v>2521.1275845545624</v>
      </c>
      <c r="I9" s="21"/>
      <c r="J9" s="22">
        <f>+SUMPRODUCT(H3:H8,J3:J8)/H9</f>
        <v>1215.606865267581</v>
      </c>
      <c r="K9" s="21"/>
      <c r="L9" s="21"/>
    </row>
    <row r="10" spans="2:14" x14ac:dyDescent="0.45">
      <c r="B10" s="21"/>
      <c r="C10" s="21"/>
      <c r="D10" s="21"/>
      <c r="E10" s="21"/>
      <c r="F10" s="22"/>
      <c r="G10" s="21"/>
      <c r="H10" s="21"/>
      <c r="I10" s="21"/>
      <c r="J10" s="22"/>
      <c r="K10" s="21"/>
      <c r="L10" s="21"/>
    </row>
    <row r="11" spans="2:14" x14ac:dyDescent="0.45">
      <c r="B11" s="21"/>
      <c r="C11" s="21"/>
      <c r="D11" s="21"/>
      <c r="E11" s="21"/>
      <c r="F11" s="22"/>
      <c r="G11" s="21"/>
      <c r="H11" s="21"/>
      <c r="I11" s="21"/>
      <c r="J11" s="22"/>
      <c r="K11" s="21"/>
      <c r="L11" s="21"/>
    </row>
    <row r="12" spans="2:14" x14ac:dyDescent="0.45">
      <c r="B12" s="21" t="s">
        <v>29</v>
      </c>
      <c r="C12" s="32">
        <f>+(F8-F9)*D9</f>
        <v>0</v>
      </c>
      <c r="D12" s="21"/>
      <c r="E12" s="21"/>
      <c r="F12" s="22"/>
      <c r="G12" s="21"/>
      <c r="H12" s="21"/>
      <c r="I12" s="21"/>
      <c r="J12" s="22"/>
      <c r="K12" s="21"/>
      <c r="L12" s="21"/>
    </row>
    <row r="13" spans="2:14" x14ac:dyDescent="0.45">
      <c r="B13" s="21" t="s">
        <v>28</v>
      </c>
      <c r="C13" s="33">
        <f>+(J9-J8)*H9</f>
        <v>-578329.35968134273</v>
      </c>
      <c r="D13" s="21"/>
      <c r="E13" s="21"/>
      <c r="F13" s="22"/>
      <c r="G13" s="21"/>
      <c r="H13" s="21"/>
      <c r="I13" s="21"/>
      <c r="J13" s="22"/>
      <c r="K13" s="21"/>
      <c r="L13" s="21"/>
    </row>
    <row r="14" spans="2:14" x14ac:dyDescent="0.45">
      <c r="B14" s="21" t="s">
        <v>27</v>
      </c>
      <c r="C14" s="32">
        <f>+C12+C13</f>
        <v>-578329.35968134273</v>
      </c>
      <c r="D14" s="21"/>
      <c r="E14" s="21"/>
      <c r="F14" s="22"/>
      <c r="G14" s="21"/>
      <c r="H14" s="21"/>
      <c r="I14" s="21"/>
      <c r="J14" s="22"/>
      <c r="K14" s="21"/>
      <c r="L14" s="21"/>
    </row>
    <row r="15" spans="2:14" x14ac:dyDescent="0.45">
      <c r="L15" s="21"/>
      <c r="M15" s="22"/>
    </row>
    <row r="19" spans="2:6" x14ac:dyDescent="0.45">
      <c r="D19" t="s">
        <v>24</v>
      </c>
      <c r="E19" t="s">
        <v>13</v>
      </c>
      <c r="F19" s="21" t="s">
        <v>23</v>
      </c>
    </row>
    <row r="20" spans="2:6" x14ac:dyDescent="0.45">
      <c r="B20" t="s">
        <v>23</v>
      </c>
      <c r="D20" s="24">
        <f>+D9*F9</f>
        <v>3064700</v>
      </c>
      <c r="E20" s="24">
        <f>+MAX(0.625*H9*J9,0.625*H9*J8)</f>
        <v>2276893.3498008391</v>
      </c>
      <c r="F20" s="25">
        <f>+D20+E20</f>
        <v>5341593.3498008391</v>
      </c>
    </row>
    <row r="22" spans="2:6" x14ac:dyDescent="0.45">
      <c r="B22" s="21" t="s">
        <v>25</v>
      </c>
      <c r="F22" s="19">
        <f>+C14/F20</f>
        <v>-0.1082690728793321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25D5-D6A1-4A7F-B34D-17629988975C}">
  <dimension ref="A2:N38"/>
  <sheetViews>
    <sheetView showGridLines="0" tabSelected="1" zoomScale="107" zoomScaleNormal="70" workbookViewId="0">
      <selection activeCell="H14" sqref="H14"/>
    </sheetView>
  </sheetViews>
  <sheetFormatPr defaultRowHeight="14.25" x14ac:dyDescent="0.45"/>
  <cols>
    <col min="1" max="1" width="9.06640625" style="1"/>
    <col min="2" max="2" width="16.33203125" style="1" bestFit="1" customWidth="1"/>
    <col min="3" max="3" width="11" style="1" bestFit="1" customWidth="1"/>
    <col min="4" max="4" width="10.265625" style="1" bestFit="1" customWidth="1"/>
    <col min="5" max="5" width="11.33203125" style="1" bestFit="1" customWidth="1"/>
    <col min="6" max="6" width="14.06640625" style="1" bestFit="1" customWidth="1"/>
    <col min="7" max="8" width="9.06640625" style="1"/>
    <col min="9" max="9" width="14.73046875" style="1" bestFit="1" customWidth="1"/>
    <col min="10" max="11" width="9.06640625" style="1"/>
    <col min="12" max="12" width="14.53125" style="1" bestFit="1" customWidth="1"/>
    <col min="13" max="13" width="9.06640625" style="1" customWidth="1"/>
    <col min="14" max="14" width="35.796875" style="1" customWidth="1"/>
    <col min="15" max="16384" width="9.06640625" style="1"/>
  </cols>
  <sheetData>
    <row r="2" spans="1:14" x14ac:dyDescent="0.45">
      <c r="A2" s="1" t="s">
        <v>30</v>
      </c>
      <c r="D2" s="12" t="s">
        <v>16</v>
      </c>
      <c r="E2" s="12"/>
      <c r="F2" s="12" t="s">
        <v>22</v>
      </c>
      <c r="G2" s="12"/>
      <c r="H2" s="12" t="s">
        <v>17</v>
      </c>
      <c r="I2" s="12"/>
      <c r="J2" s="12" t="s">
        <v>22</v>
      </c>
      <c r="K2" s="12"/>
      <c r="L2" s="12" t="s">
        <v>18</v>
      </c>
      <c r="M2" s="12"/>
      <c r="N2" s="12" t="s">
        <v>19</v>
      </c>
    </row>
    <row r="3" spans="1:14" x14ac:dyDescent="0.45">
      <c r="B3" s="2">
        <v>45943</v>
      </c>
      <c r="D3" s="1">
        <v>50</v>
      </c>
      <c r="E3" s="1" t="s">
        <v>20</v>
      </c>
      <c r="F3" s="3">
        <f>+'InPru vs KSB'!B3</f>
        <v>6129.4</v>
      </c>
      <c r="H3" s="41">
        <f t="shared" ref="H3:H8" si="0">+(F3/J3)*D3</f>
        <v>323.62196409714886</v>
      </c>
      <c r="I3" s="1" t="s">
        <v>21</v>
      </c>
      <c r="J3" s="3">
        <v>947</v>
      </c>
      <c r="L3" s="42">
        <f t="shared" ref="L3:L8" si="1">+ 1 - ((F3/J3)/N3)</f>
        <v>0.71003472016895464</v>
      </c>
      <c r="N3" s="43">
        <f>+'InPru vs KSB'!J3/'InPru vs KSB'!G3</f>
        <v>22.321428571428573</v>
      </c>
    </row>
    <row r="4" spans="1:14" x14ac:dyDescent="0.45">
      <c r="B4" s="2">
        <f>+B3+7</f>
        <v>45950</v>
      </c>
      <c r="D4" s="1">
        <v>50</v>
      </c>
      <c r="E4" s="1" t="s">
        <v>20</v>
      </c>
      <c r="F4" s="3">
        <v>6129.4</v>
      </c>
      <c r="H4" s="41">
        <f t="shared" si="0"/>
        <v>301.05108055009822</v>
      </c>
      <c r="I4" s="1" t="s">
        <v>21</v>
      </c>
      <c r="J4" s="3">
        <v>1018</v>
      </c>
      <c r="L4" s="42">
        <f t="shared" si="1"/>
        <v>0.73025823182711203</v>
      </c>
      <c r="N4" s="43">
        <f>+'InPru vs KSB'!J4/'InPru vs KSB'!G4</f>
        <v>22.321428571428573</v>
      </c>
    </row>
    <row r="5" spans="1:14" x14ac:dyDescent="0.45">
      <c r="B5" s="2">
        <f>+B4+7</f>
        <v>45957</v>
      </c>
      <c r="D5" s="1">
        <v>50</v>
      </c>
      <c r="E5" s="1" t="s">
        <v>20</v>
      </c>
      <c r="F5" s="3">
        <v>6129.4</v>
      </c>
      <c r="H5" s="41">
        <f t="shared" si="0"/>
        <v>279.37101185050136</v>
      </c>
      <c r="I5" s="1" t="s">
        <v>21</v>
      </c>
      <c r="J5" s="3">
        <v>1097</v>
      </c>
      <c r="L5" s="42">
        <f t="shared" si="1"/>
        <v>0.7496835733819508</v>
      </c>
      <c r="N5" s="43">
        <f>+'InPru vs KSB'!J5/'InPru vs KSB'!G5</f>
        <v>22.321428571428573</v>
      </c>
    </row>
    <row r="6" spans="1:14" x14ac:dyDescent="0.45">
      <c r="B6" s="2">
        <f>+B5+7</f>
        <v>45964</v>
      </c>
      <c r="D6" s="1">
        <v>100</v>
      </c>
      <c r="E6" s="1" t="s">
        <v>20</v>
      </c>
      <c r="F6" s="3">
        <v>6129.4</v>
      </c>
      <c r="H6" s="41">
        <f t="shared" si="0"/>
        <v>512.92050209205013</v>
      </c>
      <c r="I6" s="1" t="s">
        <v>21</v>
      </c>
      <c r="J6" s="3">
        <v>1195</v>
      </c>
      <c r="L6" s="42">
        <f t="shared" si="1"/>
        <v>0.77021161506276159</v>
      </c>
      <c r="N6" s="43">
        <f>+'InPru vs KSB'!J6/'InPru vs KSB'!G6</f>
        <v>22.321428571428573</v>
      </c>
    </row>
    <row r="7" spans="1:14" x14ac:dyDescent="0.45">
      <c r="B7" s="2">
        <f>+B6+7</f>
        <v>45971</v>
      </c>
      <c r="D7" s="1">
        <v>100</v>
      </c>
      <c r="E7" s="1" t="s">
        <v>20</v>
      </c>
      <c r="F7" s="3">
        <v>6129.4</v>
      </c>
      <c r="H7" s="41">
        <f t="shared" si="0"/>
        <v>467.8931297709924</v>
      </c>
      <c r="I7" s="1" t="s">
        <v>21</v>
      </c>
      <c r="J7" s="3">
        <v>1310</v>
      </c>
      <c r="L7" s="42">
        <f t="shared" si="1"/>
        <v>0.79038387786259545</v>
      </c>
      <c r="N7" s="43">
        <f>+'InPru vs KSB'!J7/'InPru vs KSB'!G7</f>
        <v>22.321428571428573</v>
      </c>
    </row>
    <row r="8" spans="1:14" ht="14.65" thickBot="1" x14ac:dyDescent="0.5">
      <c r="B8" s="34">
        <f>+B7+7</f>
        <v>45978</v>
      </c>
      <c r="C8" s="5"/>
      <c r="D8" s="5">
        <v>150</v>
      </c>
      <c r="E8" s="5" t="s">
        <v>20</v>
      </c>
      <c r="F8" s="38">
        <v>6129.4</v>
      </c>
      <c r="G8" s="5"/>
      <c r="H8" s="44">
        <f t="shared" si="0"/>
        <v>636.2698961937715</v>
      </c>
      <c r="I8" s="5" t="s">
        <v>21</v>
      </c>
      <c r="J8" s="38">
        <v>1445</v>
      </c>
      <c r="K8" s="5"/>
      <c r="L8" s="45">
        <f t="shared" si="1"/>
        <v>0.80996739100346027</v>
      </c>
      <c r="M8" s="5"/>
      <c r="N8" s="46">
        <f>+'InPru vs KSB'!J8/'InPru vs KSB'!G8</f>
        <v>22.321428571428573</v>
      </c>
    </row>
    <row r="9" spans="1:14" x14ac:dyDescent="0.45">
      <c r="B9" s="12" t="s">
        <v>26</v>
      </c>
      <c r="C9" s="12"/>
      <c r="D9" s="12">
        <f>+SUM(D3:D8)</f>
        <v>500</v>
      </c>
      <c r="E9" s="12"/>
      <c r="F9" s="39">
        <f>+SUMPRODUCT(D3:D8,F3:F8)/D9</f>
        <v>6129.4</v>
      </c>
      <c r="G9" s="12"/>
      <c r="H9" s="40">
        <f>+SUM(H3:H8)</f>
        <v>2521.1275845545624</v>
      </c>
      <c r="I9" s="12"/>
      <c r="J9" s="39">
        <f>+SUMPRODUCT(H3:H8,J3:J8)/H9</f>
        <v>1215.606865267581</v>
      </c>
      <c r="K9" s="12"/>
      <c r="L9" s="12"/>
    </row>
    <row r="10" spans="1:14" x14ac:dyDescent="0.45">
      <c r="B10" s="12"/>
      <c r="C10" s="12"/>
      <c r="D10" s="12"/>
      <c r="E10" s="12"/>
      <c r="F10" s="39"/>
      <c r="G10" s="12"/>
      <c r="H10" s="12"/>
      <c r="I10" s="12"/>
      <c r="J10" s="39"/>
      <c r="K10" s="12"/>
      <c r="L10" s="12"/>
    </row>
    <row r="11" spans="1:14" x14ac:dyDescent="0.45">
      <c r="B11" s="12"/>
      <c r="C11" s="12"/>
      <c r="D11" s="12"/>
      <c r="E11" s="12"/>
      <c r="F11" s="39"/>
      <c r="G11" s="12"/>
      <c r="H11" s="12"/>
      <c r="I11" s="12"/>
      <c r="J11" s="39"/>
      <c r="K11" s="12"/>
      <c r="L11" s="12"/>
    </row>
    <row r="12" spans="1:14" x14ac:dyDescent="0.45">
      <c r="B12" s="12"/>
      <c r="C12" s="12"/>
      <c r="D12" s="12" t="s">
        <v>31</v>
      </c>
      <c r="E12" s="12"/>
      <c r="F12" s="12" t="s">
        <v>22</v>
      </c>
      <c r="G12" s="12"/>
      <c r="H12" s="12" t="s">
        <v>17</v>
      </c>
      <c r="I12" s="12"/>
      <c r="J12" s="12" t="s">
        <v>22</v>
      </c>
      <c r="K12" s="12"/>
      <c r="L12" s="12" t="s">
        <v>18</v>
      </c>
      <c r="M12" s="12"/>
      <c r="N12" s="12" t="s">
        <v>19</v>
      </c>
    </row>
    <row r="13" spans="1:14" x14ac:dyDescent="0.45">
      <c r="B13" s="2">
        <v>45984</v>
      </c>
      <c r="D13" s="35">
        <v>-50</v>
      </c>
      <c r="E13" s="1" t="s">
        <v>20</v>
      </c>
      <c r="F13" s="3">
        <v>6129.4</v>
      </c>
      <c r="H13" s="35">
        <f>+(D13/$D$9)*$H$9</f>
        <v>-252.11275845545626</v>
      </c>
      <c r="I13" s="1" t="s">
        <v>21</v>
      </c>
      <c r="J13" s="3">
        <v>947</v>
      </c>
      <c r="L13" s="42">
        <f t="shared" ref="L13:L18" si="2">+ 1 - ((F13/J13)/N13)</f>
        <v>0.71003472016895464</v>
      </c>
      <c r="N13" s="43">
        <f>+'InPru vs KSB'!J13/'InPru vs KSB'!G13</f>
        <v>22.321428571428573</v>
      </c>
    </row>
    <row r="14" spans="1:14" x14ac:dyDescent="0.45">
      <c r="B14" s="2">
        <f>+B13+7</f>
        <v>45991</v>
      </c>
      <c r="C14" s="12"/>
      <c r="D14" s="35">
        <v>-50</v>
      </c>
      <c r="E14" s="1" t="s">
        <v>20</v>
      </c>
      <c r="F14" s="3">
        <v>6129.4</v>
      </c>
      <c r="H14" s="35">
        <f t="shared" ref="H14:H17" si="3">+(D14/$D$9)*$H$9</f>
        <v>-252.11275845545626</v>
      </c>
      <c r="I14" s="1" t="s">
        <v>21</v>
      </c>
      <c r="J14" s="3">
        <v>885</v>
      </c>
      <c r="L14" s="42">
        <f t="shared" si="2"/>
        <v>0.68972076836158203</v>
      </c>
      <c r="N14" s="43">
        <f>+'InPru vs KSB'!J14/'InPru vs KSB'!G14</f>
        <v>22.321428571428573</v>
      </c>
    </row>
    <row r="15" spans="1:14" x14ac:dyDescent="0.45">
      <c r="B15" s="2">
        <f>+B14+7</f>
        <v>45998</v>
      </c>
      <c r="C15" s="12"/>
      <c r="D15" s="35">
        <v>-50</v>
      </c>
      <c r="E15" s="1" t="s">
        <v>20</v>
      </c>
      <c r="F15" s="3">
        <v>6129.4</v>
      </c>
      <c r="H15" s="35">
        <f t="shared" si="3"/>
        <v>-252.11275845545626</v>
      </c>
      <c r="I15" s="1" t="s">
        <v>21</v>
      </c>
      <c r="J15" s="3">
        <v>832</v>
      </c>
      <c r="L15" s="42">
        <f t="shared" si="2"/>
        <v>0.66995538461538462</v>
      </c>
      <c r="N15" s="43">
        <f>+'InPru vs KSB'!J15/'InPru vs KSB'!G15</f>
        <v>22.321428571428573</v>
      </c>
    </row>
    <row r="16" spans="1:14" x14ac:dyDescent="0.45">
      <c r="B16" s="2">
        <f>+B15+7</f>
        <v>46005</v>
      </c>
      <c r="C16" s="12"/>
      <c r="D16" s="35">
        <v>-100</v>
      </c>
      <c r="E16" s="1" t="s">
        <v>20</v>
      </c>
      <c r="F16" s="3">
        <v>6129.4</v>
      </c>
      <c r="H16" s="35">
        <f t="shared" si="3"/>
        <v>-504.22551691091252</v>
      </c>
      <c r="I16" s="1" t="s">
        <v>21</v>
      </c>
      <c r="J16" s="3">
        <v>785</v>
      </c>
      <c r="L16" s="42">
        <f t="shared" si="2"/>
        <v>0.65019475159235673</v>
      </c>
      <c r="N16" s="43">
        <f>+'InPru vs KSB'!J16/'InPru vs KSB'!G16</f>
        <v>22.321428571428573</v>
      </c>
    </row>
    <row r="17" spans="2:14" x14ac:dyDescent="0.45">
      <c r="B17" s="2">
        <f>+B16+7</f>
        <v>46012</v>
      </c>
      <c r="C17" s="12"/>
      <c r="D17" s="35">
        <v>-100</v>
      </c>
      <c r="E17" s="1" t="s">
        <v>20</v>
      </c>
      <c r="F17" s="3">
        <v>6129.4</v>
      </c>
      <c r="H17" s="35">
        <f t="shared" si="3"/>
        <v>-504.22551691091252</v>
      </c>
      <c r="I17" s="1" t="s">
        <v>21</v>
      </c>
      <c r="J17" s="3">
        <v>742</v>
      </c>
      <c r="L17" s="42">
        <f t="shared" si="2"/>
        <v>0.62992301886792457</v>
      </c>
      <c r="N17" s="43">
        <f>+'InPru vs KSB'!J17/'InPru vs KSB'!G17</f>
        <v>22.321428571428573</v>
      </c>
    </row>
    <row r="18" spans="2:14" ht="14.65" thickBot="1" x14ac:dyDescent="0.5">
      <c r="B18" s="34">
        <f>+B17+7</f>
        <v>46019</v>
      </c>
      <c r="C18" s="47"/>
      <c r="D18" s="36">
        <v>-150</v>
      </c>
      <c r="E18" s="5" t="s">
        <v>20</v>
      </c>
      <c r="F18" s="38">
        <v>6129.4</v>
      </c>
      <c r="G18" s="5"/>
      <c r="H18" s="36">
        <f t="shared" ref="H18" si="4">+(D18/$D$9)*$H$9</f>
        <v>-756.33827536636875</v>
      </c>
      <c r="I18" s="5" t="s">
        <v>21</v>
      </c>
      <c r="J18" s="38">
        <v>704</v>
      </c>
      <c r="K18" s="5"/>
      <c r="L18" s="45">
        <f t="shared" si="2"/>
        <v>0.60994727272727278</v>
      </c>
      <c r="M18" s="5"/>
      <c r="N18" s="46">
        <f>+'InPru vs KSB'!J18/'InPru vs KSB'!G18</f>
        <v>22.321428571428573</v>
      </c>
    </row>
    <row r="19" spans="2:14" x14ac:dyDescent="0.45">
      <c r="B19" s="12" t="s">
        <v>26</v>
      </c>
      <c r="C19" s="12"/>
      <c r="D19" s="12">
        <f>+SUM(D13:D18)</f>
        <v>-500</v>
      </c>
      <c r="E19" s="12"/>
      <c r="F19" s="39">
        <f>+SUMPRODUCT(D13:D18,F13:F18)/D19</f>
        <v>6129.4</v>
      </c>
      <c r="G19" s="12"/>
      <c r="H19" s="40">
        <f>+SUM(H13:H18)</f>
        <v>-2521.1275845545624</v>
      </c>
      <c r="I19" s="12"/>
      <c r="J19" s="39">
        <f>+SUMPRODUCT(H13:H18,J13:J18)/H19</f>
        <v>783</v>
      </c>
      <c r="K19" s="12"/>
      <c r="L19" s="12"/>
    </row>
    <row r="20" spans="2:14" x14ac:dyDescent="0.45">
      <c r="B20" s="12"/>
      <c r="C20" s="12"/>
      <c r="D20" s="12"/>
      <c r="E20" s="12"/>
      <c r="F20" s="39"/>
      <c r="G20" s="12"/>
      <c r="H20" s="12"/>
      <c r="I20" s="12"/>
      <c r="J20" s="39"/>
      <c r="K20" s="12"/>
      <c r="L20" s="12"/>
    </row>
    <row r="21" spans="2:14" x14ac:dyDescent="0.45">
      <c r="B21" s="12"/>
      <c r="C21" s="12"/>
      <c r="D21" s="12"/>
      <c r="E21" s="12"/>
      <c r="F21" s="39"/>
      <c r="G21" s="12"/>
      <c r="H21" s="12"/>
      <c r="I21" s="12"/>
      <c r="J21" s="39"/>
      <c r="K21" s="12"/>
      <c r="L21" s="12"/>
    </row>
    <row r="22" spans="2:14" x14ac:dyDescent="0.45">
      <c r="B22" s="12"/>
      <c r="C22" s="12"/>
      <c r="D22" s="12"/>
      <c r="E22" s="12"/>
      <c r="F22" s="39"/>
      <c r="G22" s="12"/>
      <c r="H22" s="12"/>
      <c r="I22" s="12"/>
      <c r="J22" s="39"/>
      <c r="K22" s="12"/>
      <c r="L22" s="12"/>
    </row>
    <row r="23" spans="2:14" x14ac:dyDescent="0.45">
      <c r="B23" s="12"/>
      <c r="C23" s="12"/>
      <c r="D23" s="12"/>
      <c r="E23" s="12"/>
      <c r="F23" s="39"/>
      <c r="G23" s="12"/>
      <c r="H23" s="12"/>
      <c r="I23" s="12"/>
      <c r="J23" s="39"/>
      <c r="K23" s="12"/>
      <c r="L23" s="12"/>
    </row>
    <row r="24" spans="2:14" x14ac:dyDescent="0.45">
      <c r="B24" s="12"/>
      <c r="C24" s="12"/>
      <c r="D24" s="12"/>
      <c r="E24" s="12"/>
      <c r="F24" s="39"/>
      <c r="G24" s="12"/>
      <c r="H24" s="12"/>
      <c r="I24" s="12"/>
      <c r="J24" s="39"/>
      <c r="K24" s="12"/>
      <c r="L24" s="12"/>
    </row>
    <row r="25" spans="2:14" x14ac:dyDescent="0.45">
      <c r="B25" s="12"/>
      <c r="C25" s="12"/>
      <c r="D25" s="12"/>
      <c r="E25" s="12"/>
      <c r="F25" s="39"/>
      <c r="G25" s="12"/>
      <c r="H25" s="12"/>
      <c r="I25" s="12"/>
      <c r="J25" s="39"/>
      <c r="K25" s="12"/>
      <c r="L25" s="12"/>
    </row>
    <row r="26" spans="2:14" x14ac:dyDescent="0.45">
      <c r="B26" s="12"/>
      <c r="C26" s="12"/>
      <c r="D26" s="12"/>
      <c r="E26" s="12"/>
      <c r="F26" s="39"/>
      <c r="G26" s="12"/>
      <c r="H26" s="12"/>
      <c r="I26" s="12"/>
      <c r="J26" s="39"/>
      <c r="K26" s="12"/>
      <c r="L26" s="12"/>
    </row>
    <row r="27" spans="2:14" x14ac:dyDescent="0.45">
      <c r="B27" s="12"/>
      <c r="C27" s="12"/>
      <c r="D27" s="12"/>
      <c r="E27" s="12"/>
      <c r="F27" s="39"/>
      <c r="G27" s="12"/>
      <c r="H27" s="12"/>
      <c r="I27" s="12"/>
      <c r="J27" s="39"/>
      <c r="K27" s="12"/>
      <c r="L27" s="12"/>
    </row>
    <row r="28" spans="2:14" x14ac:dyDescent="0.45">
      <c r="B28" s="12" t="s">
        <v>29</v>
      </c>
      <c r="C28" s="48">
        <f>+(D9*F9)+(D19*F19)</f>
        <v>0</v>
      </c>
      <c r="D28" s="12"/>
      <c r="E28" s="12"/>
      <c r="F28" s="39"/>
      <c r="G28" s="12"/>
      <c r="H28" s="12"/>
      <c r="I28" s="12"/>
      <c r="J28" s="39"/>
      <c r="K28" s="12"/>
      <c r="L28" s="12"/>
    </row>
    <row r="29" spans="2:14" x14ac:dyDescent="0.45">
      <c r="B29" s="12" t="s">
        <v>28</v>
      </c>
      <c r="C29" s="49">
        <f>+(H9*J9)+(H19*J19)</f>
        <v>1090657.1012937776</v>
      </c>
      <c r="D29" s="12"/>
      <c r="E29" s="12"/>
      <c r="F29" s="39"/>
      <c r="G29" s="12"/>
      <c r="H29" s="12"/>
      <c r="I29" s="12"/>
      <c r="J29" s="39"/>
      <c r="K29" s="12"/>
      <c r="L29" s="12"/>
    </row>
    <row r="30" spans="2:14" x14ac:dyDescent="0.45">
      <c r="B30" s="12" t="s">
        <v>27</v>
      </c>
      <c r="C30" s="48">
        <f>+C28+C29</f>
        <v>1090657.1012937776</v>
      </c>
      <c r="D30" s="12"/>
      <c r="E30" s="12"/>
      <c r="F30" s="39"/>
      <c r="G30" s="12"/>
      <c r="H30" s="12"/>
      <c r="I30" s="12"/>
      <c r="J30" s="39"/>
      <c r="K30" s="12"/>
      <c r="L30" s="12"/>
    </row>
    <row r="31" spans="2:14" x14ac:dyDescent="0.45">
      <c r="L31" s="12"/>
      <c r="M31" s="39"/>
    </row>
    <row r="35" spans="2:6" x14ac:dyDescent="0.45">
      <c r="D35" t="s">
        <v>24</v>
      </c>
      <c r="E35" t="s">
        <v>13</v>
      </c>
      <c r="F35" s="12" t="s">
        <v>23</v>
      </c>
    </row>
    <row r="36" spans="2:6" x14ac:dyDescent="0.45">
      <c r="B36" s="1" t="s">
        <v>23</v>
      </c>
      <c r="D36" s="37">
        <f>+D9*F9</f>
        <v>3064700</v>
      </c>
      <c r="E36" s="37">
        <f>+MAX(0.625*H9*J9,0.625*H9*J8)</f>
        <v>2276893.3498008391</v>
      </c>
      <c r="F36" s="50">
        <f>+D36+E36</f>
        <v>5341593.3498008391</v>
      </c>
    </row>
    <row r="38" spans="2:6" x14ac:dyDescent="0.45">
      <c r="B38" s="12" t="s">
        <v>25</v>
      </c>
      <c r="F38" s="16">
        <f>+C30/F36</f>
        <v>0.20418197902212878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InPru vs KSB</vt:lpstr>
      <vt:lpstr>Entry Simulation</vt:lpstr>
      <vt:lpstr>Exit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Kothari</cp:lastModifiedBy>
  <dcterms:created xsi:type="dcterms:W3CDTF">2025-10-09T10:54:41Z</dcterms:created>
  <dcterms:modified xsi:type="dcterms:W3CDTF">2025-11-11T12:05:30Z</dcterms:modified>
</cp:coreProperties>
</file>
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3d5ddfe8477b10/Personal/Investing/Aarvi/Arbitrage/"/>
    </mc:Choice>
  </mc:AlternateContent>
  <xr:revisionPtr revIDLastSave="183" documentId="8_{778D33CD-562D-4EBD-82B3-5F661CCD2F47}" xr6:coauthVersionLast="47" xr6:coauthVersionMax="47" xr10:uidLastSave="{7257D629-E5C7-4666-B17D-3B0097068921}"/>
  <bookViews>
    <workbookView xWindow="-98" yWindow="-98" windowWidth="21795" windowHeight="12975" xr2:uid="{A8F3D41B-605B-47FA-BD23-E0325DEC4187}"/>
  </bookViews>
  <sheets>
    <sheet name="Bajaj Finserv" sheetId="1" r:id="rId1"/>
    <sheet name="Entry Simulation" sheetId="2" r:id="rId2"/>
    <sheet name="Exit Simul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D19" i="3"/>
  <c r="F19" i="3" s="1"/>
  <c r="L18" i="3"/>
  <c r="L17" i="3"/>
  <c r="L16" i="3"/>
  <c r="L15" i="3"/>
  <c r="B15" i="3"/>
  <c r="B16" i="3" s="1"/>
  <c r="B17" i="3" s="1"/>
  <c r="B18" i="3" s="1"/>
  <c r="L14" i="3"/>
  <c r="B14" i="3"/>
  <c r="L13" i="3"/>
  <c r="D9" i="3"/>
  <c r="L8" i="3"/>
  <c r="H8" i="3"/>
  <c r="L7" i="3"/>
  <c r="H7" i="3"/>
  <c r="L6" i="3"/>
  <c r="H6" i="3"/>
  <c r="L5" i="3"/>
  <c r="H5" i="3"/>
  <c r="B5" i="3"/>
  <c r="B6" i="3" s="1"/>
  <c r="B7" i="3" s="1"/>
  <c r="B8" i="3" s="1"/>
  <c r="L4" i="3"/>
  <c r="H4" i="3"/>
  <c r="B4" i="3"/>
  <c r="L3" i="3"/>
  <c r="H3" i="3"/>
  <c r="D20" i="2"/>
  <c r="N3" i="2"/>
  <c r="L3" i="2" s="1"/>
  <c r="F9" i="2"/>
  <c r="F20" i="2" s="1"/>
  <c r="D9" i="2"/>
  <c r="L8" i="2"/>
  <c r="H8" i="2"/>
  <c r="L7" i="2"/>
  <c r="H7" i="2"/>
  <c r="L6" i="2"/>
  <c r="H6" i="2"/>
  <c r="L5" i="2"/>
  <c r="H5" i="2"/>
  <c r="L4" i="2"/>
  <c r="H4" i="2"/>
  <c r="B4" i="2"/>
  <c r="B5" i="2" s="1"/>
  <c r="B6" i="2" s="1"/>
  <c r="B7" i="2" s="1"/>
  <c r="B8" i="2" s="1"/>
  <c r="H3" i="2"/>
  <c r="P3" i="1"/>
  <c r="H9" i="3" l="1"/>
  <c r="H15" i="3" s="1"/>
  <c r="H16" i="3"/>
  <c r="F9" i="3"/>
  <c r="C28" i="3" s="1"/>
  <c r="D36" i="3"/>
  <c r="F36" i="3" s="1"/>
  <c r="H9" i="2"/>
  <c r="J9" i="2" s="1"/>
  <c r="C13" i="2" s="1"/>
  <c r="C12" i="2"/>
  <c r="H17" i="3" l="1"/>
  <c r="J9" i="3"/>
  <c r="H18" i="3"/>
  <c r="H14" i="3"/>
  <c r="H13" i="3"/>
  <c r="H19" i="3"/>
  <c r="C14" i="2"/>
  <c r="F22" i="2" s="1"/>
  <c r="J19" i="3" l="1"/>
  <c r="C29" i="3" s="1"/>
  <c r="C30" i="3" s="1"/>
  <c r="F38" i="3" s="1"/>
  <c r="H787" i="1" l="1"/>
  <c r="H786" i="1"/>
  <c r="M1090" i="1"/>
  <c r="M1002" i="1"/>
  <c r="M958" i="1"/>
  <c r="M936" i="1"/>
  <c r="M934" i="1"/>
  <c r="M932" i="1"/>
  <c r="M540" i="1"/>
  <c r="M518" i="1"/>
  <c r="M504" i="1"/>
  <c r="M394" i="1"/>
  <c r="M306" i="1"/>
  <c r="M304" i="1"/>
  <c r="M298" i="1"/>
  <c r="M63" i="1"/>
  <c r="M62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M1088" i="1" s="1"/>
  <c r="K1087" i="1"/>
  <c r="M1087" i="1" s="1"/>
  <c r="K1086" i="1"/>
  <c r="M1086" i="1" s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M961" i="1" s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M933" i="1" s="1"/>
  <c r="K932" i="1"/>
  <c r="K931" i="1"/>
  <c r="K930" i="1"/>
  <c r="K929" i="1"/>
  <c r="K928" i="1"/>
  <c r="K927" i="1"/>
  <c r="K926" i="1"/>
  <c r="K925" i="1"/>
  <c r="K924" i="1"/>
  <c r="K923" i="1"/>
  <c r="K922" i="1"/>
  <c r="M922" i="1" s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M877" i="1" s="1"/>
  <c r="K876" i="1"/>
  <c r="M876" i="1" s="1"/>
  <c r="K875" i="1"/>
  <c r="K874" i="1"/>
  <c r="K873" i="1"/>
  <c r="M873" i="1" s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M844" i="1" s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M718" i="1" s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M635" i="1" s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M592" i="1" s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M548" i="1" s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M503" i="1" s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M460" i="1" s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M438" i="1" s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M416" i="1" s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M370" i="1" s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M349" i="1" s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M327" i="1" s="1"/>
  <c r="K326" i="1"/>
  <c r="K325" i="1"/>
  <c r="K324" i="1"/>
  <c r="K323" i="1"/>
  <c r="K322" i="1"/>
  <c r="M322" i="1" s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M301" i="1" s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M262" i="1" s="1"/>
  <c r="K261" i="1"/>
  <c r="K260" i="1"/>
  <c r="K259" i="1"/>
  <c r="K258" i="1"/>
  <c r="K257" i="1"/>
  <c r="K256" i="1"/>
  <c r="K255" i="1"/>
  <c r="K254" i="1"/>
  <c r="M254" i="1" s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M239" i="1" s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M217" i="1" s="1"/>
  <c r="K216" i="1"/>
  <c r="M216" i="1" s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M196" i="1" s="1"/>
  <c r="K195" i="1"/>
  <c r="K194" i="1"/>
  <c r="K193" i="1"/>
  <c r="K192" i="1"/>
  <c r="K191" i="1"/>
  <c r="M191" i="1" s="1"/>
  <c r="K190" i="1"/>
  <c r="K189" i="1"/>
  <c r="K188" i="1"/>
  <c r="M188" i="1" s="1"/>
  <c r="K187" i="1"/>
  <c r="K186" i="1"/>
  <c r="M186" i="1" s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M173" i="1" s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M151" i="1" s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M122" i="1" s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M107" i="1" s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M86" i="1" s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M64" i="1" s="1"/>
  <c r="K63" i="1"/>
  <c r="K62" i="1"/>
  <c r="K61" i="1"/>
  <c r="K60" i="1"/>
  <c r="K59" i="1"/>
  <c r="K58" i="1"/>
  <c r="K57" i="1"/>
  <c r="K56" i="1"/>
  <c r="K55" i="1"/>
  <c r="K54" i="1"/>
  <c r="M54" i="1" s="1"/>
  <c r="K53" i="1"/>
  <c r="K52" i="1"/>
  <c r="K51" i="1"/>
  <c r="K50" i="1"/>
  <c r="K49" i="1"/>
  <c r="K48" i="1"/>
  <c r="K47" i="1"/>
  <c r="K46" i="1"/>
  <c r="K45" i="1"/>
  <c r="K44" i="1"/>
  <c r="K43" i="1"/>
  <c r="K42" i="1"/>
  <c r="M42" i="1" s="1"/>
  <c r="K41" i="1"/>
  <c r="K40" i="1"/>
  <c r="K39" i="1"/>
  <c r="K38" i="1"/>
  <c r="K37" i="1"/>
  <c r="M37" i="1" s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M19" i="1" s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H4" i="1"/>
  <c r="M4" i="1" s="1"/>
  <c r="H1242" i="1"/>
  <c r="H1241" i="1"/>
  <c r="M1241" i="1" s="1"/>
  <c r="H1240" i="1"/>
  <c r="M1240" i="1" s="1"/>
  <c r="H1239" i="1"/>
  <c r="M1239" i="1" s="1"/>
  <c r="H1238" i="1"/>
  <c r="H1237" i="1"/>
  <c r="H1236" i="1"/>
  <c r="M1236" i="1" s="1"/>
  <c r="H1235" i="1"/>
  <c r="M1235" i="1" s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M1222" i="1" s="1"/>
  <c r="H1221" i="1"/>
  <c r="M1221" i="1" s="1"/>
  <c r="H1220" i="1"/>
  <c r="H1219" i="1"/>
  <c r="H1218" i="1"/>
  <c r="M1218" i="1" s="1"/>
  <c r="H1217" i="1"/>
  <c r="M1217" i="1" s="1"/>
  <c r="H1216" i="1"/>
  <c r="H1215" i="1"/>
  <c r="M1215" i="1" s="1"/>
  <c r="H1214" i="1"/>
  <c r="H1213" i="1"/>
  <c r="H1212" i="1"/>
  <c r="H1211" i="1"/>
  <c r="M1211" i="1" s="1"/>
  <c r="H1210" i="1"/>
  <c r="H1209" i="1"/>
  <c r="H1208" i="1"/>
  <c r="H1207" i="1"/>
  <c r="H1206" i="1"/>
  <c r="H1205" i="1"/>
  <c r="H1204" i="1"/>
  <c r="H1203" i="1"/>
  <c r="H1202" i="1"/>
  <c r="H1201" i="1"/>
  <c r="H1200" i="1"/>
  <c r="M1200" i="1" s="1"/>
  <c r="H1199" i="1"/>
  <c r="M1199" i="1" s="1"/>
  <c r="H1198" i="1"/>
  <c r="H1197" i="1"/>
  <c r="H1196" i="1"/>
  <c r="M1196" i="1" s="1"/>
  <c r="H1195" i="1"/>
  <c r="M1195" i="1" s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M1178" i="1" s="1"/>
  <c r="H1177" i="1"/>
  <c r="M1177" i="1" s="1"/>
  <c r="H1176" i="1"/>
  <c r="H1175" i="1"/>
  <c r="M1175" i="1" s="1"/>
  <c r="H1174" i="1"/>
  <c r="M1174" i="1" s="1"/>
  <c r="H1173" i="1"/>
  <c r="M1173" i="1" s="1"/>
  <c r="H1172" i="1"/>
  <c r="H1171" i="1"/>
  <c r="H1170" i="1"/>
  <c r="M1170" i="1" s="1"/>
  <c r="H1169" i="1"/>
  <c r="M1169" i="1" s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M1156" i="1" s="1"/>
  <c r="H1155" i="1"/>
  <c r="M1155" i="1" s="1"/>
  <c r="H1154" i="1"/>
  <c r="H1153" i="1"/>
  <c r="H1152" i="1"/>
  <c r="M1152" i="1" s="1"/>
  <c r="H1151" i="1"/>
  <c r="M1151" i="1" s="1"/>
  <c r="H1150" i="1"/>
  <c r="H1149" i="1"/>
  <c r="H1148" i="1"/>
  <c r="M1148" i="1" s="1"/>
  <c r="H1147" i="1"/>
  <c r="M1147" i="1" s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M1134" i="1" s="1"/>
  <c r="H1133" i="1"/>
  <c r="M1133" i="1" s="1"/>
  <c r="H1132" i="1"/>
  <c r="H1131" i="1"/>
  <c r="M1131" i="1" s="1"/>
  <c r="H1130" i="1"/>
  <c r="M1130" i="1" s="1"/>
  <c r="H1129" i="1"/>
  <c r="M1129" i="1" s="1"/>
  <c r="H1128" i="1"/>
  <c r="M1128" i="1" s="1"/>
  <c r="H1127" i="1"/>
  <c r="M1127" i="1" s="1"/>
  <c r="H1126" i="1"/>
  <c r="M1126" i="1" s="1"/>
  <c r="H1125" i="1"/>
  <c r="M1125" i="1" s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M1112" i="1" s="1"/>
  <c r="H1111" i="1"/>
  <c r="M1111" i="1" s="1"/>
  <c r="H1110" i="1"/>
  <c r="H1109" i="1"/>
  <c r="H1108" i="1"/>
  <c r="M1108" i="1" s="1"/>
  <c r="H1107" i="1"/>
  <c r="M1107" i="1" s="1"/>
  <c r="H1106" i="1"/>
  <c r="M1106" i="1" s="1"/>
  <c r="H1105" i="1"/>
  <c r="H1104" i="1"/>
  <c r="H1103" i="1"/>
  <c r="M1103" i="1" s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M1089" i="1" s="1"/>
  <c r="H1088" i="1"/>
  <c r="H1087" i="1"/>
  <c r="H1086" i="1"/>
  <c r="H1085" i="1"/>
  <c r="M1085" i="1" s="1"/>
  <c r="H1084" i="1"/>
  <c r="H1083" i="1"/>
  <c r="H1082" i="1"/>
  <c r="M1082" i="1" s="1"/>
  <c r="H1081" i="1"/>
  <c r="M1081" i="1" s="1"/>
  <c r="H1080" i="1"/>
  <c r="H1079" i="1"/>
  <c r="M1079" i="1" s="1"/>
  <c r="H1078" i="1"/>
  <c r="H1077" i="1"/>
  <c r="H1076" i="1"/>
  <c r="H1075" i="1"/>
  <c r="H1074" i="1"/>
  <c r="H1073" i="1"/>
  <c r="H1072" i="1"/>
  <c r="H1071" i="1"/>
  <c r="H1070" i="1"/>
  <c r="H1069" i="1"/>
  <c r="H1068" i="1"/>
  <c r="M1068" i="1" s="1"/>
  <c r="H1067" i="1"/>
  <c r="M1067" i="1" s="1"/>
  <c r="H1066" i="1"/>
  <c r="H1065" i="1"/>
  <c r="M1065" i="1" s="1"/>
  <c r="H1064" i="1"/>
  <c r="M1064" i="1" s="1"/>
  <c r="H1063" i="1"/>
  <c r="M1063" i="1" s="1"/>
  <c r="H1062" i="1"/>
  <c r="H1061" i="1"/>
  <c r="H1060" i="1"/>
  <c r="M1060" i="1" s="1"/>
  <c r="H1059" i="1"/>
  <c r="M1059" i="1" s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M1045" i="1" s="1"/>
  <c r="H1044" i="1"/>
  <c r="H1043" i="1"/>
  <c r="H1042" i="1"/>
  <c r="M1042" i="1" s="1"/>
  <c r="H1041" i="1"/>
  <c r="M1041" i="1" s="1"/>
  <c r="H1040" i="1"/>
  <c r="M1040" i="1" s="1"/>
  <c r="H1039" i="1"/>
  <c r="M1039" i="1" s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M1024" i="1" s="1"/>
  <c r="H1023" i="1"/>
  <c r="M1023" i="1" s="1"/>
  <c r="H1022" i="1"/>
  <c r="H1021" i="1"/>
  <c r="H1020" i="1"/>
  <c r="M1020" i="1" s="1"/>
  <c r="H1019" i="1"/>
  <c r="M1019" i="1" s="1"/>
  <c r="H1018" i="1"/>
  <c r="M1018" i="1" s="1"/>
  <c r="H1017" i="1"/>
  <c r="H1016" i="1"/>
  <c r="M1016" i="1" s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M1001" i="1" s="1"/>
  <c r="H1000" i="1"/>
  <c r="H999" i="1"/>
  <c r="M999" i="1" s="1"/>
  <c r="H998" i="1"/>
  <c r="M998" i="1" s="1"/>
  <c r="H997" i="1"/>
  <c r="M997" i="1" s="1"/>
  <c r="H996" i="1"/>
  <c r="H995" i="1"/>
  <c r="H994" i="1"/>
  <c r="M994" i="1" s="1"/>
  <c r="H993" i="1"/>
  <c r="M993" i="1" s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M980" i="1" s="1"/>
  <c r="H979" i="1"/>
  <c r="M979" i="1" s="1"/>
  <c r="H978" i="1"/>
  <c r="H977" i="1"/>
  <c r="M977" i="1" s="1"/>
  <c r="H976" i="1"/>
  <c r="M976" i="1" s="1"/>
  <c r="H975" i="1"/>
  <c r="M975" i="1" s="1"/>
  <c r="H974" i="1"/>
  <c r="M974" i="1" s="1"/>
  <c r="H973" i="1"/>
  <c r="M973" i="1" s="1"/>
  <c r="H972" i="1"/>
  <c r="M972" i="1" s="1"/>
  <c r="H971" i="1"/>
  <c r="M971" i="1" s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M957" i="1" s="1"/>
  <c r="H956" i="1"/>
  <c r="H955" i="1"/>
  <c r="M955" i="1" s="1"/>
  <c r="H954" i="1"/>
  <c r="M954" i="1" s="1"/>
  <c r="H953" i="1"/>
  <c r="M953" i="1" s="1"/>
  <c r="H952" i="1"/>
  <c r="M952" i="1" s="1"/>
  <c r="H951" i="1"/>
  <c r="M951" i="1" s="1"/>
  <c r="H950" i="1"/>
  <c r="M950" i="1" s="1"/>
  <c r="H949" i="1"/>
  <c r="M949" i="1" s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M935" i="1" s="1"/>
  <c r="H934" i="1"/>
  <c r="H933" i="1"/>
  <c r="H932" i="1"/>
  <c r="H931" i="1"/>
  <c r="M931" i="1" s="1"/>
  <c r="H930" i="1"/>
  <c r="H929" i="1"/>
  <c r="M929" i="1" s="1"/>
  <c r="H928" i="1"/>
  <c r="M928" i="1" s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M913" i="1" s="1"/>
  <c r="H912" i="1"/>
  <c r="H911" i="1"/>
  <c r="M911" i="1" s="1"/>
  <c r="H910" i="1"/>
  <c r="M910" i="1" s="1"/>
  <c r="H909" i="1"/>
  <c r="M909" i="1" s="1"/>
  <c r="H908" i="1"/>
  <c r="M908" i="1" s="1"/>
  <c r="H907" i="1"/>
  <c r="M907" i="1" s="1"/>
  <c r="H906" i="1"/>
  <c r="M906" i="1" s="1"/>
  <c r="H905" i="1"/>
  <c r="M905" i="1" s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M891" i="1" s="1"/>
  <c r="H890" i="1"/>
  <c r="H889" i="1"/>
  <c r="H888" i="1"/>
  <c r="M888" i="1" s="1"/>
  <c r="H887" i="1"/>
  <c r="M887" i="1" s="1"/>
  <c r="H886" i="1"/>
  <c r="H885" i="1"/>
  <c r="H884" i="1"/>
  <c r="H883" i="1"/>
  <c r="M883" i="1" s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M870" i="1" s="1"/>
  <c r="H869" i="1"/>
  <c r="M869" i="1" s="1"/>
  <c r="H868" i="1"/>
  <c r="H867" i="1"/>
  <c r="H866" i="1"/>
  <c r="M866" i="1" s="1"/>
  <c r="H865" i="1"/>
  <c r="M865" i="1" s="1"/>
  <c r="H864" i="1"/>
  <c r="H863" i="1"/>
  <c r="H862" i="1"/>
  <c r="M862" i="1" s="1"/>
  <c r="H861" i="1"/>
  <c r="M861" i="1" s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M848" i="1" s="1"/>
  <c r="H847" i="1"/>
  <c r="M847" i="1" s="1"/>
  <c r="H846" i="1"/>
  <c r="H845" i="1"/>
  <c r="H844" i="1"/>
  <c r="H843" i="1"/>
  <c r="M843" i="1" s="1"/>
  <c r="H842" i="1"/>
  <c r="H841" i="1"/>
  <c r="H840" i="1"/>
  <c r="H839" i="1"/>
  <c r="M839" i="1" s="1"/>
  <c r="H838" i="1"/>
  <c r="M838" i="1" s="1"/>
  <c r="H837" i="1"/>
  <c r="M837" i="1" s="1"/>
  <c r="H836" i="1"/>
  <c r="H835" i="1"/>
  <c r="H834" i="1"/>
  <c r="H833" i="1"/>
  <c r="H832" i="1"/>
  <c r="H831" i="1"/>
  <c r="H830" i="1"/>
  <c r="H829" i="1"/>
  <c r="H828" i="1"/>
  <c r="H827" i="1"/>
  <c r="H826" i="1"/>
  <c r="M826" i="1" s="1"/>
  <c r="H825" i="1"/>
  <c r="M825" i="1" s="1"/>
  <c r="H824" i="1"/>
  <c r="H823" i="1"/>
  <c r="M823" i="1" s="1"/>
  <c r="H822" i="1"/>
  <c r="M822" i="1" s="1"/>
  <c r="H821" i="1"/>
  <c r="M821" i="1" s="1"/>
  <c r="H820" i="1"/>
  <c r="M820" i="1" s="1"/>
  <c r="H819" i="1"/>
  <c r="H818" i="1"/>
  <c r="M818" i="1" s="1"/>
  <c r="H817" i="1"/>
  <c r="M817" i="1" s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M804" i="1" s="1"/>
  <c r="H803" i="1"/>
  <c r="M803" i="1" s="1"/>
  <c r="H802" i="1"/>
  <c r="H801" i="1"/>
  <c r="M801" i="1" s="1"/>
  <c r="H800" i="1"/>
  <c r="M800" i="1" s="1"/>
  <c r="H799" i="1"/>
  <c r="M799" i="1" s="1"/>
  <c r="H798" i="1"/>
  <c r="M798" i="1" s="1"/>
  <c r="H797" i="1"/>
  <c r="M797" i="1" s="1"/>
  <c r="H796" i="1"/>
  <c r="H795" i="1"/>
  <c r="M795" i="1" s="1"/>
  <c r="H794" i="1"/>
  <c r="H793" i="1"/>
  <c r="H792" i="1"/>
  <c r="H791" i="1"/>
  <c r="H790" i="1"/>
  <c r="H789" i="1"/>
  <c r="H788" i="1"/>
  <c r="H785" i="1"/>
  <c r="H784" i="1"/>
  <c r="H783" i="1"/>
  <c r="H782" i="1"/>
  <c r="M782" i="1" s="1"/>
  <c r="H781" i="1"/>
  <c r="M781" i="1" s="1"/>
  <c r="H780" i="1"/>
  <c r="M780" i="1" s="1"/>
  <c r="H779" i="1"/>
  <c r="M779" i="1" s="1"/>
  <c r="H778" i="1"/>
  <c r="H777" i="1"/>
  <c r="H776" i="1"/>
  <c r="M776" i="1" s="1"/>
  <c r="H775" i="1"/>
  <c r="M775" i="1" s="1"/>
  <c r="H774" i="1"/>
  <c r="H773" i="1"/>
  <c r="M773" i="1" s="1"/>
  <c r="H772" i="1"/>
  <c r="H771" i="1"/>
  <c r="H770" i="1"/>
  <c r="M770" i="1" s="1"/>
  <c r="H769" i="1"/>
  <c r="H768" i="1"/>
  <c r="H767" i="1"/>
  <c r="H766" i="1"/>
  <c r="H765" i="1"/>
  <c r="H764" i="1"/>
  <c r="H763" i="1"/>
  <c r="H762" i="1"/>
  <c r="H761" i="1"/>
  <c r="H760" i="1"/>
  <c r="M760" i="1" s="1"/>
  <c r="H759" i="1"/>
  <c r="M759" i="1" s="1"/>
  <c r="H758" i="1"/>
  <c r="H757" i="1"/>
  <c r="M757" i="1" s="1"/>
  <c r="H756" i="1"/>
  <c r="H755" i="1"/>
  <c r="H754" i="1"/>
  <c r="M754" i="1" s="1"/>
  <c r="H753" i="1"/>
  <c r="H752" i="1"/>
  <c r="M752" i="1" s="1"/>
  <c r="H751" i="1"/>
  <c r="M751" i="1" s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M738" i="1" s="1"/>
  <c r="H737" i="1"/>
  <c r="M737" i="1" s="1"/>
  <c r="H736" i="1"/>
  <c r="H735" i="1"/>
  <c r="M735" i="1" s="1"/>
  <c r="H734" i="1"/>
  <c r="H733" i="1"/>
  <c r="H732" i="1"/>
  <c r="H731" i="1"/>
  <c r="M731" i="1" s="1"/>
  <c r="H730" i="1"/>
  <c r="M730" i="1" s="1"/>
  <c r="H729" i="1"/>
  <c r="M729" i="1" s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M715" i="1" s="1"/>
  <c r="H714" i="1"/>
  <c r="H713" i="1"/>
  <c r="H712" i="1"/>
  <c r="H711" i="1"/>
  <c r="H710" i="1"/>
  <c r="M710" i="1" s="1"/>
  <c r="H709" i="1"/>
  <c r="M709" i="1" s="1"/>
  <c r="H708" i="1"/>
  <c r="M708" i="1" s="1"/>
  <c r="H707" i="1"/>
  <c r="M707" i="1" s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M694" i="1" s="1"/>
  <c r="H693" i="1"/>
  <c r="M693" i="1" s="1"/>
  <c r="H692" i="1"/>
  <c r="H691" i="1"/>
  <c r="M691" i="1" s="1"/>
  <c r="H690" i="1"/>
  <c r="H689" i="1"/>
  <c r="H688" i="1"/>
  <c r="H687" i="1"/>
  <c r="H686" i="1"/>
  <c r="M686" i="1" s="1"/>
  <c r="H685" i="1"/>
  <c r="M685" i="1" s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M672" i="1" s="1"/>
  <c r="H671" i="1"/>
  <c r="M671" i="1" s="1"/>
  <c r="H670" i="1"/>
  <c r="H669" i="1"/>
  <c r="H668" i="1"/>
  <c r="H667" i="1"/>
  <c r="H666" i="1"/>
  <c r="H665" i="1"/>
  <c r="H664" i="1"/>
  <c r="M664" i="1" s="1"/>
  <c r="H663" i="1"/>
  <c r="M663" i="1" s="1"/>
  <c r="H662" i="1"/>
  <c r="H661" i="1"/>
  <c r="H660" i="1"/>
  <c r="M660" i="1" s="1"/>
  <c r="H659" i="1"/>
  <c r="H658" i="1"/>
  <c r="H657" i="1"/>
  <c r="H656" i="1"/>
  <c r="H655" i="1"/>
  <c r="H654" i="1"/>
  <c r="H653" i="1"/>
  <c r="H652" i="1"/>
  <c r="H651" i="1"/>
  <c r="H650" i="1"/>
  <c r="M650" i="1" s="1"/>
  <c r="H649" i="1"/>
  <c r="M649" i="1" s="1"/>
  <c r="H648" i="1"/>
  <c r="H647" i="1"/>
  <c r="M647" i="1" s="1"/>
  <c r="H646" i="1"/>
  <c r="H645" i="1"/>
  <c r="H644" i="1"/>
  <c r="M644" i="1" s="1"/>
  <c r="H643" i="1"/>
  <c r="H642" i="1"/>
  <c r="M642" i="1" s="1"/>
  <c r="H641" i="1"/>
  <c r="M641" i="1" s="1"/>
  <c r="H640" i="1"/>
  <c r="H639" i="1"/>
  <c r="H638" i="1"/>
  <c r="M638" i="1" s="1"/>
  <c r="H637" i="1"/>
  <c r="H636" i="1"/>
  <c r="H635" i="1"/>
  <c r="H634" i="1"/>
  <c r="H633" i="1"/>
  <c r="H632" i="1"/>
  <c r="H631" i="1"/>
  <c r="H630" i="1"/>
  <c r="H629" i="1"/>
  <c r="H628" i="1"/>
  <c r="M628" i="1" s="1"/>
  <c r="H627" i="1"/>
  <c r="M627" i="1" s="1"/>
  <c r="H626" i="1"/>
  <c r="H625" i="1"/>
  <c r="H624" i="1"/>
  <c r="H623" i="1"/>
  <c r="H622" i="1"/>
  <c r="H621" i="1"/>
  <c r="H620" i="1"/>
  <c r="H619" i="1"/>
  <c r="M619" i="1" s="1"/>
  <c r="H618" i="1"/>
  <c r="H617" i="1"/>
  <c r="M617" i="1" s="1"/>
  <c r="H616" i="1"/>
  <c r="H615" i="1"/>
  <c r="H614" i="1"/>
  <c r="H613" i="1"/>
  <c r="H612" i="1"/>
  <c r="H611" i="1"/>
  <c r="H610" i="1"/>
  <c r="H609" i="1"/>
  <c r="H608" i="1"/>
  <c r="H607" i="1"/>
  <c r="H606" i="1"/>
  <c r="M606" i="1" s="1"/>
  <c r="H605" i="1"/>
  <c r="M605" i="1" s="1"/>
  <c r="H604" i="1"/>
  <c r="H603" i="1"/>
  <c r="H602" i="1"/>
  <c r="H601" i="1"/>
  <c r="H600" i="1"/>
  <c r="H599" i="1"/>
  <c r="M599" i="1" s="1"/>
  <c r="H598" i="1"/>
  <c r="M598" i="1" s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M584" i="1" s="1"/>
  <c r="H583" i="1"/>
  <c r="M583" i="1" s="1"/>
  <c r="H582" i="1"/>
  <c r="H581" i="1"/>
  <c r="H580" i="1"/>
  <c r="H579" i="1"/>
  <c r="H578" i="1"/>
  <c r="M578" i="1" s="1"/>
  <c r="H577" i="1"/>
  <c r="M577" i="1" s="1"/>
  <c r="H576" i="1"/>
  <c r="H575" i="1"/>
  <c r="M575" i="1" s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M561" i="1" s="1"/>
  <c r="H560" i="1"/>
  <c r="H559" i="1"/>
  <c r="M559" i="1" s="1"/>
  <c r="H558" i="1"/>
  <c r="H557" i="1"/>
  <c r="H556" i="1"/>
  <c r="M556" i="1" s="1"/>
  <c r="H555" i="1"/>
  <c r="H554" i="1"/>
  <c r="M554" i="1" s="1"/>
  <c r="H553" i="1"/>
  <c r="M553" i="1" s="1"/>
  <c r="H552" i="1"/>
  <c r="H551" i="1"/>
  <c r="H550" i="1"/>
  <c r="M550" i="1" s="1"/>
  <c r="H549" i="1"/>
  <c r="H548" i="1"/>
  <c r="H547" i="1"/>
  <c r="H546" i="1"/>
  <c r="H545" i="1"/>
  <c r="H544" i="1"/>
  <c r="H543" i="1"/>
  <c r="H542" i="1"/>
  <c r="H541" i="1"/>
  <c r="H540" i="1"/>
  <c r="H539" i="1"/>
  <c r="M539" i="1" s="1"/>
  <c r="H538" i="1"/>
  <c r="H537" i="1"/>
  <c r="H536" i="1"/>
  <c r="H535" i="1"/>
  <c r="H534" i="1"/>
  <c r="H533" i="1"/>
  <c r="H532" i="1"/>
  <c r="M532" i="1" s="1"/>
  <c r="H531" i="1"/>
  <c r="M531" i="1" s="1"/>
  <c r="H530" i="1"/>
  <c r="H529" i="1"/>
  <c r="H528" i="1"/>
  <c r="M528" i="1" s="1"/>
  <c r="H527" i="1"/>
  <c r="H526" i="1"/>
  <c r="H525" i="1"/>
  <c r="H524" i="1"/>
  <c r="H523" i="1"/>
  <c r="H522" i="1"/>
  <c r="H521" i="1"/>
  <c r="H520" i="1"/>
  <c r="H519" i="1"/>
  <c r="H518" i="1"/>
  <c r="H517" i="1"/>
  <c r="M517" i="1" s="1"/>
  <c r="H516" i="1"/>
  <c r="H515" i="1"/>
  <c r="M515" i="1" s="1"/>
  <c r="H514" i="1"/>
  <c r="H513" i="1"/>
  <c r="H512" i="1"/>
  <c r="H511" i="1"/>
  <c r="H510" i="1"/>
  <c r="M510" i="1" s="1"/>
  <c r="H509" i="1"/>
  <c r="M509" i="1" s="1"/>
  <c r="H508" i="1"/>
  <c r="M508" i="1" s="1"/>
  <c r="H507" i="1"/>
  <c r="H506" i="1"/>
  <c r="H505" i="1"/>
  <c r="H504" i="1"/>
  <c r="H503" i="1"/>
  <c r="H502" i="1"/>
  <c r="H501" i="1"/>
  <c r="H500" i="1"/>
  <c r="H499" i="1"/>
  <c r="H498" i="1"/>
  <c r="H497" i="1"/>
  <c r="H496" i="1"/>
  <c r="M496" i="1" s="1"/>
  <c r="H495" i="1"/>
  <c r="M495" i="1" s="1"/>
  <c r="H494" i="1"/>
  <c r="H493" i="1"/>
  <c r="M493" i="1" s="1"/>
  <c r="H492" i="1"/>
  <c r="H491" i="1"/>
  <c r="H490" i="1"/>
  <c r="H489" i="1"/>
  <c r="H488" i="1"/>
  <c r="M488" i="1" s="1"/>
  <c r="H487" i="1"/>
  <c r="M487" i="1" s="1"/>
  <c r="H486" i="1"/>
  <c r="M486" i="1" s="1"/>
  <c r="H485" i="1"/>
  <c r="H484" i="1"/>
  <c r="M484" i="1" s="1"/>
  <c r="H483" i="1"/>
  <c r="H482" i="1"/>
  <c r="H481" i="1"/>
  <c r="H480" i="1"/>
  <c r="H479" i="1"/>
  <c r="H478" i="1"/>
  <c r="H477" i="1"/>
  <c r="H476" i="1"/>
  <c r="H475" i="1"/>
  <c r="H474" i="1"/>
  <c r="M474" i="1" s="1"/>
  <c r="H473" i="1"/>
  <c r="M473" i="1" s="1"/>
  <c r="H472" i="1"/>
  <c r="H471" i="1"/>
  <c r="H470" i="1"/>
  <c r="H469" i="1"/>
  <c r="H468" i="1"/>
  <c r="H467" i="1"/>
  <c r="H466" i="1"/>
  <c r="M466" i="1" s="1"/>
  <c r="H465" i="1"/>
  <c r="M465" i="1" s="1"/>
  <c r="H464" i="1"/>
  <c r="M464" i="1" s="1"/>
  <c r="H463" i="1"/>
  <c r="H462" i="1"/>
  <c r="M462" i="1" s="1"/>
  <c r="H461" i="1"/>
  <c r="H460" i="1"/>
  <c r="H459" i="1"/>
  <c r="H458" i="1"/>
  <c r="H457" i="1"/>
  <c r="H456" i="1"/>
  <c r="H455" i="1"/>
  <c r="H454" i="1"/>
  <c r="H453" i="1"/>
  <c r="H452" i="1"/>
  <c r="M452" i="1" s="1"/>
  <c r="H451" i="1"/>
  <c r="M451" i="1" s="1"/>
  <c r="H450" i="1"/>
  <c r="H449" i="1"/>
  <c r="H448" i="1"/>
  <c r="H447" i="1"/>
  <c r="H446" i="1"/>
  <c r="M446" i="1" s="1"/>
  <c r="H445" i="1"/>
  <c r="M445" i="1" s="1"/>
  <c r="H444" i="1"/>
  <c r="H443" i="1"/>
  <c r="M443" i="1" s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M429" i="1" s="1"/>
  <c r="H428" i="1"/>
  <c r="H427" i="1"/>
  <c r="M427" i="1" s="1"/>
  <c r="H426" i="1"/>
  <c r="H425" i="1"/>
  <c r="H424" i="1"/>
  <c r="H423" i="1"/>
  <c r="H422" i="1"/>
  <c r="M422" i="1" s="1"/>
  <c r="H421" i="1"/>
  <c r="M421" i="1" s="1"/>
  <c r="H420" i="1"/>
  <c r="M420" i="1" s="1"/>
  <c r="H419" i="1"/>
  <c r="H418" i="1"/>
  <c r="M418" i="1" s="1"/>
  <c r="H417" i="1"/>
  <c r="H416" i="1"/>
  <c r="H415" i="1"/>
  <c r="H414" i="1"/>
  <c r="H413" i="1"/>
  <c r="H412" i="1"/>
  <c r="H411" i="1"/>
  <c r="H410" i="1"/>
  <c r="H409" i="1"/>
  <c r="H408" i="1"/>
  <c r="H407" i="1"/>
  <c r="M407" i="1" s="1"/>
  <c r="H406" i="1"/>
  <c r="H405" i="1"/>
  <c r="H404" i="1"/>
  <c r="H403" i="1"/>
  <c r="H402" i="1"/>
  <c r="M402" i="1" s="1"/>
  <c r="H401" i="1"/>
  <c r="M401" i="1" s="1"/>
  <c r="H400" i="1"/>
  <c r="M400" i="1" s="1"/>
  <c r="H399" i="1"/>
  <c r="M399" i="1" s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M386" i="1" s="1"/>
  <c r="H385" i="1"/>
  <c r="M385" i="1" s="1"/>
  <c r="H384" i="1"/>
  <c r="H383" i="1"/>
  <c r="H382" i="1"/>
  <c r="H381" i="1"/>
  <c r="H380" i="1"/>
  <c r="H379" i="1"/>
  <c r="H378" i="1"/>
  <c r="H377" i="1"/>
  <c r="M377" i="1" s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M364" i="1" s="1"/>
  <c r="H363" i="1"/>
  <c r="M363" i="1" s="1"/>
  <c r="H362" i="1"/>
  <c r="H361" i="1"/>
  <c r="M361" i="1" s="1"/>
  <c r="H360" i="1"/>
  <c r="H359" i="1"/>
  <c r="H358" i="1"/>
  <c r="H357" i="1"/>
  <c r="H356" i="1"/>
  <c r="M356" i="1" s="1"/>
  <c r="H355" i="1"/>
  <c r="M355" i="1" s="1"/>
  <c r="H354" i="1"/>
  <c r="H353" i="1"/>
  <c r="H352" i="1"/>
  <c r="M352" i="1" s="1"/>
  <c r="H351" i="1"/>
  <c r="H350" i="1"/>
  <c r="H349" i="1"/>
  <c r="H348" i="1"/>
  <c r="H347" i="1"/>
  <c r="H346" i="1"/>
  <c r="H345" i="1"/>
  <c r="H344" i="1"/>
  <c r="H343" i="1"/>
  <c r="H342" i="1"/>
  <c r="M342" i="1" s="1"/>
  <c r="H341" i="1"/>
  <c r="M341" i="1" s="1"/>
  <c r="H340" i="1"/>
  <c r="H339" i="1"/>
  <c r="M339" i="1" s="1"/>
  <c r="H338" i="1"/>
  <c r="H337" i="1"/>
  <c r="H336" i="1"/>
  <c r="M336" i="1" s="1"/>
  <c r="H335" i="1"/>
  <c r="M335" i="1" s="1"/>
  <c r="H334" i="1"/>
  <c r="M334" i="1" s="1"/>
  <c r="H333" i="1"/>
  <c r="M333" i="1" s="1"/>
  <c r="H332" i="1"/>
  <c r="H331" i="1"/>
  <c r="M331" i="1" s="1"/>
  <c r="H330" i="1"/>
  <c r="M330" i="1" s="1"/>
  <c r="H329" i="1"/>
  <c r="H328" i="1"/>
  <c r="H327" i="1"/>
  <c r="H326" i="1"/>
  <c r="H325" i="1"/>
  <c r="H324" i="1"/>
  <c r="H323" i="1"/>
  <c r="H322" i="1"/>
  <c r="H321" i="1"/>
  <c r="H320" i="1"/>
  <c r="M320" i="1" s="1"/>
  <c r="H319" i="1"/>
  <c r="M319" i="1" s="1"/>
  <c r="H318" i="1"/>
  <c r="H317" i="1"/>
  <c r="M317" i="1" s="1"/>
  <c r="H316" i="1"/>
  <c r="H315" i="1"/>
  <c r="H314" i="1"/>
  <c r="M314" i="1" s="1"/>
  <c r="H313" i="1"/>
  <c r="M313" i="1" s="1"/>
  <c r="H312" i="1"/>
  <c r="M312" i="1" s="1"/>
  <c r="H311" i="1"/>
  <c r="M311" i="1" s="1"/>
  <c r="H310" i="1"/>
  <c r="H309" i="1"/>
  <c r="H308" i="1"/>
  <c r="M308" i="1" s="1"/>
  <c r="H307" i="1"/>
  <c r="H306" i="1"/>
  <c r="H305" i="1"/>
  <c r="H304" i="1"/>
  <c r="H303" i="1"/>
  <c r="H302" i="1"/>
  <c r="H301" i="1"/>
  <c r="H300" i="1"/>
  <c r="H299" i="1"/>
  <c r="H298" i="1"/>
  <c r="H297" i="1"/>
  <c r="M297" i="1" s="1"/>
  <c r="H296" i="1"/>
  <c r="H295" i="1"/>
  <c r="M295" i="1" s="1"/>
  <c r="H294" i="1"/>
  <c r="H293" i="1"/>
  <c r="H292" i="1"/>
  <c r="H291" i="1"/>
  <c r="H290" i="1"/>
  <c r="H289" i="1"/>
  <c r="M289" i="1" s="1"/>
  <c r="H288" i="1"/>
  <c r="H287" i="1"/>
  <c r="M287" i="1" s="1"/>
  <c r="H286" i="1"/>
  <c r="M286" i="1" s="1"/>
  <c r="H285" i="1"/>
  <c r="H284" i="1"/>
  <c r="H283" i="1"/>
  <c r="H282" i="1"/>
  <c r="H281" i="1"/>
  <c r="H280" i="1"/>
  <c r="H279" i="1"/>
  <c r="H278" i="1"/>
  <c r="H277" i="1"/>
  <c r="H276" i="1"/>
  <c r="M276" i="1" s="1"/>
  <c r="H275" i="1"/>
  <c r="M275" i="1" s="1"/>
  <c r="H274" i="1"/>
  <c r="H273" i="1"/>
  <c r="H272" i="1"/>
  <c r="H271" i="1"/>
  <c r="H270" i="1"/>
  <c r="H269" i="1"/>
  <c r="H268" i="1"/>
  <c r="H267" i="1"/>
  <c r="H266" i="1"/>
  <c r="H265" i="1"/>
  <c r="M265" i="1" s="1"/>
  <c r="H264" i="1"/>
  <c r="H263" i="1"/>
  <c r="H262" i="1"/>
  <c r="H261" i="1"/>
  <c r="H260" i="1"/>
  <c r="H259" i="1"/>
  <c r="H258" i="1"/>
  <c r="H257" i="1"/>
  <c r="H256" i="1"/>
  <c r="H255" i="1"/>
  <c r="H254" i="1"/>
  <c r="H253" i="1"/>
  <c r="M253" i="1" s="1"/>
  <c r="H252" i="1"/>
  <c r="H251" i="1"/>
  <c r="M251" i="1" s="1"/>
  <c r="H250" i="1"/>
  <c r="H249" i="1"/>
  <c r="H248" i="1"/>
  <c r="M248" i="1" s="1"/>
  <c r="H247" i="1"/>
  <c r="H246" i="1"/>
  <c r="M246" i="1" s="1"/>
  <c r="H245" i="1"/>
  <c r="H244" i="1"/>
  <c r="M244" i="1" s="1"/>
  <c r="H243" i="1"/>
  <c r="H242" i="1"/>
  <c r="M242" i="1" s="1"/>
  <c r="H241" i="1"/>
  <c r="H240" i="1"/>
  <c r="H239" i="1"/>
  <c r="H238" i="1"/>
  <c r="H237" i="1"/>
  <c r="H236" i="1"/>
  <c r="H235" i="1"/>
  <c r="H234" i="1"/>
  <c r="H233" i="1"/>
  <c r="H232" i="1"/>
  <c r="M232" i="1" s="1"/>
  <c r="H231" i="1"/>
  <c r="M231" i="1" s="1"/>
  <c r="H230" i="1"/>
  <c r="H229" i="1"/>
  <c r="H228" i="1"/>
  <c r="H227" i="1"/>
  <c r="H226" i="1"/>
  <c r="H225" i="1"/>
  <c r="H224" i="1"/>
  <c r="M224" i="1" s="1"/>
  <c r="H223" i="1"/>
  <c r="M223" i="1" s="1"/>
  <c r="H222" i="1"/>
  <c r="H221" i="1"/>
  <c r="H220" i="1"/>
  <c r="M220" i="1" s="1"/>
  <c r="H219" i="1"/>
  <c r="H218" i="1"/>
  <c r="H217" i="1"/>
  <c r="H216" i="1"/>
  <c r="H215" i="1"/>
  <c r="H214" i="1"/>
  <c r="H213" i="1"/>
  <c r="H212" i="1"/>
  <c r="H211" i="1"/>
  <c r="H210" i="1"/>
  <c r="M210" i="1" s="1"/>
  <c r="H209" i="1"/>
  <c r="M209" i="1" s="1"/>
  <c r="H208" i="1"/>
  <c r="M208" i="1" s="1"/>
  <c r="H207" i="1"/>
  <c r="H206" i="1"/>
  <c r="M206" i="1" s="1"/>
  <c r="H205" i="1"/>
  <c r="M205" i="1" s="1"/>
  <c r="H204" i="1"/>
  <c r="H203" i="1"/>
  <c r="M203" i="1" s="1"/>
  <c r="H202" i="1"/>
  <c r="M202" i="1" s="1"/>
  <c r="H201" i="1"/>
  <c r="M201" i="1" s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M187" i="1" s="1"/>
  <c r="H186" i="1"/>
  <c r="H185" i="1"/>
  <c r="H184" i="1"/>
  <c r="M184" i="1" s="1"/>
  <c r="H183" i="1"/>
  <c r="M183" i="1" s="1"/>
  <c r="H182" i="1"/>
  <c r="H181" i="1"/>
  <c r="H180" i="1"/>
  <c r="M180" i="1" s="1"/>
  <c r="H179" i="1"/>
  <c r="M179" i="1" s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M166" i="1" s="1"/>
  <c r="H165" i="1"/>
  <c r="M165" i="1" s="1"/>
  <c r="H164" i="1"/>
  <c r="M164" i="1" s="1"/>
  <c r="H163" i="1"/>
  <c r="H162" i="1"/>
  <c r="M162" i="1" s="1"/>
  <c r="H161" i="1"/>
  <c r="M161" i="1" s="1"/>
  <c r="H160" i="1"/>
  <c r="H159" i="1"/>
  <c r="H158" i="1"/>
  <c r="M158" i="1" s="1"/>
  <c r="H157" i="1"/>
  <c r="M157" i="1" s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M144" i="1" s="1"/>
  <c r="H143" i="1"/>
  <c r="M143" i="1" s="1"/>
  <c r="H142" i="1"/>
  <c r="M142" i="1" s="1"/>
  <c r="H141" i="1"/>
  <c r="H140" i="1"/>
  <c r="M140" i="1" s="1"/>
  <c r="H139" i="1"/>
  <c r="M139" i="1" s="1"/>
  <c r="H138" i="1"/>
  <c r="M138" i="1" s="1"/>
  <c r="H137" i="1"/>
  <c r="M137" i="1" s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M121" i="1" s="1"/>
  <c r="H120" i="1"/>
  <c r="M120" i="1" s="1"/>
  <c r="H119" i="1"/>
  <c r="M119" i="1" s="1"/>
  <c r="H118" i="1"/>
  <c r="M118" i="1" s="1"/>
  <c r="H117" i="1"/>
  <c r="M117" i="1" s="1"/>
  <c r="H116" i="1"/>
  <c r="H115" i="1"/>
  <c r="H114" i="1"/>
  <c r="H113" i="1"/>
  <c r="M113" i="1" s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M100" i="1" s="1"/>
  <c r="H99" i="1"/>
  <c r="M99" i="1" s="1"/>
  <c r="H98" i="1"/>
  <c r="M98" i="1" s="1"/>
  <c r="H97" i="1"/>
  <c r="M97" i="1" s="1"/>
  <c r="H96" i="1"/>
  <c r="M96" i="1" s="1"/>
  <c r="H95" i="1"/>
  <c r="M95" i="1" s="1"/>
  <c r="H94" i="1"/>
  <c r="M94" i="1" s="1"/>
  <c r="H93" i="1"/>
  <c r="M93" i="1" s="1"/>
  <c r="H92" i="1"/>
  <c r="H91" i="1"/>
  <c r="H90" i="1"/>
  <c r="H89" i="1"/>
  <c r="H88" i="1"/>
  <c r="H87" i="1"/>
  <c r="H86" i="1"/>
  <c r="H85" i="1"/>
  <c r="H84" i="1"/>
  <c r="M84" i="1" s="1"/>
  <c r="H83" i="1"/>
  <c r="H82" i="1"/>
  <c r="H81" i="1"/>
  <c r="H80" i="1"/>
  <c r="H79" i="1"/>
  <c r="H78" i="1"/>
  <c r="H77" i="1"/>
  <c r="M77" i="1" s="1"/>
  <c r="H76" i="1"/>
  <c r="M76" i="1" s="1"/>
  <c r="H75" i="1"/>
  <c r="M75" i="1" s="1"/>
  <c r="H74" i="1"/>
  <c r="M74" i="1" s="1"/>
  <c r="H73" i="1"/>
  <c r="M73" i="1" s="1"/>
  <c r="H72" i="1"/>
  <c r="M72" i="1" s="1"/>
  <c r="H71" i="1"/>
  <c r="M71" i="1" s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M56" i="1" s="1"/>
  <c r="H55" i="1"/>
  <c r="M55" i="1" s="1"/>
  <c r="H54" i="1"/>
  <c r="H53" i="1"/>
  <c r="H52" i="1"/>
  <c r="M52" i="1" s="1"/>
  <c r="H51" i="1"/>
  <c r="M51" i="1" s="1"/>
  <c r="H50" i="1"/>
  <c r="M50" i="1" s="1"/>
  <c r="H49" i="1"/>
  <c r="H48" i="1"/>
  <c r="H47" i="1"/>
  <c r="H46" i="1"/>
  <c r="H45" i="1"/>
  <c r="H44" i="1"/>
  <c r="H43" i="1"/>
  <c r="H42" i="1"/>
  <c r="H41" i="1"/>
  <c r="H40" i="1"/>
  <c r="M40" i="1" s="1"/>
  <c r="H39" i="1"/>
  <c r="H38" i="1"/>
  <c r="H37" i="1"/>
  <c r="H36" i="1"/>
  <c r="H35" i="1"/>
  <c r="H34" i="1"/>
  <c r="M34" i="1" s="1"/>
  <c r="H33" i="1"/>
  <c r="M33" i="1" s="1"/>
  <c r="H32" i="1"/>
  <c r="M32" i="1" s="1"/>
  <c r="H31" i="1"/>
  <c r="H30" i="1"/>
  <c r="M30" i="1" s="1"/>
  <c r="H29" i="1"/>
  <c r="M29" i="1" s="1"/>
  <c r="H28" i="1"/>
  <c r="H27" i="1"/>
  <c r="H26" i="1"/>
  <c r="H25" i="1"/>
  <c r="H24" i="1"/>
  <c r="H23" i="1"/>
  <c r="H22" i="1"/>
  <c r="H21" i="1"/>
  <c r="H20" i="1"/>
  <c r="H19" i="1"/>
  <c r="H18" i="1"/>
  <c r="M18" i="1" s="1"/>
  <c r="H17" i="1"/>
  <c r="H16" i="1"/>
  <c r="H15" i="1"/>
  <c r="H14" i="1"/>
  <c r="H13" i="1"/>
  <c r="H12" i="1"/>
  <c r="M12" i="1" s="1"/>
  <c r="H11" i="1"/>
  <c r="M11" i="1" s="1"/>
  <c r="H10" i="1"/>
  <c r="M10" i="1" s="1"/>
  <c r="H9" i="1"/>
  <c r="M9" i="1" s="1"/>
  <c r="H8" i="1"/>
  <c r="M8" i="1" s="1"/>
  <c r="H7" i="1"/>
  <c r="M7" i="1" s="1"/>
  <c r="H6" i="1"/>
  <c r="H5" i="1"/>
  <c r="H3" i="1"/>
  <c r="M249" i="1" l="1"/>
  <c r="M271" i="1"/>
  <c r="M293" i="1"/>
  <c r="M315" i="1"/>
  <c r="M337" i="1"/>
  <c r="M359" i="1"/>
  <c r="M381" i="1"/>
  <c r="M403" i="1"/>
  <c r="M425" i="1"/>
  <c r="M447" i="1"/>
  <c r="M469" i="1"/>
  <c r="M491" i="1"/>
  <c r="M513" i="1"/>
  <c r="M535" i="1"/>
  <c r="M557" i="1"/>
  <c r="M579" i="1"/>
  <c r="M601" i="1"/>
  <c r="M623" i="1"/>
  <c r="M667" i="1"/>
  <c r="M689" i="1"/>
  <c r="M711" i="1"/>
  <c r="M733" i="1"/>
  <c r="M755" i="1"/>
  <c r="M777" i="1"/>
  <c r="M250" i="1"/>
  <c r="M272" i="1"/>
  <c r="M294" i="1"/>
  <c r="M316" i="1"/>
  <c r="M338" i="1"/>
  <c r="M360" i="1"/>
  <c r="M382" i="1"/>
  <c r="M404" i="1"/>
  <c r="M426" i="1"/>
  <c r="M448" i="1"/>
  <c r="M470" i="1"/>
  <c r="M492" i="1"/>
  <c r="M514" i="1"/>
  <c r="M536" i="1"/>
  <c r="M558" i="1"/>
  <c r="M580" i="1"/>
  <c r="M602" i="1"/>
  <c r="M624" i="1"/>
  <c r="M646" i="1"/>
  <c r="M668" i="1"/>
  <c r="M690" i="1"/>
  <c r="M712" i="1"/>
  <c r="M734" i="1"/>
  <c r="M756" i="1"/>
  <c r="M778" i="1"/>
  <c r="M846" i="1"/>
  <c r="M1176" i="1"/>
  <c r="M788" i="1"/>
  <c r="M898" i="1"/>
  <c r="M942" i="1"/>
  <c r="M1008" i="1"/>
  <c r="M1052" i="1"/>
  <c r="M1096" i="1"/>
  <c r="M1140" i="1"/>
  <c r="M1228" i="1"/>
  <c r="M238" i="1"/>
  <c r="M326" i="1"/>
  <c r="M392" i="1"/>
  <c r="M458" i="1"/>
  <c r="M546" i="1"/>
  <c r="M590" i="1"/>
  <c r="M678" i="1"/>
  <c r="M812" i="1"/>
  <c r="M810" i="1"/>
  <c r="M832" i="1"/>
  <c r="M920" i="1"/>
  <c r="M964" i="1"/>
  <c r="M986" i="1"/>
  <c r="M1030" i="1"/>
  <c r="M1074" i="1"/>
  <c r="M1118" i="1"/>
  <c r="M1162" i="1"/>
  <c r="M1184" i="1"/>
  <c r="M1206" i="1"/>
  <c r="M965" i="1"/>
  <c r="M1185" i="1"/>
  <c r="M260" i="1"/>
  <c r="M282" i="1"/>
  <c r="M348" i="1"/>
  <c r="M414" i="1"/>
  <c r="M436" i="1"/>
  <c r="M480" i="1"/>
  <c r="M524" i="1"/>
  <c r="M568" i="1"/>
  <c r="M612" i="1"/>
  <c r="M634" i="1"/>
  <c r="M656" i="1"/>
  <c r="M700" i="1"/>
  <c r="M722" i="1"/>
  <c r="M744" i="1"/>
  <c r="M766" i="1"/>
  <c r="M657" i="1"/>
  <c r="M723" i="1"/>
  <c r="M835" i="1"/>
  <c r="M724" i="1"/>
  <c r="M792" i="1"/>
  <c r="M814" i="1"/>
  <c r="M946" i="1"/>
  <c r="M1034" i="1"/>
  <c r="M1056" i="1"/>
  <c r="M1122" i="1"/>
  <c r="M1144" i="1"/>
  <c r="M1166" i="1"/>
  <c r="M1188" i="1"/>
  <c r="M1232" i="1"/>
  <c r="M227" i="1"/>
  <c r="M228" i="1"/>
  <c r="M172" i="1"/>
  <c r="M106" i="1"/>
  <c r="M128" i="1"/>
  <c r="M150" i="1"/>
  <c r="M194" i="1"/>
  <c r="M132" i="1"/>
  <c r="M154" i="1"/>
  <c r="M156" i="1"/>
  <c r="M66" i="1"/>
  <c r="M88" i="1"/>
  <c r="M24" i="1"/>
  <c r="M25" i="1"/>
  <c r="M47" i="1"/>
  <c r="M69" i="1"/>
  <c r="M91" i="1"/>
  <c r="M26" i="1"/>
  <c r="M48" i="1"/>
  <c r="M70" i="1"/>
  <c r="M92" i="1"/>
  <c r="M1186" i="1"/>
  <c r="M794" i="1"/>
  <c r="M816" i="1"/>
  <c r="M860" i="1"/>
  <c r="M882" i="1"/>
  <c r="M904" i="1"/>
  <c r="M926" i="1"/>
  <c r="M948" i="1"/>
  <c r="M1014" i="1"/>
  <c r="M1036" i="1"/>
  <c r="M1058" i="1"/>
  <c r="M1080" i="1"/>
  <c r="M1102" i="1"/>
  <c r="M1146" i="1"/>
  <c r="M1168" i="1"/>
  <c r="M1190" i="1"/>
  <c r="M1234" i="1"/>
  <c r="M1230" i="1"/>
  <c r="M1189" i="1"/>
  <c r="M1015" i="1"/>
  <c r="M1037" i="1"/>
  <c r="M1191" i="1"/>
  <c r="M1213" i="1"/>
  <c r="M854" i="1"/>
  <c r="M900" i="1"/>
  <c r="M988" i="1"/>
  <c r="M1076" i="1"/>
  <c r="M901" i="1"/>
  <c r="M1011" i="1"/>
  <c r="M1143" i="1"/>
  <c r="M858" i="1"/>
  <c r="M902" i="1"/>
  <c r="M990" i="1"/>
  <c r="M1078" i="1"/>
  <c r="M815" i="1"/>
  <c r="M903" i="1"/>
  <c r="M947" i="1"/>
  <c r="M991" i="1"/>
  <c r="M1035" i="1"/>
  <c r="M1101" i="1"/>
  <c r="M796" i="1"/>
  <c r="M840" i="1"/>
  <c r="M884" i="1"/>
  <c r="M1038" i="1"/>
  <c r="M1104" i="1"/>
  <c r="M1192" i="1"/>
  <c r="M1214" i="1"/>
  <c r="M1208" i="1"/>
  <c r="M1233" i="1"/>
  <c r="M855" i="1"/>
  <c r="M878" i="1"/>
  <c r="M944" i="1"/>
  <c r="M1010" i="1"/>
  <c r="M1032" i="1"/>
  <c r="M813" i="1"/>
  <c r="M857" i="1"/>
  <c r="M879" i="1"/>
  <c r="M923" i="1"/>
  <c r="M1033" i="1"/>
  <c r="M1165" i="1"/>
  <c r="M836" i="1"/>
  <c r="M880" i="1"/>
  <c r="M924" i="1"/>
  <c r="M968" i="1"/>
  <c r="M1012" i="1"/>
  <c r="M1100" i="1"/>
  <c r="M1210" i="1"/>
  <c r="M859" i="1"/>
  <c r="M925" i="1"/>
  <c r="M969" i="1"/>
  <c r="M1013" i="1"/>
  <c r="M1057" i="1"/>
  <c r="M1167" i="1"/>
  <c r="M679" i="1"/>
  <c r="M701" i="1"/>
  <c r="M702" i="1"/>
  <c r="M746" i="1"/>
  <c r="M716" i="1"/>
  <c r="M502" i="1"/>
  <c r="M785" i="1"/>
  <c r="M790" i="1"/>
  <c r="M87" i="1"/>
  <c r="M175" i="1"/>
  <c r="M549" i="1"/>
  <c r="M593" i="1"/>
  <c r="M659" i="1"/>
  <c r="M725" i="1"/>
  <c r="M22" i="1"/>
  <c r="M110" i="1"/>
  <c r="M176" i="1"/>
  <c r="M264" i="1"/>
  <c r="M374" i="1"/>
  <c r="M440" i="1"/>
  <c r="M572" i="1"/>
  <c r="M594" i="1"/>
  <c r="M682" i="1"/>
  <c r="M726" i="1"/>
  <c r="M23" i="1"/>
  <c r="M111" i="1"/>
  <c r="M199" i="1"/>
  <c r="M243" i="1"/>
  <c r="M353" i="1"/>
  <c r="M419" i="1"/>
  <c r="M441" i="1"/>
  <c r="M485" i="1"/>
  <c r="M529" i="1"/>
  <c r="M573" i="1"/>
  <c r="M683" i="1"/>
  <c r="M749" i="1"/>
  <c r="M46" i="1"/>
  <c r="M112" i="1"/>
  <c r="M200" i="1"/>
  <c r="M266" i="1"/>
  <c r="M332" i="1"/>
  <c r="M376" i="1"/>
  <c r="M530" i="1"/>
  <c r="M574" i="1"/>
  <c r="M596" i="1"/>
  <c r="M684" i="1"/>
  <c r="M772" i="1"/>
  <c r="M245" i="1"/>
  <c r="M597" i="1"/>
  <c r="M136" i="1"/>
  <c r="M290" i="1"/>
  <c r="M774" i="1"/>
  <c r="M207" i="1"/>
  <c r="M449" i="1"/>
  <c r="M21" i="1"/>
  <c r="M109" i="1"/>
  <c r="M153" i="1"/>
  <c r="M373" i="1"/>
  <c r="M527" i="1"/>
  <c r="M571" i="1"/>
  <c r="M44" i="1"/>
  <c r="M198" i="1"/>
  <c r="M396" i="1"/>
  <c r="M506" i="1"/>
  <c r="M616" i="1"/>
  <c r="M704" i="1"/>
  <c r="M748" i="1"/>
  <c r="M45" i="1"/>
  <c r="M67" i="1"/>
  <c r="M89" i="1"/>
  <c r="M133" i="1"/>
  <c r="M221" i="1"/>
  <c r="M375" i="1"/>
  <c r="M463" i="1"/>
  <c r="M507" i="1"/>
  <c r="M551" i="1"/>
  <c r="M595" i="1"/>
  <c r="M705" i="1"/>
  <c r="M727" i="1"/>
  <c r="M771" i="1"/>
  <c r="M68" i="1"/>
  <c r="M90" i="1"/>
  <c r="M134" i="1"/>
  <c r="M178" i="1"/>
  <c r="M222" i="1"/>
  <c r="M288" i="1"/>
  <c r="M310" i="1"/>
  <c r="M354" i="1"/>
  <c r="M398" i="1"/>
  <c r="M442" i="1"/>
  <c r="M552" i="1"/>
  <c r="M618" i="1"/>
  <c r="M662" i="1"/>
  <c r="M706" i="1"/>
  <c r="M750" i="1"/>
  <c r="M135" i="1"/>
  <c r="M267" i="1"/>
  <c r="M114" i="1"/>
  <c r="M268" i="1"/>
  <c r="M378" i="1"/>
  <c r="M444" i="1"/>
  <c r="M576" i="1"/>
  <c r="M620" i="1"/>
  <c r="M379" i="1"/>
  <c r="M643" i="1"/>
  <c r="M645" i="1"/>
  <c r="M516" i="1"/>
  <c r="M38" i="1"/>
  <c r="M104" i="1"/>
  <c r="M170" i="1"/>
  <c r="M258" i="1"/>
  <c r="M368" i="1"/>
  <c r="M610" i="1"/>
  <c r="M927" i="1"/>
  <c r="M3" i="1"/>
  <c r="S31" i="1" s="1"/>
  <c r="T31" i="1" s="1"/>
  <c r="M13" i="1"/>
  <c r="M35" i="1"/>
  <c r="M57" i="1"/>
  <c r="M79" i="1"/>
  <c r="M101" i="1"/>
  <c r="M123" i="1"/>
  <c r="M145" i="1"/>
  <c r="M167" i="1"/>
  <c r="M189" i="1"/>
  <c r="M211" i="1"/>
  <c r="M233" i="1"/>
  <c r="M255" i="1"/>
  <c r="M277" i="1"/>
  <c r="M299" i="1"/>
  <c r="M321" i="1"/>
  <c r="M343" i="1"/>
  <c r="M365" i="1"/>
  <c r="M387" i="1"/>
  <c r="M409" i="1"/>
  <c r="M431" i="1"/>
  <c r="M453" i="1"/>
  <c r="M475" i="1"/>
  <c r="M497" i="1"/>
  <c r="M519" i="1"/>
  <c r="M541" i="1"/>
  <c r="M563" i="1"/>
  <c r="M585" i="1"/>
  <c r="M607" i="1"/>
  <c r="M629" i="1"/>
  <c r="M651" i="1"/>
  <c r="M673" i="1"/>
  <c r="M695" i="1"/>
  <c r="M717" i="1"/>
  <c r="M739" i="1"/>
  <c r="M761" i="1"/>
  <c r="M783" i="1"/>
  <c r="M805" i="1"/>
  <c r="M827" i="1"/>
  <c r="M849" i="1"/>
  <c r="M871" i="1"/>
  <c r="M893" i="1"/>
  <c r="M915" i="1"/>
  <c r="M937" i="1"/>
  <c r="M959" i="1"/>
  <c r="M981" i="1"/>
  <c r="M1003" i="1"/>
  <c r="M1025" i="1"/>
  <c r="M1047" i="1"/>
  <c r="M1069" i="1"/>
  <c r="M1091" i="1"/>
  <c r="M1113" i="1"/>
  <c r="M1135" i="1"/>
  <c r="M1157" i="1"/>
  <c r="M1179" i="1"/>
  <c r="M1201" i="1"/>
  <c r="M1223" i="1"/>
  <c r="M14" i="1"/>
  <c r="M36" i="1"/>
  <c r="M58" i="1"/>
  <c r="M80" i="1"/>
  <c r="M102" i="1"/>
  <c r="M124" i="1"/>
  <c r="M146" i="1"/>
  <c r="M168" i="1"/>
  <c r="M190" i="1"/>
  <c r="M212" i="1"/>
  <c r="M234" i="1"/>
  <c r="M256" i="1"/>
  <c r="M278" i="1"/>
  <c r="M300" i="1"/>
  <c r="M344" i="1"/>
  <c r="M366" i="1"/>
  <c r="M388" i="1"/>
  <c r="M410" i="1"/>
  <c r="M432" i="1"/>
  <c r="M454" i="1"/>
  <c r="M476" i="1"/>
  <c r="M498" i="1"/>
  <c r="M520" i="1"/>
  <c r="M542" i="1"/>
  <c r="M564" i="1"/>
  <c r="M586" i="1"/>
  <c r="M608" i="1"/>
  <c r="M630" i="1"/>
  <c r="M652" i="1"/>
  <c r="M674" i="1"/>
  <c r="M696" i="1"/>
  <c r="M740" i="1"/>
  <c r="M762" i="1"/>
  <c r="M784" i="1"/>
  <c r="M806" i="1"/>
  <c r="M828" i="1"/>
  <c r="M850" i="1"/>
  <c r="M872" i="1"/>
  <c r="M894" i="1"/>
  <c r="M916" i="1"/>
  <c r="M938" i="1"/>
  <c r="M960" i="1"/>
  <c r="M982" i="1"/>
  <c r="M1004" i="1"/>
  <c r="M1026" i="1"/>
  <c r="M1048" i="1"/>
  <c r="M1070" i="1"/>
  <c r="M1092" i="1"/>
  <c r="M1114" i="1"/>
  <c r="M1136" i="1"/>
  <c r="M1158" i="1"/>
  <c r="M1180" i="1"/>
  <c r="M1202" i="1"/>
  <c r="M1224" i="1"/>
  <c r="M15" i="1"/>
  <c r="M169" i="1"/>
  <c r="M213" i="1"/>
  <c r="M367" i="1"/>
  <c r="M411" i="1"/>
  <c r="M477" i="1"/>
  <c r="M499" i="1"/>
  <c r="M543" i="1"/>
  <c r="M565" i="1"/>
  <c r="M675" i="1"/>
  <c r="M697" i="1"/>
  <c r="M763" i="1"/>
  <c r="M895" i="1"/>
  <c r="M16" i="1"/>
  <c r="M60" i="1"/>
  <c r="M82" i="1"/>
  <c r="M126" i="1"/>
  <c r="M148" i="1"/>
  <c r="M192" i="1"/>
  <c r="M214" i="1"/>
  <c r="M236" i="1"/>
  <c r="M280" i="1"/>
  <c r="M302" i="1"/>
  <c r="M324" i="1"/>
  <c r="M346" i="1"/>
  <c r="M390" i="1"/>
  <c r="M412" i="1"/>
  <c r="M434" i="1"/>
  <c r="M456" i="1"/>
  <c r="M478" i="1"/>
  <c r="M500" i="1"/>
  <c r="M522" i="1"/>
  <c r="M544" i="1"/>
  <c r="M566" i="1"/>
  <c r="M588" i="1"/>
  <c r="M632" i="1"/>
  <c r="M654" i="1"/>
  <c r="M676" i="1"/>
  <c r="M698" i="1"/>
  <c r="M720" i="1"/>
  <c r="M742" i="1"/>
  <c r="M764" i="1"/>
  <c r="M786" i="1"/>
  <c r="M808" i="1"/>
  <c r="M830" i="1"/>
  <c r="M852" i="1"/>
  <c r="M874" i="1"/>
  <c r="M230" i="1"/>
  <c r="M252" i="1"/>
  <c r="M274" i="1"/>
  <c r="M296" i="1"/>
  <c r="M318" i="1"/>
  <c r="M340" i="1"/>
  <c r="M362" i="1"/>
  <c r="M384" i="1"/>
  <c r="M406" i="1"/>
  <c r="M428" i="1"/>
  <c r="M450" i="1"/>
  <c r="M472" i="1"/>
  <c r="M494" i="1"/>
  <c r="M538" i="1"/>
  <c r="M560" i="1"/>
  <c r="M582" i="1"/>
  <c r="M604" i="1"/>
  <c r="M626" i="1"/>
  <c r="M648" i="1"/>
  <c r="M670" i="1"/>
  <c r="M692" i="1"/>
  <c r="M714" i="1"/>
  <c r="M736" i="1"/>
  <c r="M758" i="1"/>
  <c r="M802" i="1"/>
  <c r="M824" i="1"/>
  <c r="M868" i="1"/>
  <c r="M890" i="1"/>
  <c r="M912" i="1"/>
  <c r="M956" i="1"/>
  <c r="M978" i="1"/>
  <c r="M1000" i="1"/>
  <c r="M1022" i="1"/>
  <c r="M1044" i="1"/>
  <c r="M1066" i="1"/>
  <c r="M1110" i="1"/>
  <c r="M1132" i="1"/>
  <c r="M1154" i="1"/>
  <c r="M1198" i="1"/>
  <c r="M1220" i="1"/>
  <c r="M1242" i="1"/>
  <c r="M896" i="1"/>
  <c r="M918" i="1"/>
  <c r="M940" i="1"/>
  <c r="M962" i="1"/>
  <c r="M984" i="1"/>
  <c r="M1006" i="1"/>
  <c r="M1028" i="1"/>
  <c r="M1050" i="1"/>
  <c r="M1072" i="1"/>
  <c r="M1094" i="1"/>
  <c r="M1116" i="1"/>
  <c r="M1138" i="1"/>
  <c r="M1160" i="1"/>
  <c r="M1182" i="1"/>
  <c r="M1204" i="1"/>
  <c r="M1226" i="1"/>
  <c r="M17" i="1"/>
  <c r="M39" i="1"/>
  <c r="M61" i="1"/>
  <c r="M83" i="1"/>
  <c r="M105" i="1"/>
  <c r="M127" i="1"/>
  <c r="M149" i="1"/>
  <c r="M171" i="1"/>
  <c r="M193" i="1"/>
  <c r="M215" i="1"/>
  <c r="M237" i="1"/>
  <c r="M259" i="1"/>
  <c r="M281" i="1"/>
  <c r="M303" i="1"/>
  <c r="M325" i="1"/>
  <c r="M347" i="1"/>
  <c r="M369" i="1"/>
  <c r="M391" i="1"/>
  <c r="M413" i="1"/>
  <c r="M435" i="1"/>
  <c r="M457" i="1"/>
  <c r="M479" i="1"/>
  <c r="M501" i="1"/>
  <c r="M523" i="1"/>
  <c r="M545" i="1"/>
  <c r="M567" i="1"/>
  <c r="M589" i="1"/>
  <c r="M611" i="1"/>
  <c r="M633" i="1"/>
  <c r="M655" i="1"/>
  <c r="M677" i="1"/>
  <c r="M699" i="1"/>
  <c r="M721" i="1"/>
  <c r="M743" i="1"/>
  <c r="M765" i="1"/>
  <c r="M787" i="1"/>
  <c r="M809" i="1"/>
  <c r="M831" i="1"/>
  <c r="M853" i="1"/>
  <c r="M875" i="1"/>
  <c r="M897" i="1"/>
  <c r="M919" i="1"/>
  <c r="M941" i="1"/>
  <c r="M963" i="1"/>
  <c r="M985" i="1"/>
  <c r="M1007" i="1"/>
  <c r="M1029" i="1"/>
  <c r="M1051" i="1"/>
  <c r="M1073" i="1"/>
  <c r="M1095" i="1"/>
  <c r="M1117" i="1"/>
  <c r="M1139" i="1"/>
  <c r="M1161" i="1"/>
  <c r="M1183" i="1"/>
  <c r="M1205" i="1"/>
  <c r="M1227" i="1"/>
  <c r="M41" i="1"/>
  <c r="M85" i="1"/>
  <c r="M129" i="1"/>
  <c r="M195" i="1"/>
  <c r="M261" i="1"/>
  <c r="M283" i="1"/>
  <c r="M305" i="1"/>
  <c r="M371" i="1"/>
  <c r="M393" i="1"/>
  <c r="M415" i="1"/>
  <c r="M437" i="1"/>
  <c r="M459" i="1"/>
  <c r="M481" i="1"/>
  <c r="M525" i="1"/>
  <c r="M547" i="1"/>
  <c r="M569" i="1"/>
  <c r="M591" i="1"/>
  <c r="M613" i="1"/>
  <c r="M745" i="1"/>
  <c r="M767" i="1"/>
  <c r="M811" i="1"/>
  <c r="M833" i="1"/>
  <c r="M899" i="1"/>
  <c r="M921" i="1"/>
  <c r="M943" i="1"/>
  <c r="M987" i="1"/>
  <c r="M1009" i="1"/>
  <c r="M1031" i="1"/>
  <c r="M1053" i="1"/>
  <c r="M1075" i="1"/>
  <c r="M1097" i="1"/>
  <c r="M1119" i="1"/>
  <c r="M1141" i="1"/>
  <c r="M1163" i="1"/>
  <c r="M1207" i="1"/>
  <c r="M1229" i="1"/>
  <c r="M20" i="1"/>
  <c r="M108" i="1"/>
  <c r="M174" i="1"/>
  <c r="M218" i="1"/>
  <c r="M240" i="1"/>
  <c r="M328" i="1"/>
  <c r="M350" i="1"/>
  <c r="M482" i="1"/>
  <c r="M526" i="1"/>
  <c r="M570" i="1"/>
  <c r="M658" i="1"/>
  <c r="M680" i="1"/>
  <c r="M834" i="1"/>
  <c r="M966" i="1"/>
  <c r="M1054" i="1"/>
  <c r="M1142" i="1"/>
  <c r="M1164" i="1"/>
  <c r="M789" i="1"/>
  <c r="M43" i="1"/>
  <c r="M197" i="1"/>
  <c r="M241" i="1"/>
  <c r="M263" i="1"/>
  <c r="M285" i="1"/>
  <c r="M329" i="1"/>
  <c r="M351" i="1"/>
  <c r="M395" i="1"/>
  <c r="M417" i="1"/>
  <c r="M439" i="1"/>
  <c r="M989" i="1"/>
  <c r="M1055" i="1"/>
  <c r="M1077" i="1"/>
  <c r="M1209" i="1"/>
  <c r="M1231" i="1"/>
  <c r="M5" i="1"/>
  <c r="M115" i="1"/>
  <c r="M247" i="1"/>
  <c r="M467" i="1"/>
  <c r="M489" i="1"/>
  <c r="M687" i="1"/>
  <c r="M885" i="1"/>
  <c r="M1061" i="1"/>
  <c r="M1105" i="1"/>
  <c r="M1171" i="1"/>
  <c r="M1193" i="1"/>
  <c r="M6" i="1"/>
  <c r="M160" i="1"/>
  <c r="M182" i="1"/>
  <c r="M270" i="1"/>
  <c r="M468" i="1"/>
  <c r="M534" i="1"/>
  <c r="M666" i="1"/>
  <c r="M732" i="1"/>
  <c r="M886" i="1"/>
  <c r="M1062" i="1"/>
  <c r="M185" i="1"/>
  <c r="M78" i="1"/>
  <c r="M408" i="1"/>
  <c r="M430" i="1"/>
  <c r="M562" i="1"/>
  <c r="M892" i="1"/>
  <c r="M914" i="1"/>
  <c r="M1046" i="1"/>
  <c r="M59" i="1"/>
  <c r="M81" i="1"/>
  <c r="M103" i="1"/>
  <c r="M125" i="1"/>
  <c r="M147" i="1"/>
  <c r="M235" i="1"/>
  <c r="M257" i="1"/>
  <c r="M279" i="1"/>
  <c r="M323" i="1"/>
  <c r="M345" i="1"/>
  <c r="M389" i="1"/>
  <c r="M433" i="1"/>
  <c r="M455" i="1"/>
  <c r="M521" i="1"/>
  <c r="M587" i="1"/>
  <c r="M609" i="1"/>
  <c r="M631" i="1"/>
  <c r="M653" i="1"/>
  <c r="M719" i="1"/>
  <c r="M741" i="1"/>
  <c r="M807" i="1"/>
  <c r="M829" i="1"/>
  <c r="M851" i="1"/>
  <c r="M917" i="1"/>
  <c r="M939" i="1"/>
  <c r="M983" i="1"/>
  <c r="M1005" i="1"/>
  <c r="M1027" i="1"/>
  <c r="M1049" i="1"/>
  <c r="M1071" i="1"/>
  <c r="M1093" i="1"/>
  <c r="M1115" i="1"/>
  <c r="M1137" i="1"/>
  <c r="M1159" i="1"/>
  <c r="M1181" i="1"/>
  <c r="M1203" i="1"/>
  <c r="M1225" i="1"/>
  <c r="M130" i="1"/>
  <c r="M152" i="1"/>
  <c r="M284" i="1"/>
  <c r="M372" i="1"/>
  <c r="M614" i="1"/>
  <c r="M636" i="1"/>
  <c r="M768" i="1"/>
  <c r="M856" i="1"/>
  <c r="M1098" i="1"/>
  <c r="M1120" i="1"/>
  <c r="M65" i="1"/>
  <c r="M131" i="1"/>
  <c r="M219" i="1"/>
  <c r="M307" i="1"/>
  <c r="M461" i="1"/>
  <c r="M483" i="1"/>
  <c r="M505" i="1"/>
  <c r="M615" i="1"/>
  <c r="M637" i="1"/>
  <c r="M681" i="1"/>
  <c r="M703" i="1"/>
  <c r="M747" i="1"/>
  <c r="M769" i="1"/>
  <c r="M791" i="1"/>
  <c r="M945" i="1"/>
  <c r="M967" i="1"/>
  <c r="M1099" i="1"/>
  <c r="M1121" i="1"/>
  <c r="M1187" i="1"/>
  <c r="M640" i="1"/>
  <c r="M992" i="1"/>
  <c r="M1124" i="1"/>
  <c r="M27" i="1"/>
  <c r="M49" i="1"/>
  <c r="M159" i="1"/>
  <c r="M181" i="1"/>
  <c r="M225" i="1"/>
  <c r="M269" i="1"/>
  <c r="M291" i="1"/>
  <c r="M357" i="1"/>
  <c r="M423" i="1"/>
  <c r="M511" i="1"/>
  <c r="M533" i="1"/>
  <c r="M555" i="1"/>
  <c r="M621" i="1"/>
  <c r="M665" i="1"/>
  <c r="M753" i="1"/>
  <c r="M819" i="1"/>
  <c r="M841" i="1"/>
  <c r="M863" i="1"/>
  <c r="M995" i="1"/>
  <c r="M1017" i="1"/>
  <c r="M1083" i="1"/>
  <c r="M1149" i="1"/>
  <c r="M1237" i="1"/>
  <c r="M28" i="1"/>
  <c r="M116" i="1"/>
  <c r="M204" i="1"/>
  <c r="M226" i="1"/>
  <c r="M292" i="1"/>
  <c r="M358" i="1"/>
  <c r="M380" i="1"/>
  <c r="M424" i="1"/>
  <c r="M490" i="1"/>
  <c r="M512" i="1"/>
  <c r="M600" i="1"/>
  <c r="M622" i="1"/>
  <c r="M688" i="1"/>
  <c r="M842" i="1"/>
  <c r="M864" i="1"/>
  <c r="M930" i="1"/>
  <c r="M996" i="1"/>
  <c r="M1084" i="1"/>
  <c r="M1150" i="1"/>
  <c r="M1172" i="1"/>
  <c r="M1194" i="1"/>
  <c r="M1216" i="1"/>
  <c r="M1238" i="1"/>
  <c r="M728" i="1"/>
  <c r="M970" i="1"/>
  <c r="M1212" i="1"/>
  <c r="M31" i="1"/>
  <c r="M53" i="1"/>
  <c r="M141" i="1"/>
  <c r="M163" i="1"/>
  <c r="M229" i="1"/>
  <c r="M273" i="1"/>
  <c r="M383" i="1"/>
  <c r="M405" i="1"/>
  <c r="M471" i="1"/>
  <c r="M537" i="1"/>
  <c r="M581" i="1"/>
  <c r="M603" i="1"/>
  <c r="M625" i="1"/>
  <c r="M669" i="1"/>
  <c r="M713" i="1"/>
  <c r="M845" i="1"/>
  <c r="M867" i="1"/>
  <c r="M889" i="1"/>
  <c r="M1021" i="1"/>
  <c r="M1043" i="1"/>
  <c r="M1109" i="1"/>
  <c r="M1153" i="1"/>
  <c r="M1197" i="1"/>
  <c r="M1219" i="1"/>
  <c r="M155" i="1"/>
  <c r="M177" i="1"/>
  <c r="M309" i="1"/>
  <c r="M397" i="1"/>
  <c r="M639" i="1"/>
  <c r="M661" i="1"/>
  <c r="M793" i="1"/>
  <c r="M881" i="1"/>
  <c r="M1123" i="1"/>
  <c r="M1145" i="1"/>
  <c r="S35" i="1" l="1"/>
  <c r="S32" i="1"/>
  <c r="T32" i="1" s="1"/>
  <c r="S34" i="1"/>
  <c r="S33" i="1"/>
  <c r="T33" i="1" s="1"/>
</calcChain>
</file>

<file path=xl/sharedStrings.xml><?xml version="1.0" encoding="utf-8"?>
<sst xmlns="http://schemas.openxmlformats.org/spreadsheetml/2006/main" count="93" uniqueCount="38">
  <si>
    <t xml:space="preserve">Date </t>
  </si>
  <si>
    <t>close price</t>
  </si>
  <si>
    <t xml:space="preserve">Outstanding Shares </t>
  </si>
  <si>
    <t xml:space="preserve">Market Value </t>
  </si>
  <si>
    <t>Total Value of Shares Held</t>
  </si>
  <si>
    <t xml:space="preserve">Discount to Holding Value </t>
  </si>
  <si>
    <t xml:space="preserve">Chola Financial Holdings (CFHL) </t>
  </si>
  <si>
    <t>5 Year Discount Trends</t>
  </si>
  <si>
    <t>Date</t>
  </si>
  <si>
    <t>Current Discount</t>
  </si>
  <si>
    <t xml:space="preserve">Maximum Discount </t>
  </si>
  <si>
    <t>Minimum Discount</t>
  </si>
  <si>
    <t>Median</t>
  </si>
  <si>
    <t>Average</t>
  </si>
  <si>
    <t>Bajaj Finserv</t>
  </si>
  <si>
    <t>Bajaj Finance</t>
  </si>
  <si>
    <t xml:space="preserve">Long </t>
  </si>
  <si>
    <t>Price</t>
  </si>
  <si>
    <t>Short</t>
  </si>
  <si>
    <t>Discount</t>
  </si>
  <si>
    <t>Net Position</t>
  </si>
  <si>
    <t>Gain/(Loss) in TVS Holdings</t>
  </si>
  <si>
    <t>Gain/(Loss) in TVS Motor</t>
  </si>
  <si>
    <t>Total Gain/(Loss)</t>
  </si>
  <si>
    <t>TVS Holdings</t>
  </si>
  <si>
    <t>TVS Motors</t>
  </si>
  <si>
    <t>Total Investment</t>
  </si>
  <si>
    <t>Rate of Return</t>
  </si>
  <si>
    <t>Bajaj Finserv @</t>
  </si>
  <si>
    <t>Bajaj Finance Shares @</t>
  </si>
  <si>
    <t>`</t>
  </si>
  <si>
    <t>Long</t>
  </si>
  <si>
    <t>Gain/(Loss) in InPru</t>
  </si>
  <si>
    <t>Gain/(Loss) in KSB</t>
  </si>
  <si>
    <t>InPru</t>
  </si>
  <si>
    <t>KSB</t>
  </si>
  <si>
    <t>Shares Held in Bajaj Finance</t>
  </si>
  <si>
    <t>Number of Bajaj Finance Shares in 1 Bajaj Finserv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</si>
</sst>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%"/>
    <numFmt numFmtId="166" formatCode="#,##0;\(#,##0\)"/>
    <numFmt numFmtId="167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5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16" fillId="0" borderId="0" xfId="0" applyFont="1" applyAlignment="1">
      <alignment horizontal="center"/>
    </xf>
    <xf numFmtId="9" fontId="16" fillId="0" borderId="0" xfId="0" applyNumberFormat="1" applyFont="1" applyAlignment="1">
      <alignment horizontal="center"/>
    </xf>
    <xf numFmtId="15" fontId="16" fillId="0" borderId="15" xfId="0" applyNumberFormat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0" xfId="0" applyFont="1"/>
    <xf numFmtId="3" fontId="0" fillId="0" borderId="0" xfId="0" applyNumberFormat="1"/>
    <xf numFmtId="164" fontId="0" fillId="0" borderId="0" xfId="0" applyNumberFormat="1"/>
    <xf numFmtId="165" fontId="0" fillId="0" borderId="0" xfId="43" applyNumberFormat="1" applyFont="1"/>
    <xf numFmtId="2" fontId="0" fillId="0" borderId="0" xfId="0" applyNumberFormat="1"/>
    <xf numFmtId="15" fontId="0" fillId="0" borderId="10" xfId="0" applyNumberFormat="1" applyBorder="1" applyAlignment="1">
      <alignment horizontal="center"/>
    </xf>
    <xf numFmtId="0" fontId="0" fillId="0" borderId="10" xfId="0" applyBorder="1"/>
    <xf numFmtId="3" fontId="0" fillId="0" borderId="10" xfId="0" applyNumberFormat="1" applyBorder="1"/>
    <xf numFmtId="164" fontId="0" fillId="0" borderId="10" xfId="0" applyNumberFormat="1" applyBorder="1"/>
    <xf numFmtId="165" fontId="0" fillId="0" borderId="10" xfId="43" applyNumberFormat="1" applyFont="1" applyBorder="1"/>
    <xf numFmtId="2" fontId="0" fillId="0" borderId="10" xfId="0" applyNumberFormat="1" applyBorder="1"/>
    <xf numFmtId="3" fontId="16" fillId="0" borderId="0" xfId="0" applyNumberFormat="1" applyFont="1"/>
    <xf numFmtId="1" fontId="16" fillId="0" borderId="0" xfId="0" applyNumberFormat="1" applyFont="1"/>
    <xf numFmtId="166" fontId="16" fillId="0" borderId="0" xfId="0" applyNumberFormat="1" applyFont="1"/>
    <xf numFmtId="166" fontId="16" fillId="0" borderId="0" xfId="42" applyNumberFormat="1" applyFont="1"/>
    <xf numFmtId="167" fontId="0" fillId="0" borderId="0" xfId="42" applyNumberFormat="1" applyFont="1"/>
    <xf numFmtId="167" fontId="16" fillId="0" borderId="0" xfId="0" applyNumberFormat="1" applyFont="1"/>
    <xf numFmtId="9" fontId="0" fillId="0" borderId="0" xfId="43" applyFont="1"/>
    <xf numFmtId="3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166" fontId="1" fillId="0" borderId="0" xfId="42" applyNumberFormat="1" applyFont="1" applyAlignment="1">
      <alignment horizontal="center"/>
    </xf>
    <xf numFmtId="165" fontId="0" fillId="0" borderId="0" xfId="43" applyNumberFormat="1" applyFont="1" applyAlignment="1">
      <alignment horizontal="center"/>
    </xf>
    <xf numFmtId="0" fontId="16" fillId="0" borderId="10" xfId="0" applyFont="1" applyBorder="1" applyAlignment="1">
      <alignment horizontal="center"/>
    </xf>
    <xf numFmtId="166" fontId="1" fillId="0" borderId="10" xfId="42" applyNumberFormat="1" applyFon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165" fontId="0" fillId="0" borderId="10" xfId="43" applyNumberFormat="1" applyFont="1" applyBorder="1" applyAlignment="1">
      <alignment horizontal="center"/>
    </xf>
    <xf numFmtId="9" fontId="16" fillId="0" borderId="0" xfId="43" applyFont="1" applyAlignment="1">
      <alignment horizontal="center"/>
    </xf>
    <xf numFmtId="166" fontId="16" fillId="0" borderId="0" xfId="0" applyNumberFormat="1" applyFont="1" applyAlignment="1">
      <alignment horizontal="center"/>
    </xf>
    <xf numFmtId="166" fontId="16" fillId="0" borderId="0" xfId="42" applyNumberFormat="1" applyFont="1" applyAlignment="1">
      <alignment horizontal="center"/>
    </xf>
    <xf numFmtId="167" fontId="0" fillId="0" borderId="0" xfId="42" applyNumberFormat="1" applyFont="1" applyAlignment="1">
      <alignment horizontal="center"/>
    </xf>
    <xf numFmtId="167" fontId="16" fillId="0" borderId="0" xfId="0" applyNumberFormat="1" applyFont="1" applyAlignment="1">
      <alignment horizontal="center"/>
    </xf>
    <xf numFmtId="9" fontId="0" fillId="0" borderId="0" xfId="43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5" xfId="0" applyFont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ysClr val="windowText" lastClr="000000"/>
                </a:solidFill>
              </a:rPr>
              <a:t>Discount to Holding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237"/>
              <c:layout>
                <c:manualLayout>
                  <c:x val="-7.04874105656733E-2"/>
                  <c:y val="-7.70625750095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2C3-4E4F-ABD4-EE96AB528AC0}"/>
                </c:ext>
              </c:extLst>
            </c:dLbl>
            <c:dLbl>
              <c:idx val="1614"/>
              <c:layout>
                <c:manualLayout>
                  <c:x val="-6.4688101487313979E-2"/>
                  <c:y val="-7.17246281714785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DB-495E-B280-B396BE8C5B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'Bajaj Finserv'!$A$3:$A$1619</c:f>
              <c:numCache>
                <c:formatCode>d\-mmm\-yy</c:formatCode>
                <c:ptCount val="1617"/>
                <c:pt idx="0">
                  <c:v>45968</c:v>
                </c:pt>
                <c:pt idx="1">
                  <c:v>45967</c:v>
                </c:pt>
                <c:pt idx="2">
                  <c:v>45965</c:v>
                </c:pt>
                <c:pt idx="3">
                  <c:v>45964</c:v>
                </c:pt>
                <c:pt idx="4">
                  <c:v>45961</c:v>
                </c:pt>
                <c:pt idx="5">
                  <c:v>45960</c:v>
                </c:pt>
                <c:pt idx="6">
                  <c:v>45959</c:v>
                </c:pt>
                <c:pt idx="7">
                  <c:v>45958</c:v>
                </c:pt>
                <c:pt idx="8">
                  <c:v>45957</c:v>
                </c:pt>
                <c:pt idx="9">
                  <c:v>45954</c:v>
                </c:pt>
                <c:pt idx="10">
                  <c:v>45953</c:v>
                </c:pt>
                <c:pt idx="11">
                  <c:v>45951</c:v>
                </c:pt>
                <c:pt idx="12">
                  <c:v>45950</c:v>
                </c:pt>
                <c:pt idx="13">
                  <c:v>45947</c:v>
                </c:pt>
                <c:pt idx="14">
                  <c:v>45946</c:v>
                </c:pt>
                <c:pt idx="15">
                  <c:v>45945</c:v>
                </c:pt>
                <c:pt idx="16">
                  <c:v>45944</c:v>
                </c:pt>
                <c:pt idx="17">
                  <c:v>45943</c:v>
                </c:pt>
                <c:pt idx="18">
                  <c:v>45940</c:v>
                </c:pt>
                <c:pt idx="19">
                  <c:v>45939</c:v>
                </c:pt>
                <c:pt idx="20">
                  <c:v>45938</c:v>
                </c:pt>
                <c:pt idx="21">
                  <c:v>45937</c:v>
                </c:pt>
                <c:pt idx="22">
                  <c:v>45936</c:v>
                </c:pt>
                <c:pt idx="23">
                  <c:v>45933</c:v>
                </c:pt>
                <c:pt idx="24">
                  <c:v>45931</c:v>
                </c:pt>
                <c:pt idx="25">
                  <c:v>45930</c:v>
                </c:pt>
                <c:pt idx="26">
                  <c:v>45929</c:v>
                </c:pt>
                <c:pt idx="27">
                  <c:v>45926</c:v>
                </c:pt>
                <c:pt idx="28">
                  <c:v>45925</c:v>
                </c:pt>
                <c:pt idx="29">
                  <c:v>45924</c:v>
                </c:pt>
                <c:pt idx="30">
                  <c:v>45923</c:v>
                </c:pt>
                <c:pt idx="31">
                  <c:v>45922</c:v>
                </c:pt>
                <c:pt idx="32">
                  <c:v>45919</c:v>
                </c:pt>
                <c:pt idx="33">
                  <c:v>45918</c:v>
                </c:pt>
                <c:pt idx="34">
                  <c:v>45917</c:v>
                </c:pt>
                <c:pt idx="35">
                  <c:v>45916</c:v>
                </c:pt>
                <c:pt idx="36">
                  <c:v>45915</c:v>
                </c:pt>
                <c:pt idx="37">
                  <c:v>45912</c:v>
                </c:pt>
                <c:pt idx="38">
                  <c:v>45911</c:v>
                </c:pt>
                <c:pt idx="39">
                  <c:v>45910</c:v>
                </c:pt>
                <c:pt idx="40">
                  <c:v>45909</c:v>
                </c:pt>
                <c:pt idx="41">
                  <c:v>45908</c:v>
                </c:pt>
                <c:pt idx="42">
                  <c:v>45905</c:v>
                </c:pt>
                <c:pt idx="43">
                  <c:v>45904</c:v>
                </c:pt>
                <c:pt idx="44">
                  <c:v>45903</c:v>
                </c:pt>
                <c:pt idx="45">
                  <c:v>45902</c:v>
                </c:pt>
                <c:pt idx="46">
                  <c:v>45901</c:v>
                </c:pt>
                <c:pt idx="47">
                  <c:v>45898</c:v>
                </c:pt>
                <c:pt idx="48">
                  <c:v>45897</c:v>
                </c:pt>
                <c:pt idx="49">
                  <c:v>45895</c:v>
                </c:pt>
                <c:pt idx="50">
                  <c:v>45894</c:v>
                </c:pt>
                <c:pt idx="51">
                  <c:v>45891</c:v>
                </c:pt>
                <c:pt idx="52">
                  <c:v>45890</c:v>
                </c:pt>
                <c:pt idx="53">
                  <c:v>45889</c:v>
                </c:pt>
                <c:pt idx="54">
                  <c:v>45888</c:v>
                </c:pt>
                <c:pt idx="55">
                  <c:v>45887</c:v>
                </c:pt>
                <c:pt idx="56">
                  <c:v>45883</c:v>
                </c:pt>
                <c:pt idx="57">
                  <c:v>45882</c:v>
                </c:pt>
                <c:pt idx="58">
                  <c:v>45881</c:v>
                </c:pt>
                <c:pt idx="59">
                  <c:v>45880</c:v>
                </c:pt>
                <c:pt idx="60">
                  <c:v>45877</c:v>
                </c:pt>
                <c:pt idx="61">
                  <c:v>45876</c:v>
                </c:pt>
                <c:pt idx="62">
                  <c:v>45875</c:v>
                </c:pt>
                <c:pt idx="63">
                  <c:v>45874</c:v>
                </c:pt>
                <c:pt idx="64">
                  <c:v>45873</c:v>
                </c:pt>
                <c:pt idx="65">
                  <c:v>45870</c:v>
                </c:pt>
                <c:pt idx="66">
                  <c:v>45869</c:v>
                </c:pt>
                <c:pt idx="67">
                  <c:v>45868</c:v>
                </c:pt>
                <c:pt idx="68">
                  <c:v>45867</c:v>
                </c:pt>
                <c:pt idx="69">
                  <c:v>45866</c:v>
                </c:pt>
                <c:pt idx="70">
                  <c:v>45863</c:v>
                </c:pt>
                <c:pt idx="71">
                  <c:v>45862</c:v>
                </c:pt>
                <c:pt idx="72">
                  <c:v>45861</c:v>
                </c:pt>
                <c:pt idx="73">
                  <c:v>45860</c:v>
                </c:pt>
                <c:pt idx="74">
                  <c:v>45859</c:v>
                </c:pt>
                <c:pt idx="75">
                  <c:v>45856</c:v>
                </c:pt>
                <c:pt idx="76">
                  <c:v>45855</c:v>
                </c:pt>
                <c:pt idx="77">
                  <c:v>45854</c:v>
                </c:pt>
                <c:pt idx="78">
                  <c:v>45853</c:v>
                </c:pt>
                <c:pt idx="79">
                  <c:v>45852</c:v>
                </c:pt>
                <c:pt idx="80">
                  <c:v>45849</c:v>
                </c:pt>
                <c:pt idx="81">
                  <c:v>45848</c:v>
                </c:pt>
                <c:pt idx="82">
                  <c:v>45847</c:v>
                </c:pt>
                <c:pt idx="83">
                  <c:v>45846</c:v>
                </c:pt>
                <c:pt idx="84">
                  <c:v>45845</c:v>
                </c:pt>
                <c:pt idx="85">
                  <c:v>45842</c:v>
                </c:pt>
                <c:pt idx="86">
                  <c:v>45841</c:v>
                </c:pt>
                <c:pt idx="87">
                  <c:v>45840</c:v>
                </c:pt>
                <c:pt idx="88">
                  <c:v>45839</c:v>
                </c:pt>
                <c:pt idx="89">
                  <c:v>45838</c:v>
                </c:pt>
                <c:pt idx="90">
                  <c:v>45835</c:v>
                </c:pt>
                <c:pt idx="91">
                  <c:v>45834</c:v>
                </c:pt>
                <c:pt idx="92">
                  <c:v>45833</c:v>
                </c:pt>
                <c:pt idx="93">
                  <c:v>45832</c:v>
                </c:pt>
                <c:pt idx="94">
                  <c:v>45831</c:v>
                </c:pt>
                <c:pt idx="95">
                  <c:v>45828</c:v>
                </c:pt>
                <c:pt idx="96">
                  <c:v>45827</c:v>
                </c:pt>
                <c:pt idx="97">
                  <c:v>45826</c:v>
                </c:pt>
                <c:pt idx="98">
                  <c:v>45825</c:v>
                </c:pt>
                <c:pt idx="99">
                  <c:v>45824</c:v>
                </c:pt>
                <c:pt idx="100">
                  <c:v>45821</c:v>
                </c:pt>
                <c:pt idx="101">
                  <c:v>45820</c:v>
                </c:pt>
                <c:pt idx="102">
                  <c:v>45819</c:v>
                </c:pt>
                <c:pt idx="103">
                  <c:v>45818</c:v>
                </c:pt>
                <c:pt idx="104">
                  <c:v>45817</c:v>
                </c:pt>
                <c:pt idx="105">
                  <c:v>45814</c:v>
                </c:pt>
                <c:pt idx="106">
                  <c:v>45813</c:v>
                </c:pt>
                <c:pt idx="107">
                  <c:v>45812</c:v>
                </c:pt>
                <c:pt idx="108">
                  <c:v>45811</c:v>
                </c:pt>
                <c:pt idx="109">
                  <c:v>45810</c:v>
                </c:pt>
                <c:pt idx="110">
                  <c:v>45807</c:v>
                </c:pt>
                <c:pt idx="111">
                  <c:v>45806</c:v>
                </c:pt>
                <c:pt idx="112">
                  <c:v>45805</c:v>
                </c:pt>
                <c:pt idx="113">
                  <c:v>45804</c:v>
                </c:pt>
                <c:pt idx="114">
                  <c:v>45803</c:v>
                </c:pt>
                <c:pt idx="115">
                  <c:v>45800</c:v>
                </c:pt>
                <c:pt idx="116">
                  <c:v>45799</c:v>
                </c:pt>
                <c:pt idx="117">
                  <c:v>45798</c:v>
                </c:pt>
                <c:pt idx="118">
                  <c:v>45797</c:v>
                </c:pt>
                <c:pt idx="119">
                  <c:v>45796</c:v>
                </c:pt>
                <c:pt idx="120">
                  <c:v>45793</c:v>
                </c:pt>
                <c:pt idx="121">
                  <c:v>45792</c:v>
                </c:pt>
                <c:pt idx="122">
                  <c:v>45791</c:v>
                </c:pt>
                <c:pt idx="123">
                  <c:v>45790</c:v>
                </c:pt>
                <c:pt idx="124">
                  <c:v>45789</c:v>
                </c:pt>
                <c:pt idx="125">
                  <c:v>45786</c:v>
                </c:pt>
                <c:pt idx="126">
                  <c:v>45785</c:v>
                </c:pt>
                <c:pt idx="127">
                  <c:v>45784</c:v>
                </c:pt>
                <c:pt idx="128">
                  <c:v>45783</c:v>
                </c:pt>
                <c:pt idx="129">
                  <c:v>45782</c:v>
                </c:pt>
                <c:pt idx="130">
                  <c:v>45779</c:v>
                </c:pt>
                <c:pt idx="131">
                  <c:v>45777</c:v>
                </c:pt>
                <c:pt idx="132">
                  <c:v>45776</c:v>
                </c:pt>
                <c:pt idx="133">
                  <c:v>45775</c:v>
                </c:pt>
                <c:pt idx="134">
                  <c:v>45772</c:v>
                </c:pt>
                <c:pt idx="135">
                  <c:v>45771</c:v>
                </c:pt>
                <c:pt idx="136">
                  <c:v>45770</c:v>
                </c:pt>
                <c:pt idx="137">
                  <c:v>45769</c:v>
                </c:pt>
                <c:pt idx="138">
                  <c:v>45768</c:v>
                </c:pt>
                <c:pt idx="139">
                  <c:v>45764</c:v>
                </c:pt>
                <c:pt idx="140">
                  <c:v>45763</c:v>
                </c:pt>
                <c:pt idx="141">
                  <c:v>45762</c:v>
                </c:pt>
                <c:pt idx="142">
                  <c:v>45758</c:v>
                </c:pt>
                <c:pt idx="143">
                  <c:v>45756</c:v>
                </c:pt>
                <c:pt idx="144">
                  <c:v>45755</c:v>
                </c:pt>
                <c:pt idx="145">
                  <c:v>45754</c:v>
                </c:pt>
                <c:pt idx="146">
                  <c:v>45751</c:v>
                </c:pt>
                <c:pt idx="147">
                  <c:v>45750</c:v>
                </c:pt>
                <c:pt idx="148">
                  <c:v>45749</c:v>
                </c:pt>
                <c:pt idx="149">
                  <c:v>45748</c:v>
                </c:pt>
                <c:pt idx="150">
                  <c:v>45744</c:v>
                </c:pt>
                <c:pt idx="151">
                  <c:v>45743</c:v>
                </c:pt>
                <c:pt idx="152">
                  <c:v>45742</c:v>
                </c:pt>
                <c:pt idx="153">
                  <c:v>45741</c:v>
                </c:pt>
                <c:pt idx="154">
                  <c:v>45740</c:v>
                </c:pt>
                <c:pt idx="155">
                  <c:v>45737</c:v>
                </c:pt>
                <c:pt idx="156">
                  <c:v>45736</c:v>
                </c:pt>
                <c:pt idx="157">
                  <c:v>45735</c:v>
                </c:pt>
                <c:pt idx="158">
                  <c:v>45734</c:v>
                </c:pt>
                <c:pt idx="159">
                  <c:v>45733</c:v>
                </c:pt>
                <c:pt idx="160">
                  <c:v>45729</c:v>
                </c:pt>
                <c:pt idx="161">
                  <c:v>45728</c:v>
                </c:pt>
                <c:pt idx="162">
                  <c:v>45727</c:v>
                </c:pt>
                <c:pt idx="163">
                  <c:v>45726</c:v>
                </c:pt>
                <c:pt idx="164">
                  <c:v>45723</c:v>
                </c:pt>
                <c:pt idx="165">
                  <c:v>45722</c:v>
                </c:pt>
                <c:pt idx="166">
                  <c:v>45721</c:v>
                </c:pt>
                <c:pt idx="167">
                  <c:v>45720</c:v>
                </c:pt>
                <c:pt idx="168">
                  <c:v>45719</c:v>
                </c:pt>
                <c:pt idx="169">
                  <c:v>45716</c:v>
                </c:pt>
                <c:pt idx="170">
                  <c:v>45715</c:v>
                </c:pt>
                <c:pt idx="171">
                  <c:v>45713</c:v>
                </c:pt>
                <c:pt idx="172">
                  <c:v>45712</c:v>
                </c:pt>
                <c:pt idx="173">
                  <c:v>45709</c:v>
                </c:pt>
                <c:pt idx="174">
                  <c:v>45708</c:v>
                </c:pt>
                <c:pt idx="175">
                  <c:v>45707</c:v>
                </c:pt>
                <c:pt idx="176">
                  <c:v>45706</c:v>
                </c:pt>
                <c:pt idx="177">
                  <c:v>45705</c:v>
                </c:pt>
                <c:pt idx="178">
                  <c:v>45702</c:v>
                </c:pt>
                <c:pt idx="179">
                  <c:v>45701</c:v>
                </c:pt>
                <c:pt idx="180">
                  <c:v>45700</c:v>
                </c:pt>
                <c:pt idx="181">
                  <c:v>45699</c:v>
                </c:pt>
                <c:pt idx="182">
                  <c:v>45698</c:v>
                </c:pt>
                <c:pt idx="183">
                  <c:v>45695</c:v>
                </c:pt>
                <c:pt idx="184">
                  <c:v>45694</c:v>
                </c:pt>
                <c:pt idx="185">
                  <c:v>45693</c:v>
                </c:pt>
                <c:pt idx="186">
                  <c:v>45692</c:v>
                </c:pt>
                <c:pt idx="187">
                  <c:v>45691</c:v>
                </c:pt>
                <c:pt idx="188">
                  <c:v>45689</c:v>
                </c:pt>
                <c:pt idx="189">
                  <c:v>45688</c:v>
                </c:pt>
                <c:pt idx="190">
                  <c:v>45687</c:v>
                </c:pt>
                <c:pt idx="191">
                  <c:v>45686</c:v>
                </c:pt>
                <c:pt idx="192">
                  <c:v>45685</c:v>
                </c:pt>
                <c:pt idx="193">
                  <c:v>45684</c:v>
                </c:pt>
                <c:pt idx="194">
                  <c:v>45681</c:v>
                </c:pt>
                <c:pt idx="195">
                  <c:v>45680</c:v>
                </c:pt>
                <c:pt idx="196">
                  <c:v>45679</c:v>
                </c:pt>
                <c:pt idx="197">
                  <c:v>45678</c:v>
                </c:pt>
                <c:pt idx="198">
                  <c:v>45677</c:v>
                </c:pt>
                <c:pt idx="199">
                  <c:v>45674</c:v>
                </c:pt>
                <c:pt idx="200">
                  <c:v>45673</c:v>
                </c:pt>
                <c:pt idx="201">
                  <c:v>45672</c:v>
                </c:pt>
                <c:pt idx="202">
                  <c:v>45671</c:v>
                </c:pt>
                <c:pt idx="203">
                  <c:v>45670</c:v>
                </c:pt>
                <c:pt idx="204">
                  <c:v>45667</c:v>
                </c:pt>
                <c:pt idx="205">
                  <c:v>45666</c:v>
                </c:pt>
                <c:pt idx="206">
                  <c:v>45665</c:v>
                </c:pt>
                <c:pt idx="207">
                  <c:v>45664</c:v>
                </c:pt>
                <c:pt idx="208">
                  <c:v>45663</c:v>
                </c:pt>
                <c:pt idx="209">
                  <c:v>45660</c:v>
                </c:pt>
                <c:pt idx="210">
                  <c:v>45659</c:v>
                </c:pt>
                <c:pt idx="211">
                  <c:v>45658</c:v>
                </c:pt>
                <c:pt idx="212">
                  <c:v>45657</c:v>
                </c:pt>
                <c:pt idx="213">
                  <c:v>45656</c:v>
                </c:pt>
                <c:pt idx="214">
                  <c:v>45653</c:v>
                </c:pt>
                <c:pt idx="215">
                  <c:v>45652</c:v>
                </c:pt>
                <c:pt idx="216">
                  <c:v>45650</c:v>
                </c:pt>
                <c:pt idx="217">
                  <c:v>45649</c:v>
                </c:pt>
                <c:pt idx="218">
                  <c:v>45646</c:v>
                </c:pt>
                <c:pt idx="219">
                  <c:v>45645</c:v>
                </c:pt>
                <c:pt idx="220">
                  <c:v>45644</c:v>
                </c:pt>
                <c:pt idx="221">
                  <c:v>45643</c:v>
                </c:pt>
                <c:pt idx="222">
                  <c:v>45642</c:v>
                </c:pt>
                <c:pt idx="223">
                  <c:v>45639</c:v>
                </c:pt>
                <c:pt idx="224">
                  <c:v>45638</c:v>
                </c:pt>
                <c:pt idx="225">
                  <c:v>45637</c:v>
                </c:pt>
                <c:pt idx="226">
                  <c:v>45636</c:v>
                </c:pt>
                <c:pt idx="227">
                  <c:v>45635</c:v>
                </c:pt>
                <c:pt idx="228">
                  <c:v>45632</c:v>
                </c:pt>
                <c:pt idx="229">
                  <c:v>45631</c:v>
                </c:pt>
                <c:pt idx="230">
                  <c:v>45630</c:v>
                </c:pt>
                <c:pt idx="231">
                  <c:v>45629</c:v>
                </c:pt>
                <c:pt idx="232">
                  <c:v>45628</c:v>
                </c:pt>
                <c:pt idx="233">
                  <c:v>45625</c:v>
                </c:pt>
                <c:pt idx="234">
                  <c:v>45624</c:v>
                </c:pt>
                <c:pt idx="235">
                  <c:v>45623</c:v>
                </c:pt>
                <c:pt idx="236">
                  <c:v>45622</c:v>
                </c:pt>
                <c:pt idx="237">
                  <c:v>45621</c:v>
                </c:pt>
                <c:pt idx="238">
                  <c:v>45618</c:v>
                </c:pt>
                <c:pt idx="239">
                  <c:v>45617</c:v>
                </c:pt>
                <c:pt idx="240">
                  <c:v>45615</c:v>
                </c:pt>
                <c:pt idx="241">
                  <c:v>45614</c:v>
                </c:pt>
                <c:pt idx="242">
                  <c:v>45610</c:v>
                </c:pt>
                <c:pt idx="243">
                  <c:v>45609</c:v>
                </c:pt>
                <c:pt idx="244">
                  <c:v>45608</c:v>
                </c:pt>
                <c:pt idx="245">
                  <c:v>45607</c:v>
                </c:pt>
                <c:pt idx="246">
                  <c:v>45604</c:v>
                </c:pt>
                <c:pt idx="247">
                  <c:v>45603</c:v>
                </c:pt>
                <c:pt idx="248">
                  <c:v>45602</c:v>
                </c:pt>
                <c:pt idx="249">
                  <c:v>45601</c:v>
                </c:pt>
                <c:pt idx="250">
                  <c:v>45600</c:v>
                </c:pt>
                <c:pt idx="251">
                  <c:v>45597</c:v>
                </c:pt>
                <c:pt idx="252">
                  <c:v>45596</c:v>
                </c:pt>
                <c:pt idx="253">
                  <c:v>45595</c:v>
                </c:pt>
                <c:pt idx="254">
                  <c:v>45594</c:v>
                </c:pt>
                <c:pt idx="255">
                  <c:v>45593</c:v>
                </c:pt>
                <c:pt idx="256">
                  <c:v>45590</c:v>
                </c:pt>
                <c:pt idx="257">
                  <c:v>45589</c:v>
                </c:pt>
                <c:pt idx="258">
                  <c:v>45588</c:v>
                </c:pt>
                <c:pt idx="259">
                  <c:v>45587</c:v>
                </c:pt>
                <c:pt idx="260">
                  <c:v>45586</c:v>
                </c:pt>
                <c:pt idx="261">
                  <c:v>45583</c:v>
                </c:pt>
                <c:pt idx="262">
                  <c:v>45582</c:v>
                </c:pt>
                <c:pt idx="263">
                  <c:v>45581</c:v>
                </c:pt>
                <c:pt idx="264">
                  <c:v>45580</c:v>
                </c:pt>
                <c:pt idx="265">
                  <c:v>45579</c:v>
                </c:pt>
                <c:pt idx="266">
                  <c:v>45576</c:v>
                </c:pt>
                <c:pt idx="267">
                  <c:v>45575</c:v>
                </c:pt>
                <c:pt idx="268">
                  <c:v>45574</c:v>
                </c:pt>
                <c:pt idx="269">
                  <c:v>45573</c:v>
                </c:pt>
                <c:pt idx="270">
                  <c:v>45572</c:v>
                </c:pt>
                <c:pt idx="271">
                  <c:v>45569</c:v>
                </c:pt>
                <c:pt idx="272">
                  <c:v>45568</c:v>
                </c:pt>
                <c:pt idx="273">
                  <c:v>45566</c:v>
                </c:pt>
                <c:pt idx="274">
                  <c:v>45565</c:v>
                </c:pt>
                <c:pt idx="275">
                  <c:v>45562</c:v>
                </c:pt>
                <c:pt idx="276">
                  <c:v>45561</c:v>
                </c:pt>
                <c:pt idx="277">
                  <c:v>45560</c:v>
                </c:pt>
                <c:pt idx="278">
                  <c:v>45559</c:v>
                </c:pt>
                <c:pt idx="279">
                  <c:v>45558</c:v>
                </c:pt>
                <c:pt idx="280">
                  <c:v>45555</c:v>
                </c:pt>
                <c:pt idx="281">
                  <c:v>45554</c:v>
                </c:pt>
                <c:pt idx="282">
                  <c:v>45553</c:v>
                </c:pt>
                <c:pt idx="283">
                  <c:v>45552</c:v>
                </c:pt>
                <c:pt idx="284">
                  <c:v>45551</c:v>
                </c:pt>
                <c:pt idx="285">
                  <c:v>45548</c:v>
                </c:pt>
                <c:pt idx="286">
                  <c:v>45547</c:v>
                </c:pt>
                <c:pt idx="287">
                  <c:v>45546</c:v>
                </c:pt>
                <c:pt idx="288">
                  <c:v>45545</c:v>
                </c:pt>
                <c:pt idx="289">
                  <c:v>45544</c:v>
                </c:pt>
                <c:pt idx="290">
                  <c:v>45541</c:v>
                </c:pt>
                <c:pt idx="291">
                  <c:v>45540</c:v>
                </c:pt>
                <c:pt idx="292">
                  <c:v>45539</c:v>
                </c:pt>
                <c:pt idx="293">
                  <c:v>45538</c:v>
                </c:pt>
                <c:pt idx="294">
                  <c:v>45537</c:v>
                </c:pt>
                <c:pt idx="295">
                  <c:v>45534</c:v>
                </c:pt>
                <c:pt idx="296">
                  <c:v>45533</c:v>
                </c:pt>
                <c:pt idx="297">
                  <c:v>45532</c:v>
                </c:pt>
                <c:pt idx="298">
                  <c:v>45531</c:v>
                </c:pt>
                <c:pt idx="299">
                  <c:v>45530</c:v>
                </c:pt>
                <c:pt idx="300">
                  <c:v>45527</c:v>
                </c:pt>
                <c:pt idx="301">
                  <c:v>45526</c:v>
                </c:pt>
                <c:pt idx="302">
                  <c:v>45525</c:v>
                </c:pt>
                <c:pt idx="303">
                  <c:v>45524</c:v>
                </c:pt>
                <c:pt idx="304">
                  <c:v>45523</c:v>
                </c:pt>
                <c:pt idx="305">
                  <c:v>45520</c:v>
                </c:pt>
                <c:pt idx="306">
                  <c:v>45518</c:v>
                </c:pt>
                <c:pt idx="307">
                  <c:v>45517</c:v>
                </c:pt>
                <c:pt idx="308">
                  <c:v>45516</c:v>
                </c:pt>
                <c:pt idx="309">
                  <c:v>45513</c:v>
                </c:pt>
                <c:pt idx="310">
                  <c:v>45512</c:v>
                </c:pt>
                <c:pt idx="311">
                  <c:v>45511</c:v>
                </c:pt>
                <c:pt idx="312">
                  <c:v>45510</c:v>
                </c:pt>
                <c:pt idx="313">
                  <c:v>45509</c:v>
                </c:pt>
                <c:pt idx="314">
                  <c:v>45506</c:v>
                </c:pt>
                <c:pt idx="315">
                  <c:v>45505</c:v>
                </c:pt>
                <c:pt idx="316">
                  <c:v>45504</c:v>
                </c:pt>
                <c:pt idx="317">
                  <c:v>45503</c:v>
                </c:pt>
                <c:pt idx="318">
                  <c:v>45502</c:v>
                </c:pt>
                <c:pt idx="319">
                  <c:v>45499</c:v>
                </c:pt>
                <c:pt idx="320">
                  <c:v>45498</c:v>
                </c:pt>
                <c:pt idx="321">
                  <c:v>45497</c:v>
                </c:pt>
                <c:pt idx="322">
                  <c:v>45496</c:v>
                </c:pt>
                <c:pt idx="323">
                  <c:v>45495</c:v>
                </c:pt>
                <c:pt idx="324">
                  <c:v>45492</c:v>
                </c:pt>
                <c:pt idx="325">
                  <c:v>45491</c:v>
                </c:pt>
                <c:pt idx="326">
                  <c:v>45489</c:v>
                </c:pt>
                <c:pt idx="327">
                  <c:v>45488</c:v>
                </c:pt>
                <c:pt idx="328">
                  <c:v>45485</c:v>
                </c:pt>
                <c:pt idx="329">
                  <c:v>45484</c:v>
                </c:pt>
                <c:pt idx="330">
                  <c:v>45483</c:v>
                </c:pt>
                <c:pt idx="331">
                  <c:v>45482</c:v>
                </c:pt>
                <c:pt idx="332">
                  <c:v>45481</c:v>
                </c:pt>
                <c:pt idx="333">
                  <c:v>45478</c:v>
                </c:pt>
                <c:pt idx="334">
                  <c:v>45477</c:v>
                </c:pt>
                <c:pt idx="335">
                  <c:v>45476</c:v>
                </c:pt>
                <c:pt idx="336">
                  <c:v>45475</c:v>
                </c:pt>
                <c:pt idx="337">
                  <c:v>45474</c:v>
                </c:pt>
                <c:pt idx="338">
                  <c:v>45471</c:v>
                </c:pt>
                <c:pt idx="339">
                  <c:v>45470</c:v>
                </c:pt>
                <c:pt idx="340">
                  <c:v>45469</c:v>
                </c:pt>
                <c:pt idx="341">
                  <c:v>45468</c:v>
                </c:pt>
                <c:pt idx="342">
                  <c:v>45467</c:v>
                </c:pt>
                <c:pt idx="343">
                  <c:v>45464</c:v>
                </c:pt>
                <c:pt idx="344">
                  <c:v>45463</c:v>
                </c:pt>
                <c:pt idx="345">
                  <c:v>45462</c:v>
                </c:pt>
                <c:pt idx="346">
                  <c:v>45461</c:v>
                </c:pt>
                <c:pt idx="347">
                  <c:v>45457</c:v>
                </c:pt>
                <c:pt idx="348">
                  <c:v>45456</c:v>
                </c:pt>
                <c:pt idx="349">
                  <c:v>45455</c:v>
                </c:pt>
                <c:pt idx="350">
                  <c:v>45454</c:v>
                </c:pt>
                <c:pt idx="351">
                  <c:v>45453</c:v>
                </c:pt>
                <c:pt idx="352">
                  <c:v>45450</c:v>
                </c:pt>
                <c:pt idx="353">
                  <c:v>45449</c:v>
                </c:pt>
                <c:pt idx="354">
                  <c:v>45448</c:v>
                </c:pt>
                <c:pt idx="355">
                  <c:v>45447</c:v>
                </c:pt>
                <c:pt idx="356">
                  <c:v>45446</c:v>
                </c:pt>
                <c:pt idx="357">
                  <c:v>45443</c:v>
                </c:pt>
                <c:pt idx="358">
                  <c:v>45442</c:v>
                </c:pt>
                <c:pt idx="359">
                  <c:v>45441</c:v>
                </c:pt>
                <c:pt idx="360">
                  <c:v>45440</c:v>
                </c:pt>
                <c:pt idx="361">
                  <c:v>45439</c:v>
                </c:pt>
                <c:pt idx="362">
                  <c:v>45436</c:v>
                </c:pt>
                <c:pt idx="363">
                  <c:v>45435</c:v>
                </c:pt>
                <c:pt idx="364">
                  <c:v>45434</c:v>
                </c:pt>
                <c:pt idx="365">
                  <c:v>45433</c:v>
                </c:pt>
                <c:pt idx="366">
                  <c:v>45430</c:v>
                </c:pt>
                <c:pt idx="367">
                  <c:v>45429</c:v>
                </c:pt>
                <c:pt idx="368">
                  <c:v>45428</c:v>
                </c:pt>
                <c:pt idx="369">
                  <c:v>45427</c:v>
                </c:pt>
                <c:pt idx="370">
                  <c:v>45426</c:v>
                </c:pt>
                <c:pt idx="371">
                  <c:v>45425</c:v>
                </c:pt>
                <c:pt idx="372">
                  <c:v>45422</c:v>
                </c:pt>
                <c:pt idx="373">
                  <c:v>45421</c:v>
                </c:pt>
                <c:pt idx="374">
                  <c:v>45420</c:v>
                </c:pt>
                <c:pt idx="375">
                  <c:v>45419</c:v>
                </c:pt>
                <c:pt idx="376">
                  <c:v>45418</c:v>
                </c:pt>
                <c:pt idx="377">
                  <c:v>45415</c:v>
                </c:pt>
                <c:pt idx="378">
                  <c:v>45414</c:v>
                </c:pt>
                <c:pt idx="379">
                  <c:v>45412</c:v>
                </c:pt>
                <c:pt idx="380">
                  <c:v>45411</c:v>
                </c:pt>
                <c:pt idx="381">
                  <c:v>45408</c:v>
                </c:pt>
                <c:pt idx="382">
                  <c:v>45407</c:v>
                </c:pt>
                <c:pt idx="383">
                  <c:v>45406</c:v>
                </c:pt>
                <c:pt idx="384">
                  <c:v>45405</c:v>
                </c:pt>
                <c:pt idx="385">
                  <c:v>45404</c:v>
                </c:pt>
                <c:pt idx="386">
                  <c:v>45401</c:v>
                </c:pt>
                <c:pt idx="387">
                  <c:v>45400</c:v>
                </c:pt>
                <c:pt idx="388">
                  <c:v>45398</c:v>
                </c:pt>
                <c:pt idx="389">
                  <c:v>45397</c:v>
                </c:pt>
                <c:pt idx="390">
                  <c:v>45394</c:v>
                </c:pt>
                <c:pt idx="391">
                  <c:v>45392</c:v>
                </c:pt>
                <c:pt idx="392">
                  <c:v>45391</c:v>
                </c:pt>
                <c:pt idx="393">
                  <c:v>45390</c:v>
                </c:pt>
                <c:pt idx="394">
                  <c:v>45387</c:v>
                </c:pt>
                <c:pt idx="395">
                  <c:v>45386</c:v>
                </c:pt>
                <c:pt idx="396">
                  <c:v>45385</c:v>
                </c:pt>
                <c:pt idx="397">
                  <c:v>45384</c:v>
                </c:pt>
                <c:pt idx="398">
                  <c:v>45383</c:v>
                </c:pt>
                <c:pt idx="399">
                  <c:v>45379</c:v>
                </c:pt>
                <c:pt idx="400">
                  <c:v>45378</c:v>
                </c:pt>
                <c:pt idx="401">
                  <c:v>45377</c:v>
                </c:pt>
                <c:pt idx="402">
                  <c:v>45373</c:v>
                </c:pt>
                <c:pt idx="403">
                  <c:v>45372</c:v>
                </c:pt>
                <c:pt idx="404">
                  <c:v>45371</c:v>
                </c:pt>
                <c:pt idx="405">
                  <c:v>45370</c:v>
                </c:pt>
                <c:pt idx="406">
                  <c:v>45369</c:v>
                </c:pt>
                <c:pt idx="407">
                  <c:v>45366</c:v>
                </c:pt>
                <c:pt idx="408">
                  <c:v>45365</c:v>
                </c:pt>
                <c:pt idx="409">
                  <c:v>45364</c:v>
                </c:pt>
                <c:pt idx="410">
                  <c:v>45363</c:v>
                </c:pt>
                <c:pt idx="411">
                  <c:v>45362</c:v>
                </c:pt>
                <c:pt idx="412">
                  <c:v>45358</c:v>
                </c:pt>
                <c:pt idx="413">
                  <c:v>45357</c:v>
                </c:pt>
                <c:pt idx="414">
                  <c:v>45356</c:v>
                </c:pt>
                <c:pt idx="415">
                  <c:v>45355</c:v>
                </c:pt>
                <c:pt idx="416">
                  <c:v>45353</c:v>
                </c:pt>
                <c:pt idx="417">
                  <c:v>45352</c:v>
                </c:pt>
                <c:pt idx="418">
                  <c:v>45351</c:v>
                </c:pt>
                <c:pt idx="419">
                  <c:v>45350</c:v>
                </c:pt>
                <c:pt idx="420">
                  <c:v>45349</c:v>
                </c:pt>
                <c:pt idx="421">
                  <c:v>45348</c:v>
                </c:pt>
                <c:pt idx="422">
                  <c:v>45345</c:v>
                </c:pt>
                <c:pt idx="423">
                  <c:v>45344</c:v>
                </c:pt>
                <c:pt idx="424">
                  <c:v>45343</c:v>
                </c:pt>
                <c:pt idx="425">
                  <c:v>45342</c:v>
                </c:pt>
                <c:pt idx="426">
                  <c:v>45341</c:v>
                </c:pt>
                <c:pt idx="427">
                  <c:v>45338</c:v>
                </c:pt>
                <c:pt idx="428">
                  <c:v>45337</c:v>
                </c:pt>
                <c:pt idx="429">
                  <c:v>45336</c:v>
                </c:pt>
                <c:pt idx="430">
                  <c:v>45335</c:v>
                </c:pt>
                <c:pt idx="431">
                  <c:v>45334</c:v>
                </c:pt>
                <c:pt idx="432">
                  <c:v>45331</c:v>
                </c:pt>
                <c:pt idx="433">
                  <c:v>45330</c:v>
                </c:pt>
                <c:pt idx="434">
                  <c:v>45329</c:v>
                </c:pt>
                <c:pt idx="435">
                  <c:v>45328</c:v>
                </c:pt>
                <c:pt idx="436">
                  <c:v>45327</c:v>
                </c:pt>
                <c:pt idx="437">
                  <c:v>45324</c:v>
                </c:pt>
                <c:pt idx="438">
                  <c:v>45323</c:v>
                </c:pt>
                <c:pt idx="439">
                  <c:v>45322</c:v>
                </c:pt>
                <c:pt idx="440">
                  <c:v>45321</c:v>
                </c:pt>
                <c:pt idx="441">
                  <c:v>45320</c:v>
                </c:pt>
                <c:pt idx="442">
                  <c:v>45316</c:v>
                </c:pt>
                <c:pt idx="443">
                  <c:v>45315</c:v>
                </c:pt>
                <c:pt idx="444">
                  <c:v>45314</c:v>
                </c:pt>
                <c:pt idx="445">
                  <c:v>45311</c:v>
                </c:pt>
                <c:pt idx="446">
                  <c:v>45310</c:v>
                </c:pt>
                <c:pt idx="447">
                  <c:v>45309</c:v>
                </c:pt>
                <c:pt idx="448">
                  <c:v>45308</c:v>
                </c:pt>
                <c:pt idx="449">
                  <c:v>45307</c:v>
                </c:pt>
                <c:pt idx="450">
                  <c:v>45306</c:v>
                </c:pt>
                <c:pt idx="451">
                  <c:v>45303</c:v>
                </c:pt>
                <c:pt idx="452">
                  <c:v>45302</c:v>
                </c:pt>
                <c:pt idx="453">
                  <c:v>45301</c:v>
                </c:pt>
                <c:pt idx="454">
                  <c:v>45300</c:v>
                </c:pt>
                <c:pt idx="455">
                  <c:v>45299</c:v>
                </c:pt>
                <c:pt idx="456">
                  <c:v>45296</c:v>
                </c:pt>
                <c:pt idx="457">
                  <c:v>45295</c:v>
                </c:pt>
                <c:pt idx="458">
                  <c:v>45294</c:v>
                </c:pt>
                <c:pt idx="459">
                  <c:v>45293</c:v>
                </c:pt>
                <c:pt idx="460">
                  <c:v>45292</c:v>
                </c:pt>
                <c:pt idx="461">
                  <c:v>45289</c:v>
                </c:pt>
                <c:pt idx="462">
                  <c:v>45288</c:v>
                </c:pt>
                <c:pt idx="463">
                  <c:v>45287</c:v>
                </c:pt>
                <c:pt idx="464">
                  <c:v>45286</c:v>
                </c:pt>
                <c:pt idx="465">
                  <c:v>45282</c:v>
                </c:pt>
                <c:pt idx="466">
                  <c:v>45281</c:v>
                </c:pt>
                <c:pt idx="467">
                  <c:v>45280</c:v>
                </c:pt>
                <c:pt idx="468">
                  <c:v>45279</c:v>
                </c:pt>
                <c:pt idx="469">
                  <c:v>45278</c:v>
                </c:pt>
                <c:pt idx="470">
                  <c:v>45275</c:v>
                </c:pt>
                <c:pt idx="471">
                  <c:v>45274</c:v>
                </c:pt>
                <c:pt idx="472">
                  <c:v>45273</c:v>
                </c:pt>
                <c:pt idx="473">
                  <c:v>45272</c:v>
                </c:pt>
                <c:pt idx="474">
                  <c:v>45271</c:v>
                </c:pt>
                <c:pt idx="475">
                  <c:v>45268</c:v>
                </c:pt>
                <c:pt idx="476">
                  <c:v>45267</c:v>
                </c:pt>
                <c:pt idx="477">
                  <c:v>45266</c:v>
                </c:pt>
                <c:pt idx="478">
                  <c:v>45265</c:v>
                </c:pt>
                <c:pt idx="479">
                  <c:v>45264</c:v>
                </c:pt>
                <c:pt idx="480">
                  <c:v>45261</c:v>
                </c:pt>
                <c:pt idx="481">
                  <c:v>45260</c:v>
                </c:pt>
                <c:pt idx="482">
                  <c:v>45259</c:v>
                </c:pt>
                <c:pt idx="483">
                  <c:v>45258</c:v>
                </c:pt>
                <c:pt idx="484">
                  <c:v>45254</c:v>
                </c:pt>
                <c:pt idx="485">
                  <c:v>45253</c:v>
                </c:pt>
                <c:pt idx="486">
                  <c:v>45252</c:v>
                </c:pt>
                <c:pt idx="487">
                  <c:v>45251</c:v>
                </c:pt>
                <c:pt idx="488">
                  <c:v>45250</c:v>
                </c:pt>
                <c:pt idx="489">
                  <c:v>45247</c:v>
                </c:pt>
                <c:pt idx="490">
                  <c:v>45246</c:v>
                </c:pt>
                <c:pt idx="491">
                  <c:v>45245</c:v>
                </c:pt>
                <c:pt idx="492">
                  <c:v>45243</c:v>
                </c:pt>
                <c:pt idx="493">
                  <c:v>45242</c:v>
                </c:pt>
                <c:pt idx="494">
                  <c:v>45240</c:v>
                </c:pt>
                <c:pt idx="495">
                  <c:v>45239</c:v>
                </c:pt>
                <c:pt idx="496">
                  <c:v>45238</c:v>
                </c:pt>
                <c:pt idx="497">
                  <c:v>45237</c:v>
                </c:pt>
                <c:pt idx="498">
                  <c:v>45236</c:v>
                </c:pt>
                <c:pt idx="499">
                  <c:v>45233</c:v>
                </c:pt>
                <c:pt idx="500">
                  <c:v>45232</c:v>
                </c:pt>
                <c:pt idx="501">
                  <c:v>45231</c:v>
                </c:pt>
                <c:pt idx="502">
                  <c:v>45230</c:v>
                </c:pt>
                <c:pt idx="503">
                  <c:v>45229</c:v>
                </c:pt>
                <c:pt idx="504">
                  <c:v>45226</c:v>
                </c:pt>
                <c:pt idx="505">
                  <c:v>45225</c:v>
                </c:pt>
                <c:pt idx="506">
                  <c:v>45224</c:v>
                </c:pt>
                <c:pt idx="507">
                  <c:v>45222</c:v>
                </c:pt>
                <c:pt idx="508">
                  <c:v>45219</c:v>
                </c:pt>
                <c:pt idx="509">
                  <c:v>45218</c:v>
                </c:pt>
                <c:pt idx="510">
                  <c:v>45217</c:v>
                </c:pt>
                <c:pt idx="511">
                  <c:v>45216</c:v>
                </c:pt>
                <c:pt idx="512">
                  <c:v>45215</c:v>
                </c:pt>
                <c:pt idx="513">
                  <c:v>45212</c:v>
                </c:pt>
                <c:pt idx="514">
                  <c:v>45211</c:v>
                </c:pt>
                <c:pt idx="515">
                  <c:v>45210</c:v>
                </c:pt>
                <c:pt idx="516">
                  <c:v>45209</c:v>
                </c:pt>
                <c:pt idx="517">
                  <c:v>45208</c:v>
                </c:pt>
                <c:pt idx="518">
                  <c:v>45205</c:v>
                </c:pt>
                <c:pt idx="519">
                  <c:v>45204</c:v>
                </c:pt>
                <c:pt idx="520">
                  <c:v>45203</c:v>
                </c:pt>
                <c:pt idx="521">
                  <c:v>45202</c:v>
                </c:pt>
                <c:pt idx="522">
                  <c:v>45198</c:v>
                </c:pt>
                <c:pt idx="523">
                  <c:v>45197</c:v>
                </c:pt>
                <c:pt idx="524">
                  <c:v>45196</c:v>
                </c:pt>
                <c:pt idx="525">
                  <c:v>45195</c:v>
                </c:pt>
                <c:pt idx="526">
                  <c:v>45194</c:v>
                </c:pt>
                <c:pt idx="527">
                  <c:v>45191</c:v>
                </c:pt>
                <c:pt idx="528">
                  <c:v>45190</c:v>
                </c:pt>
                <c:pt idx="529">
                  <c:v>45189</c:v>
                </c:pt>
                <c:pt idx="530">
                  <c:v>45187</c:v>
                </c:pt>
                <c:pt idx="531">
                  <c:v>45184</c:v>
                </c:pt>
                <c:pt idx="532">
                  <c:v>45183</c:v>
                </c:pt>
                <c:pt idx="533">
                  <c:v>45182</c:v>
                </c:pt>
                <c:pt idx="534">
                  <c:v>45181</c:v>
                </c:pt>
                <c:pt idx="535">
                  <c:v>45180</c:v>
                </c:pt>
                <c:pt idx="536">
                  <c:v>45177</c:v>
                </c:pt>
                <c:pt idx="537">
                  <c:v>45176</c:v>
                </c:pt>
                <c:pt idx="538">
                  <c:v>45175</c:v>
                </c:pt>
                <c:pt idx="539">
                  <c:v>45174</c:v>
                </c:pt>
                <c:pt idx="540">
                  <c:v>45173</c:v>
                </c:pt>
                <c:pt idx="541">
                  <c:v>45170</c:v>
                </c:pt>
                <c:pt idx="542">
                  <c:v>45169</c:v>
                </c:pt>
                <c:pt idx="543">
                  <c:v>45168</c:v>
                </c:pt>
                <c:pt idx="544">
                  <c:v>45167</c:v>
                </c:pt>
                <c:pt idx="545">
                  <c:v>45166</c:v>
                </c:pt>
                <c:pt idx="546">
                  <c:v>45163</c:v>
                </c:pt>
                <c:pt idx="547">
                  <c:v>45162</c:v>
                </c:pt>
                <c:pt idx="548">
                  <c:v>45161</c:v>
                </c:pt>
                <c:pt idx="549">
                  <c:v>45160</c:v>
                </c:pt>
                <c:pt idx="550">
                  <c:v>45159</c:v>
                </c:pt>
                <c:pt idx="551">
                  <c:v>45156</c:v>
                </c:pt>
                <c:pt idx="552">
                  <c:v>45155</c:v>
                </c:pt>
                <c:pt idx="553">
                  <c:v>45154</c:v>
                </c:pt>
                <c:pt idx="554">
                  <c:v>45152</c:v>
                </c:pt>
                <c:pt idx="555">
                  <c:v>45149</c:v>
                </c:pt>
                <c:pt idx="556">
                  <c:v>45148</c:v>
                </c:pt>
                <c:pt idx="557">
                  <c:v>45147</c:v>
                </c:pt>
                <c:pt idx="558">
                  <c:v>45146</c:v>
                </c:pt>
                <c:pt idx="559">
                  <c:v>45145</c:v>
                </c:pt>
                <c:pt idx="560">
                  <c:v>45142</c:v>
                </c:pt>
                <c:pt idx="561">
                  <c:v>45141</c:v>
                </c:pt>
                <c:pt idx="562">
                  <c:v>45140</c:v>
                </c:pt>
                <c:pt idx="563">
                  <c:v>45139</c:v>
                </c:pt>
                <c:pt idx="564">
                  <c:v>45138</c:v>
                </c:pt>
                <c:pt idx="565">
                  <c:v>45135</c:v>
                </c:pt>
                <c:pt idx="566">
                  <c:v>45134</c:v>
                </c:pt>
                <c:pt idx="567">
                  <c:v>45133</c:v>
                </c:pt>
                <c:pt idx="568">
                  <c:v>45132</c:v>
                </c:pt>
                <c:pt idx="569">
                  <c:v>45131</c:v>
                </c:pt>
                <c:pt idx="570">
                  <c:v>45128</c:v>
                </c:pt>
                <c:pt idx="571">
                  <c:v>45127</c:v>
                </c:pt>
                <c:pt idx="572">
                  <c:v>45126</c:v>
                </c:pt>
                <c:pt idx="573">
                  <c:v>45125</c:v>
                </c:pt>
                <c:pt idx="574">
                  <c:v>45124</c:v>
                </c:pt>
                <c:pt idx="575">
                  <c:v>45121</c:v>
                </c:pt>
                <c:pt idx="576">
                  <c:v>45120</c:v>
                </c:pt>
                <c:pt idx="577">
                  <c:v>45119</c:v>
                </c:pt>
                <c:pt idx="578">
                  <c:v>45118</c:v>
                </c:pt>
                <c:pt idx="579">
                  <c:v>45117</c:v>
                </c:pt>
                <c:pt idx="580">
                  <c:v>45114</c:v>
                </c:pt>
                <c:pt idx="581">
                  <c:v>45113</c:v>
                </c:pt>
                <c:pt idx="582">
                  <c:v>45112</c:v>
                </c:pt>
                <c:pt idx="583">
                  <c:v>45111</c:v>
                </c:pt>
                <c:pt idx="584">
                  <c:v>45110</c:v>
                </c:pt>
                <c:pt idx="585">
                  <c:v>45107</c:v>
                </c:pt>
                <c:pt idx="586">
                  <c:v>45105</c:v>
                </c:pt>
                <c:pt idx="587">
                  <c:v>45104</c:v>
                </c:pt>
                <c:pt idx="588">
                  <c:v>45103</c:v>
                </c:pt>
                <c:pt idx="589">
                  <c:v>45100</c:v>
                </c:pt>
                <c:pt idx="590">
                  <c:v>45099</c:v>
                </c:pt>
                <c:pt idx="591">
                  <c:v>45098</c:v>
                </c:pt>
                <c:pt idx="592">
                  <c:v>45097</c:v>
                </c:pt>
                <c:pt idx="593">
                  <c:v>45096</c:v>
                </c:pt>
                <c:pt idx="594">
                  <c:v>45093</c:v>
                </c:pt>
                <c:pt idx="595">
                  <c:v>45092</c:v>
                </c:pt>
                <c:pt idx="596">
                  <c:v>45091</c:v>
                </c:pt>
                <c:pt idx="597">
                  <c:v>45090</c:v>
                </c:pt>
                <c:pt idx="598">
                  <c:v>45089</c:v>
                </c:pt>
                <c:pt idx="599">
                  <c:v>45086</c:v>
                </c:pt>
                <c:pt idx="600">
                  <c:v>45085</c:v>
                </c:pt>
                <c:pt idx="601">
                  <c:v>45084</c:v>
                </c:pt>
                <c:pt idx="602">
                  <c:v>45083</c:v>
                </c:pt>
                <c:pt idx="603">
                  <c:v>45082</c:v>
                </c:pt>
                <c:pt idx="604">
                  <c:v>45079</c:v>
                </c:pt>
                <c:pt idx="605">
                  <c:v>45078</c:v>
                </c:pt>
                <c:pt idx="606">
                  <c:v>45077</c:v>
                </c:pt>
                <c:pt idx="607">
                  <c:v>45076</c:v>
                </c:pt>
                <c:pt idx="608">
                  <c:v>45075</c:v>
                </c:pt>
                <c:pt idx="609">
                  <c:v>45072</c:v>
                </c:pt>
                <c:pt idx="610">
                  <c:v>45071</c:v>
                </c:pt>
                <c:pt idx="611">
                  <c:v>45070</c:v>
                </c:pt>
                <c:pt idx="612">
                  <c:v>45069</c:v>
                </c:pt>
                <c:pt idx="613">
                  <c:v>45068</c:v>
                </c:pt>
                <c:pt idx="614">
                  <c:v>45065</c:v>
                </c:pt>
                <c:pt idx="615">
                  <c:v>45064</c:v>
                </c:pt>
                <c:pt idx="616">
                  <c:v>45063</c:v>
                </c:pt>
                <c:pt idx="617">
                  <c:v>45062</c:v>
                </c:pt>
                <c:pt idx="618">
                  <c:v>45061</c:v>
                </c:pt>
                <c:pt idx="619">
                  <c:v>45058</c:v>
                </c:pt>
                <c:pt idx="620">
                  <c:v>45057</c:v>
                </c:pt>
                <c:pt idx="621">
                  <c:v>45056</c:v>
                </c:pt>
                <c:pt idx="622">
                  <c:v>45055</c:v>
                </c:pt>
                <c:pt idx="623">
                  <c:v>45054</c:v>
                </c:pt>
                <c:pt idx="624">
                  <c:v>45051</c:v>
                </c:pt>
                <c:pt idx="625">
                  <c:v>45050</c:v>
                </c:pt>
                <c:pt idx="626">
                  <c:v>45049</c:v>
                </c:pt>
                <c:pt idx="627">
                  <c:v>45048</c:v>
                </c:pt>
                <c:pt idx="628">
                  <c:v>45044</c:v>
                </c:pt>
                <c:pt idx="629">
                  <c:v>45043</c:v>
                </c:pt>
                <c:pt idx="630">
                  <c:v>45042</c:v>
                </c:pt>
                <c:pt idx="631">
                  <c:v>45041</c:v>
                </c:pt>
                <c:pt idx="632">
                  <c:v>45040</c:v>
                </c:pt>
                <c:pt idx="633">
                  <c:v>45037</c:v>
                </c:pt>
                <c:pt idx="634">
                  <c:v>45036</c:v>
                </c:pt>
                <c:pt idx="635">
                  <c:v>45035</c:v>
                </c:pt>
                <c:pt idx="636">
                  <c:v>45034</c:v>
                </c:pt>
                <c:pt idx="637">
                  <c:v>45033</c:v>
                </c:pt>
                <c:pt idx="638">
                  <c:v>45029</c:v>
                </c:pt>
                <c:pt idx="639">
                  <c:v>45028</c:v>
                </c:pt>
                <c:pt idx="640">
                  <c:v>45027</c:v>
                </c:pt>
                <c:pt idx="641">
                  <c:v>45026</c:v>
                </c:pt>
                <c:pt idx="642">
                  <c:v>45022</c:v>
                </c:pt>
                <c:pt idx="643">
                  <c:v>45021</c:v>
                </c:pt>
                <c:pt idx="644">
                  <c:v>45019</c:v>
                </c:pt>
                <c:pt idx="645">
                  <c:v>45016</c:v>
                </c:pt>
                <c:pt idx="646">
                  <c:v>45014</c:v>
                </c:pt>
                <c:pt idx="647">
                  <c:v>45013</c:v>
                </c:pt>
                <c:pt idx="648">
                  <c:v>45012</c:v>
                </c:pt>
                <c:pt idx="649">
                  <c:v>45009</c:v>
                </c:pt>
                <c:pt idx="650">
                  <c:v>45008</c:v>
                </c:pt>
                <c:pt idx="651">
                  <c:v>45007</c:v>
                </c:pt>
                <c:pt idx="652">
                  <c:v>45006</c:v>
                </c:pt>
                <c:pt idx="653">
                  <c:v>45005</c:v>
                </c:pt>
                <c:pt idx="654">
                  <c:v>45002</c:v>
                </c:pt>
                <c:pt idx="655">
                  <c:v>45001</c:v>
                </c:pt>
                <c:pt idx="656">
                  <c:v>45000</c:v>
                </c:pt>
                <c:pt idx="657">
                  <c:v>44999</c:v>
                </c:pt>
                <c:pt idx="658">
                  <c:v>44998</c:v>
                </c:pt>
                <c:pt idx="659">
                  <c:v>44995</c:v>
                </c:pt>
                <c:pt idx="660">
                  <c:v>44994</c:v>
                </c:pt>
                <c:pt idx="661">
                  <c:v>44993</c:v>
                </c:pt>
                <c:pt idx="662">
                  <c:v>44991</c:v>
                </c:pt>
                <c:pt idx="663">
                  <c:v>44988</c:v>
                </c:pt>
                <c:pt idx="664">
                  <c:v>44987</c:v>
                </c:pt>
                <c:pt idx="665">
                  <c:v>44986</c:v>
                </c:pt>
                <c:pt idx="666">
                  <c:v>44985</c:v>
                </c:pt>
                <c:pt idx="667">
                  <c:v>44984</c:v>
                </c:pt>
                <c:pt idx="668">
                  <c:v>44981</c:v>
                </c:pt>
                <c:pt idx="669">
                  <c:v>44980</c:v>
                </c:pt>
                <c:pt idx="670">
                  <c:v>44979</c:v>
                </c:pt>
                <c:pt idx="671">
                  <c:v>44978</c:v>
                </c:pt>
                <c:pt idx="672">
                  <c:v>44977</c:v>
                </c:pt>
                <c:pt idx="673">
                  <c:v>44974</c:v>
                </c:pt>
                <c:pt idx="674">
                  <c:v>44973</c:v>
                </c:pt>
                <c:pt idx="675">
                  <c:v>44972</c:v>
                </c:pt>
                <c:pt idx="676">
                  <c:v>44971</c:v>
                </c:pt>
                <c:pt idx="677">
                  <c:v>44970</c:v>
                </c:pt>
                <c:pt idx="678">
                  <c:v>44967</c:v>
                </c:pt>
                <c:pt idx="679">
                  <c:v>44966</c:v>
                </c:pt>
                <c:pt idx="680">
                  <c:v>44965</c:v>
                </c:pt>
                <c:pt idx="681">
                  <c:v>44964</c:v>
                </c:pt>
                <c:pt idx="682">
                  <c:v>44963</c:v>
                </c:pt>
                <c:pt idx="683">
                  <c:v>44960</c:v>
                </c:pt>
                <c:pt idx="684">
                  <c:v>44959</c:v>
                </c:pt>
                <c:pt idx="685">
                  <c:v>44958</c:v>
                </c:pt>
                <c:pt idx="686">
                  <c:v>44957</c:v>
                </c:pt>
                <c:pt idx="687">
                  <c:v>44956</c:v>
                </c:pt>
                <c:pt idx="688">
                  <c:v>44953</c:v>
                </c:pt>
                <c:pt idx="689">
                  <c:v>44951</c:v>
                </c:pt>
                <c:pt idx="690">
                  <c:v>44950</c:v>
                </c:pt>
                <c:pt idx="691">
                  <c:v>44949</c:v>
                </c:pt>
                <c:pt idx="692">
                  <c:v>44946</c:v>
                </c:pt>
                <c:pt idx="693">
                  <c:v>44945</c:v>
                </c:pt>
                <c:pt idx="694">
                  <c:v>44944</c:v>
                </c:pt>
                <c:pt idx="695">
                  <c:v>44943</c:v>
                </c:pt>
                <c:pt idx="696">
                  <c:v>44942</c:v>
                </c:pt>
                <c:pt idx="697">
                  <c:v>44939</c:v>
                </c:pt>
                <c:pt idx="698">
                  <c:v>44938</c:v>
                </c:pt>
                <c:pt idx="699">
                  <c:v>44937</c:v>
                </c:pt>
                <c:pt idx="700">
                  <c:v>44936</c:v>
                </c:pt>
                <c:pt idx="701">
                  <c:v>44935</c:v>
                </c:pt>
                <c:pt idx="702">
                  <c:v>44932</c:v>
                </c:pt>
                <c:pt idx="703">
                  <c:v>44931</c:v>
                </c:pt>
                <c:pt idx="704">
                  <c:v>44930</c:v>
                </c:pt>
                <c:pt idx="705">
                  <c:v>44929</c:v>
                </c:pt>
                <c:pt idx="706">
                  <c:v>44928</c:v>
                </c:pt>
                <c:pt idx="707">
                  <c:v>44925</c:v>
                </c:pt>
                <c:pt idx="708">
                  <c:v>44924</c:v>
                </c:pt>
                <c:pt idx="709">
                  <c:v>44923</c:v>
                </c:pt>
                <c:pt idx="710">
                  <c:v>44922</c:v>
                </c:pt>
                <c:pt idx="711">
                  <c:v>44921</c:v>
                </c:pt>
                <c:pt idx="712">
                  <c:v>44918</c:v>
                </c:pt>
                <c:pt idx="713">
                  <c:v>44917</c:v>
                </c:pt>
                <c:pt idx="714">
                  <c:v>44916</c:v>
                </c:pt>
                <c:pt idx="715">
                  <c:v>44915</c:v>
                </c:pt>
                <c:pt idx="716">
                  <c:v>44914</c:v>
                </c:pt>
                <c:pt idx="717">
                  <c:v>44911</c:v>
                </c:pt>
                <c:pt idx="718">
                  <c:v>44910</c:v>
                </c:pt>
                <c:pt idx="719">
                  <c:v>44909</c:v>
                </c:pt>
                <c:pt idx="720">
                  <c:v>44908</c:v>
                </c:pt>
                <c:pt idx="721">
                  <c:v>44907</c:v>
                </c:pt>
                <c:pt idx="722">
                  <c:v>44904</c:v>
                </c:pt>
                <c:pt idx="723">
                  <c:v>44903</c:v>
                </c:pt>
                <c:pt idx="724">
                  <c:v>44902</c:v>
                </c:pt>
                <c:pt idx="725">
                  <c:v>44901</c:v>
                </c:pt>
                <c:pt idx="726">
                  <c:v>44900</c:v>
                </c:pt>
                <c:pt idx="727">
                  <c:v>44897</c:v>
                </c:pt>
                <c:pt idx="728">
                  <c:v>44896</c:v>
                </c:pt>
                <c:pt idx="729">
                  <c:v>44895</c:v>
                </c:pt>
                <c:pt idx="730">
                  <c:v>44894</c:v>
                </c:pt>
                <c:pt idx="731">
                  <c:v>44893</c:v>
                </c:pt>
                <c:pt idx="732">
                  <c:v>44890</c:v>
                </c:pt>
                <c:pt idx="733">
                  <c:v>44889</c:v>
                </c:pt>
                <c:pt idx="734">
                  <c:v>44888</c:v>
                </c:pt>
                <c:pt idx="735">
                  <c:v>44887</c:v>
                </c:pt>
                <c:pt idx="736">
                  <c:v>44886</c:v>
                </c:pt>
                <c:pt idx="737">
                  <c:v>44883</c:v>
                </c:pt>
                <c:pt idx="738">
                  <c:v>44882</c:v>
                </c:pt>
                <c:pt idx="739">
                  <c:v>44881</c:v>
                </c:pt>
                <c:pt idx="740">
                  <c:v>44880</c:v>
                </c:pt>
                <c:pt idx="741">
                  <c:v>44879</c:v>
                </c:pt>
                <c:pt idx="742">
                  <c:v>44876</c:v>
                </c:pt>
                <c:pt idx="743">
                  <c:v>44875</c:v>
                </c:pt>
                <c:pt idx="744">
                  <c:v>44874</c:v>
                </c:pt>
                <c:pt idx="745">
                  <c:v>44872</c:v>
                </c:pt>
                <c:pt idx="746">
                  <c:v>44869</c:v>
                </c:pt>
                <c:pt idx="747">
                  <c:v>44868</c:v>
                </c:pt>
                <c:pt idx="748">
                  <c:v>44867</c:v>
                </c:pt>
                <c:pt idx="749">
                  <c:v>44866</c:v>
                </c:pt>
                <c:pt idx="750">
                  <c:v>44865</c:v>
                </c:pt>
                <c:pt idx="751">
                  <c:v>44862</c:v>
                </c:pt>
                <c:pt idx="752">
                  <c:v>44861</c:v>
                </c:pt>
                <c:pt idx="753">
                  <c:v>44859</c:v>
                </c:pt>
                <c:pt idx="754">
                  <c:v>44858</c:v>
                </c:pt>
                <c:pt idx="755">
                  <c:v>44855</c:v>
                </c:pt>
                <c:pt idx="756">
                  <c:v>44854</c:v>
                </c:pt>
                <c:pt idx="757">
                  <c:v>44853</c:v>
                </c:pt>
                <c:pt idx="758">
                  <c:v>44852</c:v>
                </c:pt>
                <c:pt idx="759">
                  <c:v>44851</c:v>
                </c:pt>
                <c:pt idx="760">
                  <c:v>44848</c:v>
                </c:pt>
                <c:pt idx="761">
                  <c:v>44847</c:v>
                </c:pt>
                <c:pt idx="762">
                  <c:v>44846</c:v>
                </c:pt>
                <c:pt idx="763">
                  <c:v>44845</c:v>
                </c:pt>
                <c:pt idx="764">
                  <c:v>44844</c:v>
                </c:pt>
                <c:pt idx="765">
                  <c:v>44841</c:v>
                </c:pt>
                <c:pt idx="766">
                  <c:v>44840</c:v>
                </c:pt>
                <c:pt idx="767">
                  <c:v>44838</c:v>
                </c:pt>
                <c:pt idx="768">
                  <c:v>44837</c:v>
                </c:pt>
                <c:pt idx="769">
                  <c:v>44834</c:v>
                </c:pt>
                <c:pt idx="770">
                  <c:v>44833</c:v>
                </c:pt>
                <c:pt idx="771">
                  <c:v>44832</c:v>
                </c:pt>
                <c:pt idx="772">
                  <c:v>44831</c:v>
                </c:pt>
                <c:pt idx="773">
                  <c:v>44830</c:v>
                </c:pt>
                <c:pt idx="774">
                  <c:v>44827</c:v>
                </c:pt>
                <c:pt idx="775">
                  <c:v>44826</c:v>
                </c:pt>
                <c:pt idx="776">
                  <c:v>44825</c:v>
                </c:pt>
                <c:pt idx="777">
                  <c:v>44824</c:v>
                </c:pt>
                <c:pt idx="778">
                  <c:v>44823</c:v>
                </c:pt>
                <c:pt idx="779">
                  <c:v>44820</c:v>
                </c:pt>
                <c:pt idx="780">
                  <c:v>44819</c:v>
                </c:pt>
                <c:pt idx="781">
                  <c:v>44818</c:v>
                </c:pt>
                <c:pt idx="782">
                  <c:v>44817</c:v>
                </c:pt>
                <c:pt idx="783">
                  <c:v>44816</c:v>
                </c:pt>
                <c:pt idx="784">
                  <c:v>44813</c:v>
                </c:pt>
                <c:pt idx="785">
                  <c:v>44812</c:v>
                </c:pt>
                <c:pt idx="786">
                  <c:v>44811</c:v>
                </c:pt>
                <c:pt idx="787">
                  <c:v>44810</c:v>
                </c:pt>
                <c:pt idx="788">
                  <c:v>44809</c:v>
                </c:pt>
                <c:pt idx="789">
                  <c:v>44806</c:v>
                </c:pt>
                <c:pt idx="790">
                  <c:v>44805</c:v>
                </c:pt>
                <c:pt idx="791">
                  <c:v>44803</c:v>
                </c:pt>
                <c:pt idx="792">
                  <c:v>44802</c:v>
                </c:pt>
                <c:pt idx="793">
                  <c:v>44799</c:v>
                </c:pt>
                <c:pt idx="794">
                  <c:v>44798</c:v>
                </c:pt>
                <c:pt idx="795">
                  <c:v>44797</c:v>
                </c:pt>
                <c:pt idx="796">
                  <c:v>44796</c:v>
                </c:pt>
                <c:pt idx="797">
                  <c:v>44795</c:v>
                </c:pt>
                <c:pt idx="798">
                  <c:v>44792</c:v>
                </c:pt>
                <c:pt idx="799">
                  <c:v>44791</c:v>
                </c:pt>
                <c:pt idx="800">
                  <c:v>44790</c:v>
                </c:pt>
                <c:pt idx="801">
                  <c:v>44789</c:v>
                </c:pt>
                <c:pt idx="802">
                  <c:v>44785</c:v>
                </c:pt>
                <c:pt idx="803">
                  <c:v>44784</c:v>
                </c:pt>
                <c:pt idx="804">
                  <c:v>44783</c:v>
                </c:pt>
                <c:pt idx="805">
                  <c:v>44781</c:v>
                </c:pt>
                <c:pt idx="806">
                  <c:v>44778</c:v>
                </c:pt>
                <c:pt idx="807">
                  <c:v>44777</c:v>
                </c:pt>
                <c:pt idx="808">
                  <c:v>44776</c:v>
                </c:pt>
                <c:pt idx="809">
                  <c:v>44775</c:v>
                </c:pt>
                <c:pt idx="810">
                  <c:v>44774</c:v>
                </c:pt>
                <c:pt idx="811">
                  <c:v>44771</c:v>
                </c:pt>
                <c:pt idx="812">
                  <c:v>44770</c:v>
                </c:pt>
                <c:pt idx="813">
                  <c:v>44769</c:v>
                </c:pt>
                <c:pt idx="814">
                  <c:v>44768</c:v>
                </c:pt>
                <c:pt idx="815">
                  <c:v>44767</c:v>
                </c:pt>
                <c:pt idx="816">
                  <c:v>44764</c:v>
                </c:pt>
                <c:pt idx="817">
                  <c:v>44763</c:v>
                </c:pt>
                <c:pt idx="818">
                  <c:v>44762</c:v>
                </c:pt>
                <c:pt idx="819">
                  <c:v>44761</c:v>
                </c:pt>
                <c:pt idx="820">
                  <c:v>44760</c:v>
                </c:pt>
                <c:pt idx="821">
                  <c:v>44757</c:v>
                </c:pt>
                <c:pt idx="822">
                  <c:v>44756</c:v>
                </c:pt>
                <c:pt idx="823">
                  <c:v>44755</c:v>
                </c:pt>
                <c:pt idx="824">
                  <c:v>44754</c:v>
                </c:pt>
                <c:pt idx="825">
                  <c:v>44753</c:v>
                </c:pt>
                <c:pt idx="826">
                  <c:v>44750</c:v>
                </c:pt>
                <c:pt idx="827">
                  <c:v>44749</c:v>
                </c:pt>
                <c:pt idx="828">
                  <c:v>44748</c:v>
                </c:pt>
                <c:pt idx="829">
                  <c:v>44747</c:v>
                </c:pt>
                <c:pt idx="830">
                  <c:v>44746</c:v>
                </c:pt>
                <c:pt idx="831">
                  <c:v>44743</c:v>
                </c:pt>
                <c:pt idx="832">
                  <c:v>44742</c:v>
                </c:pt>
                <c:pt idx="833">
                  <c:v>44741</c:v>
                </c:pt>
                <c:pt idx="834">
                  <c:v>44740</c:v>
                </c:pt>
                <c:pt idx="835">
                  <c:v>44739</c:v>
                </c:pt>
                <c:pt idx="836">
                  <c:v>44736</c:v>
                </c:pt>
                <c:pt idx="837">
                  <c:v>44735</c:v>
                </c:pt>
                <c:pt idx="838">
                  <c:v>44734</c:v>
                </c:pt>
                <c:pt idx="839">
                  <c:v>44733</c:v>
                </c:pt>
                <c:pt idx="840">
                  <c:v>44732</c:v>
                </c:pt>
                <c:pt idx="841">
                  <c:v>44729</c:v>
                </c:pt>
                <c:pt idx="842">
                  <c:v>44728</c:v>
                </c:pt>
                <c:pt idx="843">
                  <c:v>44727</c:v>
                </c:pt>
                <c:pt idx="844">
                  <c:v>44726</c:v>
                </c:pt>
                <c:pt idx="845">
                  <c:v>44725</c:v>
                </c:pt>
                <c:pt idx="846">
                  <c:v>44722</c:v>
                </c:pt>
                <c:pt idx="847">
                  <c:v>44721</c:v>
                </c:pt>
                <c:pt idx="848">
                  <c:v>44720</c:v>
                </c:pt>
                <c:pt idx="849">
                  <c:v>44719</c:v>
                </c:pt>
                <c:pt idx="850">
                  <c:v>44718</c:v>
                </c:pt>
                <c:pt idx="851">
                  <c:v>44715</c:v>
                </c:pt>
                <c:pt idx="852">
                  <c:v>44714</c:v>
                </c:pt>
                <c:pt idx="853">
                  <c:v>44713</c:v>
                </c:pt>
                <c:pt idx="854">
                  <c:v>44712</c:v>
                </c:pt>
                <c:pt idx="855">
                  <c:v>44711</c:v>
                </c:pt>
                <c:pt idx="856">
                  <c:v>44708</c:v>
                </c:pt>
                <c:pt idx="857">
                  <c:v>44707</c:v>
                </c:pt>
                <c:pt idx="858">
                  <c:v>44706</c:v>
                </c:pt>
                <c:pt idx="859">
                  <c:v>44705</c:v>
                </c:pt>
                <c:pt idx="860">
                  <c:v>44704</c:v>
                </c:pt>
                <c:pt idx="861">
                  <c:v>44701</c:v>
                </c:pt>
                <c:pt idx="862">
                  <c:v>44700</c:v>
                </c:pt>
                <c:pt idx="863">
                  <c:v>44699</c:v>
                </c:pt>
                <c:pt idx="864">
                  <c:v>44698</c:v>
                </c:pt>
                <c:pt idx="865">
                  <c:v>44697</c:v>
                </c:pt>
                <c:pt idx="866">
                  <c:v>44694</c:v>
                </c:pt>
                <c:pt idx="867">
                  <c:v>44693</c:v>
                </c:pt>
                <c:pt idx="868">
                  <c:v>44692</c:v>
                </c:pt>
                <c:pt idx="869">
                  <c:v>44691</c:v>
                </c:pt>
                <c:pt idx="870">
                  <c:v>44690</c:v>
                </c:pt>
                <c:pt idx="871">
                  <c:v>44687</c:v>
                </c:pt>
                <c:pt idx="872">
                  <c:v>44686</c:v>
                </c:pt>
                <c:pt idx="873">
                  <c:v>44685</c:v>
                </c:pt>
                <c:pt idx="874">
                  <c:v>44683</c:v>
                </c:pt>
                <c:pt idx="875">
                  <c:v>44680</c:v>
                </c:pt>
                <c:pt idx="876">
                  <c:v>44679</c:v>
                </c:pt>
                <c:pt idx="877">
                  <c:v>44678</c:v>
                </c:pt>
                <c:pt idx="878">
                  <c:v>44677</c:v>
                </c:pt>
                <c:pt idx="879">
                  <c:v>44676</c:v>
                </c:pt>
                <c:pt idx="880">
                  <c:v>44673</c:v>
                </c:pt>
                <c:pt idx="881">
                  <c:v>44672</c:v>
                </c:pt>
                <c:pt idx="882">
                  <c:v>44671</c:v>
                </c:pt>
                <c:pt idx="883">
                  <c:v>44670</c:v>
                </c:pt>
                <c:pt idx="884">
                  <c:v>44669</c:v>
                </c:pt>
                <c:pt idx="885">
                  <c:v>44664</c:v>
                </c:pt>
                <c:pt idx="886">
                  <c:v>44663</c:v>
                </c:pt>
                <c:pt idx="887">
                  <c:v>44662</c:v>
                </c:pt>
                <c:pt idx="888">
                  <c:v>44659</c:v>
                </c:pt>
                <c:pt idx="889">
                  <c:v>44658</c:v>
                </c:pt>
                <c:pt idx="890">
                  <c:v>44657</c:v>
                </c:pt>
                <c:pt idx="891">
                  <c:v>44656</c:v>
                </c:pt>
                <c:pt idx="892">
                  <c:v>44655</c:v>
                </c:pt>
                <c:pt idx="893">
                  <c:v>44652</c:v>
                </c:pt>
                <c:pt idx="894">
                  <c:v>44651</c:v>
                </c:pt>
                <c:pt idx="895">
                  <c:v>44650</c:v>
                </c:pt>
                <c:pt idx="896">
                  <c:v>44649</c:v>
                </c:pt>
                <c:pt idx="897">
                  <c:v>44648</c:v>
                </c:pt>
                <c:pt idx="898">
                  <c:v>44645</c:v>
                </c:pt>
                <c:pt idx="899">
                  <c:v>44644</c:v>
                </c:pt>
                <c:pt idx="900">
                  <c:v>44643</c:v>
                </c:pt>
                <c:pt idx="901">
                  <c:v>44642</c:v>
                </c:pt>
                <c:pt idx="902">
                  <c:v>44641</c:v>
                </c:pt>
                <c:pt idx="903">
                  <c:v>44637</c:v>
                </c:pt>
                <c:pt idx="904">
                  <c:v>44636</c:v>
                </c:pt>
                <c:pt idx="905">
                  <c:v>44635</c:v>
                </c:pt>
                <c:pt idx="906">
                  <c:v>44634</c:v>
                </c:pt>
                <c:pt idx="907">
                  <c:v>44631</c:v>
                </c:pt>
                <c:pt idx="908">
                  <c:v>44630</c:v>
                </c:pt>
                <c:pt idx="909">
                  <c:v>44629</c:v>
                </c:pt>
                <c:pt idx="910">
                  <c:v>44628</c:v>
                </c:pt>
                <c:pt idx="911">
                  <c:v>44627</c:v>
                </c:pt>
                <c:pt idx="912">
                  <c:v>44624</c:v>
                </c:pt>
                <c:pt idx="913">
                  <c:v>44623</c:v>
                </c:pt>
                <c:pt idx="914">
                  <c:v>44622</c:v>
                </c:pt>
                <c:pt idx="915">
                  <c:v>44620</c:v>
                </c:pt>
                <c:pt idx="916">
                  <c:v>44617</c:v>
                </c:pt>
                <c:pt idx="917">
                  <c:v>44616</c:v>
                </c:pt>
                <c:pt idx="918">
                  <c:v>44615</c:v>
                </c:pt>
                <c:pt idx="919">
                  <c:v>44614</c:v>
                </c:pt>
                <c:pt idx="920">
                  <c:v>44613</c:v>
                </c:pt>
                <c:pt idx="921">
                  <c:v>44610</c:v>
                </c:pt>
                <c:pt idx="922">
                  <c:v>44609</c:v>
                </c:pt>
                <c:pt idx="923">
                  <c:v>44608</c:v>
                </c:pt>
                <c:pt idx="924">
                  <c:v>44607</c:v>
                </c:pt>
                <c:pt idx="925">
                  <c:v>44606</c:v>
                </c:pt>
                <c:pt idx="926">
                  <c:v>44603</c:v>
                </c:pt>
                <c:pt idx="927">
                  <c:v>44602</c:v>
                </c:pt>
                <c:pt idx="928">
                  <c:v>44601</c:v>
                </c:pt>
                <c:pt idx="929">
                  <c:v>44600</c:v>
                </c:pt>
                <c:pt idx="930">
                  <c:v>44599</c:v>
                </c:pt>
                <c:pt idx="931">
                  <c:v>44596</c:v>
                </c:pt>
                <c:pt idx="932">
                  <c:v>44595</c:v>
                </c:pt>
                <c:pt idx="933">
                  <c:v>44594</c:v>
                </c:pt>
                <c:pt idx="934">
                  <c:v>44593</c:v>
                </c:pt>
                <c:pt idx="935">
                  <c:v>44592</c:v>
                </c:pt>
                <c:pt idx="936">
                  <c:v>44589</c:v>
                </c:pt>
                <c:pt idx="937">
                  <c:v>44588</c:v>
                </c:pt>
                <c:pt idx="938">
                  <c:v>44586</c:v>
                </c:pt>
                <c:pt idx="939">
                  <c:v>44585</c:v>
                </c:pt>
                <c:pt idx="940">
                  <c:v>44582</c:v>
                </c:pt>
                <c:pt idx="941">
                  <c:v>44581</c:v>
                </c:pt>
                <c:pt idx="942">
                  <c:v>44580</c:v>
                </c:pt>
                <c:pt idx="943">
                  <c:v>44579</c:v>
                </c:pt>
                <c:pt idx="944">
                  <c:v>44578</c:v>
                </c:pt>
                <c:pt idx="945">
                  <c:v>44575</c:v>
                </c:pt>
                <c:pt idx="946">
                  <c:v>44574</c:v>
                </c:pt>
                <c:pt idx="947">
                  <c:v>44573</c:v>
                </c:pt>
                <c:pt idx="948">
                  <c:v>44572</c:v>
                </c:pt>
                <c:pt idx="949">
                  <c:v>44571</c:v>
                </c:pt>
                <c:pt idx="950">
                  <c:v>44568</c:v>
                </c:pt>
                <c:pt idx="951">
                  <c:v>44567</c:v>
                </c:pt>
                <c:pt idx="952">
                  <c:v>44566</c:v>
                </c:pt>
                <c:pt idx="953">
                  <c:v>44565</c:v>
                </c:pt>
                <c:pt idx="954">
                  <c:v>44564</c:v>
                </c:pt>
                <c:pt idx="955">
                  <c:v>44561</c:v>
                </c:pt>
                <c:pt idx="956">
                  <c:v>44560</c:v>
                </c:pt>
                <c:pt idx="957">
                  <c:v>44559</c:v>
                </c:pt>
                <c:pt idx="958">
                  <c:v>44558</c:v>
                </c:pt>
                <c:pt idx="959">
                  <c:v>44557</c:v>
                </c:pt>
                <c:pt idx="960">
                  <c:v>44554</c:v>
                </c:pt>
                <c:pt idx="961">
                  <c:v>44553</c:v>
                </c:pt>
                <c:pt idx="962">
                  <c:v>44552</c:v>
                </c:pt>
                <c:pt idx="963">
                  <c:v>44551</c:v>
                </c:pt>
                <c:pt idx="964">
                  <c:v>44550</c:v>
                </c:pt>
                <c:pt idx="965">
                  <c:v>44547</c:v>
                </c:pt>
                <c:pt idx="966">
                  <c:v>44546</c:v>
                </c:pt>
                <c:pt idx="967">
                  <c:v>44545</c:v>
                </c:pt>
                <c:pt idx="968">
                  <c:v>44544</c:v>
                </c:pt>
                <c:pt idx="969">
                  <c:v>44543</c:v>
                </c:pt>
                <c:pt idx="970">
                  <c:v>44540</c:v>
                </c:pt>
                <c:pt idx="971">
                  <c:v>44539</c:v>
                </c:pt>
                <c:pt idx="972">
                  <c:v>44538</c:v>
                </c:pt>
                <c:pt idx="973">
                  <c:v>44537</c:v>
                </c:pt>
                <c:pt idx="974">
                  <c:v>44536</c:v>
                </c:pt>
                <c:pt idx="975">
                  <c:v>44533</c:v>
                </c:pt>
                <c:pt idx="976">
                  <c:v>44532</c:v>
                </c:pt>
                <c:pt idx="977">
                  <c:v>44531</c:v>
                </c:pt>
                <c:pt idx="978">
                  <c:v>44530</c:v>
                </c:pt>
                <c:pt idx="979">
                  <c:v>44529</c:v>
                </c:pt>
                <c:pt idx="980">
                  <c:v>44526</c:v>
                </c:pt>
                <c:pt idx="981">
                  <c:v>44525</c:v>
                </c:pt>
                <c:pt idx="982">
                  <c:v>44524</c:v>
                </c:pt>
                <c:pt idx="983">
                  <c:v>44523</c:v>
                </c:pt>
                <c:pt idx="984">
                  <c:v>44522</c:v>
                </c:pt>
                <c:pt idx="985">
                  <c:v>44518</c:v>
                </c:pt>
                <c:pt idx="986">
                  <c:v>44517</c:v>
                </c:pt>
                <c:pt idx="987">
                  <c:v>44516</c:v>
                </c:pt>
                <c:pt idx="988">
                  <c:v>44515</c:v>
                </c:pt>
                <c:pt idx="989">
                  <c:v>44512</c:v>
                </c:pt>
                <c:pt idx="990">
                  <c:v>44511</c:v>
                </c:pt>
                <c:pt idx="991">
                  <c:v>44510</c:v>
                </c:pt>
                <c:pt idx="992">
                  <c:v>44509</c:v>
                </c:pt>
                <c:pt idx="993">
                  <c:v>44508</c:v>
                </c:pt>
                <c:pt idx="994">
                  <c:v>44504</c:v>
                </c:pt>
                <c:pt idx="995">
                  <c:v>44503</c:v>
                </c:pt>
                <c:pt idx="996">
                  <c:v>44502</c:v>
                </c:pt>
                <c:pt idx="997">
                  <c:v>44501</c:v>
                </c:pt>
                <c:pt idx="998">
                  <c:v>44498</c:v>
                </c:pt>
                <c:pt idx="999">
                  <c:v>44497</c:v>
                </c:pt>
                <c:pt idx="1000">
                  <c:v>44496</c:v>
                </c:pt>
                <c:pt idx="1001">
                  <c:v>44495</c:v>
                </c:pt>
                <c:pt idx="1002">
                  <c:v>44494</c:v>
                </c:pt>
                <c:pt idx="1003">
                  <c:v>44491</c:v>
                </c:pt>
                <c:pt idx="1004">
                  <c:v>44490</c:v>
                </c:pt>
                <c:pt idx="1005">
                  <c:v>44489</c:v>
                </c:pt>
                <c:pt idx="1006">
                  <c:v>44488</c:v>
                </c:pt>
                <c:pt idx="1007">
                  <c:v>44487</c:v>
                </c:pt>
                <c:pt idx="1008">
                  <c:v>44483</c:v>
                </c:pt>
                <c:pt idx="1009">
                  <c:v>44482</c:v>
                </c:pt>
                <c:pt idx="1010">
                  <c:v>44481</c:v>
                </c:pt>
                <c:pt idx="1011">
                  <c:v>44480</c:v>
                </c:pt>
                <c:pt idx="1012">
                  <c:v>44477</c:v>
                </c:pt>
                <c:pt idx="1013">
                  <c:v>44476</c:v>
                </c:pt>
                <c:pt idx="1014">
                  <c:v>44475</c:v>
                </c:pt>
                <c:pt idx="1015">
                  <c:v>44474</c:v>
                </c:pt>
                <c:pt idx="1016">
                  <c:v>44473</c:v>
                </c:pt>
                <c:pt idx="1017">
                  <c:v>44470</c:v>
                </c:pt>
                <c:pt idx="1018">
                  <c:v>44469</c:v>
                </c:pt>
                <c:pt idx="1019">
                  <c:v>44468</c:v>
                </c:pt>
                <c:pt idx="1020">
                  <c:v>44467</c:v>
                </c:pt>
                <c:pt idx="1021">
                  <c:v>44466</c:v>
                </c:pt>
                <c:pt idx="1022">
                  <c:v>44463</c:v>
                </c:pt>
                <c:pt idx="1023">
                  <c:v>44462</c:v>
                </c:pt>
                <c:pt idx="1024">
                  <c:v>44461</c:v>
                </c:pt>
                <c:pt idx="1025">
                  <c:v>44460</c:v>
                </c:pt>
                <c:pt idx="1026">
                  <c:v>44459</c:v>
                </c:pt>
                <c:pt idx="1027">
                  <c:v>44456</c:v>
                </c:pt>
                <c:pt idx="1028">
                  <c:v>44455</c:v>
                </c:pt>
                <c:pt idx="1029">
                  <c:v>44454</c:v>
                </c:pt>
                <c:pt idx="1030">
                  <c:v>44453</c:v>
                </c:pt>
                <c:pt idx="1031">
                  <c:v>44452</c:v>
                </c:pt>
                <c:pt idx="1032">
                  <c:v>44448</c:v>
                </c:pt>
                <c:pt idx="1033">
                  <c:v>44447</c:v>
                </c:pt>
                <c:pt idx="1034">
                  <c:v>44446</c:v>
                </c:pt>
                <c:pt idx="1035">
                  <c:v>44445</c:v>
                </c:pt>
                <c:pt idx="1036">
                  <c:v>44442</c:v>
                </c:pt>
                <c:pt idx="1037">
                  <c:v>44441</c:v>
                </c:pt>
                <c:pt idx="1038">
                  <c:v>44440</c:v>
                </c:pt>
                <c:pt idx="1039">
                  <c:v>44439</c:v>
                </c:pt>
                <c:pt idx="1040">
                  <c:v>44438</c:v>
                </c:pt>
                <c:pt idx="1041">
                  <c:v>44435</c:v>
                </c:pt>
                <c:pt idx="1042">
                  <c:v>44434</c:v>
                </c:pt>
                <c:pt idx="1043">
                  <c:v>44433</c:v>
                </c:pt>
                <c:pt idx="1044">
                  <c:v>44432</c:v>
                </c:pt>
                <c:pt idx="1045">
                  <c:v>44431</c:v>
                </c:pt>
                <c:pt idx="1046">
                  <c:v>44428</c:v>
                </c:pt>
                <c:pt idx="1047">
                  <c:v>44426</c:v>
                </c:pt>
                <c:pt idx="1048">
                  <c:v>44425</c:v>
                </c:pt>
                <c:pt idx="1049">
                  <c:v>44424</c:v>
                </c:pt>
                <c:pt idx="1050">
                  <c:v>44421</c:v>
                </c:pt>
                <c:pt idx="1051">
                  <c:v>44420</c:v>
                </c:pt>
                <c:pt idx="1052">
                  <c:v>44419</c:v>
                </c:pt>
                <c:pt idx="1053">
                  <c:v>44418</c:v>
                </c:pt>
                <c:pt idx="1054">
                  <c:v>44417</c:v>
                </c:pt>
                <c:pt idx="1055">
                  <c:v>44414</c:v>
                </c:pt>
                <c:pt idx="1056">
                  <c:v>44413</c:v>
                </c:pt>
                <c:pt idx="1057">
                  <c:v>44412</c:v>
                </c:pt>
                <c:pt idx="1058">
                  <c:v>44411</c:v>
                </c:pt>
                <c:pt idx="1059">
                  <c:v>44410</c:v>
                </c:pt>
                <c:pt idx="1060">
                  <c:v>44407</c:v>
                </c:pt>
                <c:pt idx="1061">
                  <c:v>44406</c:v>
                </c:pt>
                <c:pt idx="1062">
                  <c:v>44405</c:v>
                </c:pt>
                <c:pt idx="1063">
                  <c:v>44404</c:v>
                </c:pt>
                <c:pt idx="1064">
                  <c:v>44403</c:v>
                </c:pt>
                <c:pt idx="1065">
                  <c:v>44400</c:v>
                </c:pt>
                <c:pt idx="1066">
                  <c:v>44399</c:v>
                </c:pt>
                <c:pt idx="1067">
                  <c:v>44397</c:v>
                </c:pt>
                <c:pt idx="1068">
                  <c:v>44396</c:v>
                </c:pt>
                <c:pt idx="1069">
                  <c:v>44393</c:v>
                </c:pt>
                <c:pt idx="1070">
                  <c:v>44392</c:v>
                </c:pt>
                <c:pt idx="1071">
                  <c:v>44391</c:v>
                </c:pt>
                <c:pt idx="1072">
                  <c:v>44390</c:v>
                </c:pt>
                <c:pt idx="1073">
                  <c:v>44389</c:v>
                </c:pt>
                <c:pt idx="1074">
                  <c:v>44386</c:v>
                </c:pt>
                <c:pt idx="1075">
                  <c:v>44385</c:v>
                </c:pt>
                <c:pt idx="1076">
                  <c:v>44384</c:v>
                </c:pt>
                <c:pt idx="1077">
                  <c:v>44383</c:v>
                </c:pt>
                <c:pt idx="1078">
                  <c:v>44382</c:v>
                </c:pt>
                <c:pt idx="1079">
                  <c:v>44379</c:v>
                </c:pt>
                <c:pt idx="1080">
                  <c:v>44378</c:v>
                </c:pt>
                <c:pt idx="1081">
                  <c:v>44377</c:v>
                </c:pt>
                <c:pt idx="1082">
                  <c:v>44376</c:v>
                </c:pt>
                <c:pt idx="1083">
                  <c:v>44375</c:v>
                </c:pt>
                <c:pt idx="1084">
                  <c:v>44372</c:v>
                </c:pt>
                <c:pt idx="1085">
                  <c:v>44371</c:v>
                </c:pt>
                <c:pt idx="1086">
                  <c:v>44370</c:v>
                </c:pt>
                <c:pt idx="1087">
                  <c:v>44369</c:v>
                </c:pt>
                <c:pt idx="1088">
                  <c:v>44368</c:v>
                </c:pt>
                <c:pt idx="1089">
                  <c:v>44365</c:v>
                </c:pt>
                <c:pt idx="1090">
                  <c:v>44364</c:v>
                </c:pt>
                <c:pt idx="1091">
                  <c:v>44363</c:v>
                </c:pt>
                <c:pt idx="1092">
                  <c:v>44362</c:v>
                </c:pt>
                <c:pt idx="1093">
                  <c:v>44361</c:v>
                </c:pt>
                <c:pt idx="1094">
                  <c:v>44358</c:v>
                </c:pt>
                <c:pt idx="1095">
                  <c:v>44357</c:v>
                </c:pt>
                <c:pt idx="1096">
                  <c:v>44356</c:v>
                </c:pt>
                <c:pt idx="1097">
                  <c:v>44355</c:v>
                </c:pt>
                <c:pt idx="1098">
                  <c:v>44354</c:v>
                </c:pt>
                <c:pt idx="1099">
                  <c:v>44351</c:v>
                </c:pt>
                <c:pt idx="1100">
                  <c:v>44350</c:v>
                </c:pt>
                <c:pt idx="1101">
                  <c:v>44349</c:v>
                </c:pt>
                <c:pt idx="1102">
                  <c:v>44348</c:v>
                </c:pt>
                <c:pt idx="1103">
                  <c:v>44347</c:v>
                </c:pt>
                <c:pt idx="1104">
                  <c:v>44344</c:v>
                </c:pt>
                <c:pt idx="1105">
                  <c:v>44343</c:v>
                </c:pt>
                <c:pt idx="1106">
                  <c:v>44342</c:v>
                </c:pt>
                <c:pt idx="1107">
                  <c:v>44341</c:v>
                </c:pt>
                <c:pt idx="1108">
                  <c:v>44340</c:v>
                </c:pt>
                <c:pt idx="1109">
                  <c:v>44337</c:v>
                </c:pt>
                <c:pt idx="1110">
                  <c:v>44336</c:v>
                </c:pt>
                <c:pt idx="1111">
                  <c:v>44335</c:v>
                </c:pt>
                <c:pt idx="1112">
                  <c:v>44334</c:v>
                </c:pt>
                <c:pt idx="1113">
                  <c:v>44333</c:v>
                </c:pt>
                <c:pt idx="1114">
                  <c:v>44330</c:v>
                </c:pt>
                <c:pt idx="1115">
                  <c:v>44328</c:v>
                </c:pt>
                <c:pt idx="1116">
                  <c:v>44327</c:v>
                </c:pt>
                <c:pt idx="1117">
                  <c:v>44326</c:v>
                </c:pt>
                <c:pt idx="1118">
                  <c:v>44323</c:v>
                </c:pt>
                <c:pt idx="1119">
                  <c:v>44322</c:v>
                </c:pt>
                <c:pt idx="1120">
                  <c:v>44321</c:v>
                </c:pt>
                <c:pt idx="1121">
                  <c:v>44320</c:v>
                </c:pt>
                <c:pt idx="1122">
                  <c:v>44319</c:v>
                </c:pt>
                <c:pt idx="1123">
                  <c:v>44316</c:v>
                </c:pt>
                <c:pt idx="1124">
                  <c:v>44315</c:v>
                </c:pt>
                <c:pt idx="1125">
                  <c:v>44314</c:v>
                </c:pt>
                <c:pt idx="1126">
                  <c:v>44313</c:v>
                </c:pt>
                <c:pt idx="1127">
                  <c:v>44312</c:v>
                </c:pt>
                <c:pt idx="1128">
                  <c:v>44309</c:v>
                </c:pt>
                <c:pt idx="1129">
                  <c:v>44308</c:v>
                </c:pt>
                <c:pt idx="1130">
                  <c:v>44306</c:v>
                </c:pt>
                <c:pt idx="1131">
                  <c:v>44305</c:v>
                </c:pt>
                <c:pt idx="1132">
                  <c:v>44302</c:v>
                </c:pt>
                <c:pt idx="1133">
                  <c:v>44301</c:v>
                </c:pt>
                <c:pt idx="1134">
                  <c:v>44299</c:v>
                </c:pt>
                <c:pt idx="1135">
                  <c:v>44298</c:v>
                </c:pt>
                <c:pt idx="1136">
                  <c:v>44295</c:v>
                </c:pt>
                <c:pt idx="1137">
                  <c:v>44294</c:v>
                </c:pt>
                <c:pt idx="1138">
                  <c:v>44293</c:v>
                </c:pt>
                <c:pt idx="1139">
                  <c:v>44292</c:v>
                </c:pt>
                <c:pt idx="1140">
                  <c:v>44291</c:v>
                </c:pt>
                <c:pt idx="1141">
                  <c:v>44287</c:v>
                </c:pt>
                <c:pt idx="1142">
                  <c:v>44286</c:v>
                </c:pt>
                <c:pt idx="1143">
                  <c:v>44285</c:v>
                </c:pt>
                <c:pt idx="1144">
                  <c:v>44281</c:v>
                </c:pt>
                <c:pt idx="1145">
                  <c:v>44280</c:v>
                </c:pt>
                <c:pt idx="1146">
                  <c:v>44279</c:v>
                </c:pt>
                <c:pt idx="1147">
                  <c:v>44278</c:v>
                </c:pt>
                <c:pt idx="1148">
                  <c:v>44277</c:v>
                </c:pt>
                <c:pt idx="1149">
                  <c:v>44274</c:v>
                </c:pt>
                <c:pt idx="1150">
                  <c:v>44273</c:v>
                </c:pt>
                <c:pt idx="1151">
                  <c:v>44272</c:v>
                </c:pt>
                <c:pt idx="1152">
                  <c:v>44271</c:v>
                </c:pt>
                <c:pt idx="1153">
                  <c:v>44270</c:v>
                </c:pt>
                <c:pt idx="1154">
                  <c:v>44267</c:v>
                </c:pt>
                <c:pt idx="1155">
                  <c:v>44265</c:v>
                </c:pt>
                <c:pt idx="1156">
                  <c:v>44264</c:v>
                </c:pt>
                <c:pt idx="1157">
                  <c:v>44263</c:v>
                </c:pt>
                <c:pt idx="1158">
                  <c:v>44260</c:v>
                </c:pt>
                <c:pt idx="1159">
                  <c:v>44259</c:v>
                </c:pt>
                <c:pt idx="1160">
                  <c:v>44258</c:v>
                </c:pt>
                <c:pt idx="1161">
                  <c:v>44257</c:v>
                </c:pt>
                <c:pt idx="1162">
                  <c:v>44256</c:v>
                </c:pt>
                <c:pt idx="1163">
                  <c:v>44253</c:v>
                </c:pt>
                <c:pt idx="1164">
                  <c:v>44252</c:v>
                </c:pt>
                <c:pt idx="1165">
                  <c:v>44251</c:v>
                </c:pt>
                <c:pt idx="1166">
                  <c:v>44250</c:v>
                </c:pt>
                <c:pt idx="1167">
                  <c:v>44249</c:v>
                </c:pt>
                <c:pt idx="1168">
                  <c:v>44246</c:v>
                </c:pt>
                <c:pt idx="1169">
                  <c:v>44245</c:v>
                </c:pt>
                <c:pt idx="1170">
                  <c:v>44244</c:v>
                </c:pt>
                <c:pt idx="1171">
                  <c:v>44243</c:v>
                </c:pt>
                <c:pt idx="1172">
                  <c:v>44242</c:v>
                </c:pt>
                <c:pt idx="1173">
                  <c:v>44239</c:v>
                </c:pt>
                <c:pt idx="1174">
                  <c:v>44238</c:v>
                </c:pt>
                <c:pt idx="1175">
                  <c:v>44237</c:v>
                </c:pt>
                <c:pt idx="1176">
                  <c:v>44236</c:v>
                </c:pt>
                <c:pt idx="1177">
                  <c:v>44235</c:v>
                </c:pt>
                <c:pt idx="1178">
                  <c:v>44232</c:v>
                </c:pt>
                <c:pt idx="1179">
                  <c:v>44231</c:v>
                </c:pt>
                <c:pt idx="1180">
                  <c:v>44230</c:v>
                </c:pt>
                <c:pt idx="1181">
                  <c:v>44229</c:v>
                </c:pt>
                <c:pt idx="1182">
                  <c:v>44228</c:v>
                </c:pt>
                <c:pt idx="1183">
                  <c:v>44225</c:v>
                </c:pt>
                <c:pt idx="1184">
                  <c:v>44224</c:v>
                </c:pt>
                <c:pt idx="1185">
                  <c:v>44223</c:v>
                </c:pt>
                <c:pt idx="1186">
                  <c:v>44221</c:v>
                </c:pt>
                <c:pt idx="1187">
                  <c:v>44218</c:v>
                </c:pt>
                <c:pt idx="1188">
                  <c:v>44217</c:v>
                </c:pt>
                <c:pt idx="1189">
                  <c:v>44216</c:v>
                </c:pt>
                <c:pt idx="1190">
                  <c:v>44215</c:v>
                </c:pt>
                <c:pt idx="1191">
                  <c:v>44214</c:v>
                </c:pt>
                <c:pt idx="1192">
                  <c:v>44211</c:v>
                </c:pt>
                <c:pt idx="1193">
                  <c:v>44210</c:v>
                </c:pt>
                <c:pt idx="1194">
                  <c:v>44209</c:v>
                </c:pt>
                <c:pt idx="1195">
                  <c:v>44208</c:v>
                </c:pt>
                <c:pt idx="1196">
                  <c:v>44207</c:v>
                </c:pt>
                <c:pt idx="1197">
                  <c:v>44204</c:v>
                </c:pt>
                <c:pt idx="1198">
                  <c:v>44203</c:v>
                </c:pt>
                <c:pt idx="1199">
                  <c:v>44202</c:v>
                </c:pt>
                <c:pt idx="1200">
                  <c:v>44201</c:v>
                </c:pt>
                <c:pt idx="1201">
                  <c:v>44200</c:v>
                </c:pt>
                <c:pt idx="1202">
                  <c:v>44197</c:v>
                </c:pt>
                <c:pt idx="1203">
                  <c:v>44196</c:v>
                </c:pt>
                <c:pt idx="1204">
                  <c:v>44195</c:v>
                </c:pt>
                <c:pt idx="1205">
                  <c:v>44194</c:v>
                </c:pt>
                <c:pt idx="1206">
                  <c:v>44193</c:v>
                </c:pt>
                <c:pt idx="1207">
                  <c:v>44189</c:v>
                </c:pt>
                <c:pt idx="1208">
                  <c:v>44188</c:v>
                </c:pt>
                <c:pt idx="1209">
                  <c:v>44187</c:v>
                </c:pt>
                <c:pt idx="1210">
                  <c:v>44186</c:v>
                </c:pt>
                <c:pt idx="1211">
                  <c:v>44183</c:v>
                </c:pt>
                <c:pt idx="1212">
                  <c:v>44182</c:v>
                </c:pt>
                <c:pt idx="1213">
                  <c:v>44181</c:v>
                </c:pt>
                <c:pt idx="1214">
                  <c:v>44180</c:v>
                </c:pt>
                <c:pt idx="1215">
                  <c:v>44179</c:v>
                </c:pt>
                <c:pt idx="1216">
                  <c:v>44176</c:v>
                </c:pt>
                <c:pt idx="1217">
                  <c:v>44175</c:v>
                </c:pt>
                <c:pt idx="1218">
                  <c:v>44174</c:v>
                </c:pt>
                <c:pt idx="1219">
                  <c:v>44173</c:v>
                </c:pt>
                <c:pt idx="1220">
                  <c:v>44172</c:v>
                </c:pt>
                <c:pt idx="1221">
                  <c:v>44169</c:v>
                </c:pt>
                <c:pt idx="1222">
                  <c:v>44168</c:v>
                </c:pt>
                <c:pt idx="1223">
                  <c:v>44167</c:v>
                </c:pt>
                <c:pt idx="1224">
                  <c:v>44166</c:v>
                </c:pt>
                <c:pt idx="1225">
                  <c:v>44162</c:v>
                </c:pt>
                <c:pt idx="1226">
                  <c:v>44161</c:v>
                </c:pt>
                <c:pt idx="1227">
                  <c:v>44160</c:v>
                </c:pt>
                <c:pt idx="1228">
                  <c:v>44159</c:v>
                </c:pt>
                <c:pt idx="1229">
                  <c:v>44158</c:v>
                </c:pt>
                <c:pt idx="1230">
                  <c:v>44155</c:v>
                </c:pt>
                <c:pt idx="1231">
                  <c:v>44154</c:v>
                </c:pt>
                <c:pt idx="1232">
                  <c:v>44153</c:v>
                </c:pt>
                <c:pt idx="1233">
                  <c:v>44152</c:v>
                </c:pt>
                <c:pt idx="1234">
                  <c:v>44149</c:v>
                </c:pt>
                <c:pt idx="1235">
                  <c:v>44148</c:v>
                </c:pt>
                <c:pt idx="1236">
                  <c:v>44147</c:v>
                </c:pt>
                <c:pt idx="1237">
                  <c:v>44146</c:v>
                </c:pt>
                <c:pt idx="1238">
                  <c:v>44145</c:v>
                </c:pt>
                <c:pt idx="1239">
                  <c:v>44144</c:v>
                </c:pt>
              </c:numCache>
            </c:numRef>
          </c:cat>
          <c:val>
            <c:numRef>
              <c:f>'Bajaj Finserv'!$M$3:$M$1619</c:f>
              <c:numCache>
                <c:formatCode>0%</c:formatCode>
                <c:ptCount val="1617"/>
                <c:pt idx="0">
                  <c:v>1.3451019351500171E-2</c:v>
                </c:pt>
                <c:pt idx="1">
                  <c:v>9.1214833759049041E-3</c:v>
                </c:pt>
                <c:pt idx="2">
                  <c:v>1.9159053092501765E-2</c:v>
                </c:pt>
                <c:pt idx="3">
                  <c:v>1.701423690215087E-3</c:v>
                </c:pt>
                <c:pt idx="4">
                  <c:v>-1.6076314682327286E-3</c:v>
                </c:pt>
                <c:pt idx="5">
                  <c:v>-5.2553287862759923E-3</c:v>
                </c:pt>
                <c:pt idx="6">
                  <c:v>-5.1318855657536133E-3</c:v>
                </c:pt>
                <c:pt idx="7">
                  <c:v>3.8560053519541837E-3</c:v>
                </c:pt>
                <c:pt idx="8">
                  <c:v>-7.221746525292172E-4</c:v>
                </c:pt>
                <c:pt idx="9">
                  <c:v>8.5765432727344937E-3</c:v>
                </c:pt>
                <c:pt idx="10">
                  <c:v>5.5670728599614971E-3</c:v>
                </c:pt>
                <c:pt idx="11">
                  <c:v>1.4879924302384495E-3</c:v>
                </c:pt>
                <c:pt idx="12">
                  <c:v>1.0217457847898848E-2</c:v>
                </c:pt>
                <c:pt idx="13">
                  <c:v>2.6701246424783109E-2</c:v>
                </c:pt>
                <c:pt idx="14">
                  <c:v>1.9092404986599476E-2</c:v>
                </c:pt>
                <c:pt idx="15">
                  <c:v>1.7387248524265431E-2</c:v>
                </c:pt>
                <c:pt idx="16">
                  <c:v>9.0366837542648071E-3</c:v>
                </c:pt>
                <c:pt idx="17">
                  <c:v>2.5673231565869203E-2</c:v>
                </c:pt>
                <c:pt idx="18">
                  <c:v>2.0885962164751692E-2</c:v>
                </c:pt>
                <c:pt idx="19">
                  <c:v>1.6847470545681142E-2</c:v>
                </c:pt>
                <c:pt idx="20">
                  <c:v>1.6134169343040239E-2</c:v>
                </c:pt>
                <c:pt idx="21">
                  <c:v>1.8703769560913797E-3</c:v>
                </c:pt>
                <c:pt idx="22">
                  <c:v>-8.0003089134754735E-3</c:v>
                </c:pt>
                <c:pt idx="23">
                  <c:v>-1.0527621893321903E-2</c:v>
                </c:pt>
                <c:pt idx="24">
                  <c:v>-1.6752074087752922E-2</c:v>
                </c:pt>
                <c:pt idx="25">
                  <c:v>-5.026296628460436E-3</c:v>
                </c:pt>
                <c:pt idx="26">
                  <c:v>-1.962004631970693E-2</c:v>
                </c:pt>
                <c:pt idx="27">
                  <c:v>-1.6948157470326963E-2</c:v>
                </c:pt>
                <c:pt idx="28">
                  <c:v>-4.9085797887136184E-3</c:v>
                </c:pt>
                <c:pt idx="29">
                  <c:v>-4.2474315856240175E-3</c:v>
                </c:pt>
                <c:pt idx="30">
                  <c:v>-1.6014961709604147E-2</c:v>
                </c:pt>
                <c:pt idx="31">
                  <c:v>-2.8702317094194019E-2</c:v>
                </c:pt>
                <c:pt idx="32">
                  <c:v>-4.1338763179771032E-2</c:v>
                </c:pt>
                <c:pt idx="33">
                  <c:v>-3.6667344499348609E-2</c:v>
                </c:pt>
                <c:pt idx="34">
                  <c:v>-2.1831546406718472E-2</c:v>
                </c:pt>
                <c:pt idx="35">
                  <c:v>-3.6912824008480838E-2</c:v>
                </c:pt>
                <c:pt idx="36">
                  <c:v>-2.9479100987315654E-2</c:v>
                </c:pt>
                <c:pt idx="37">
                  <c:v>-3.8128628442767321E-2</c:v>
                </c:pt>
                <c:pt idx="38">
                  <c:v>-4.9782776336309009E-2</c:v>
                </c:pt>
                <c:pt idx="39">
                  <c:v>-5.2550839920108006E-2</c:v>
                </c:pt>
                <c:pt idx="40">
                  <c:v>-6.7788984014959031E-2</c:v>
                </c:pt>
                <c:pt idx="41">
                  <c:v>-6.3589487604708284E-2</c:v>
                </c:pt>
                <c:pt idx="42">
                  <c:v>-7.4195986832537475E-2</c:v>
                </c:pt>
                <c:pt idx="43">
                  <c:v>-7.1047615574878709E-2</c:v>
                </c:pt>
                <c:pt idx="44">
                  <c:v>-9.6838634302652382E-2</c:v>
                </c:pt>
                <c:pt idx="45">
                  <c:v>-9.8365933939625894E-2</c:v>
                </c:pt>
                <c:pt idx="46">
                  <c:v>-9.3851875276234509E-2</c:v>
                </c:pt>
                <c:pt idx="47">
                  <c:v>-8.952642287600443E-2</c:v>
                </c:pt>
                <c:pt idx="48">
                  <c:v>-9.1855083097831303E-2</c:v>
                </c:pt>
                <c:pt idx="49">
                  <c:v>-9.7846303460432882E-2</c:v>
                </c:pt>
                <c:pt idx="50">
                  <c:v>-9.0411548587788548E-2</c:v>
                </c:pt>
                <c:pt idx="51">
                  <c:v>-9.8603654778163907E-2</c:v>
                </c:pt>
                <c:pt idx="52">
                  <c:v>-0.10507640064587731</c:v>
                </c:pt>
                <c:pt idx="53">
                  <c:v>-0.10275441418235909</c:v>
                </c:pt>
                <c:pt idx="54">
                  <c:v>-9.2649648698478249E-2</c:v>
                </c:pt>
                <c:pt idx="55">
                  <c:v>-0.10155579111612956</c:v>
                </c:pt>
                <c:pt idx="56">
                  <c:v>-0.11668867701422236</c:v>
                </c:pt>
                <c:pt idx="57">
                  <c:v>-0.11216385727274636</c:v>
                </c:pt>
                <c:pt idx="58">
                  <c:v>-0.11881337946198434</c:v>
                </c:pt>
                <c:pt idx="59">
                  <c:v>-9.576047412849209E-2</c:v>
                </c:pt>
                <c:pt idx="60">
                  <c:v>-9.4057410417079712E-2</c:v>
                </c:pt>
                <c:pt idx="61">
                  <c:v>-8.9054856461222132E-2</c:v>
                </c:pt>
                <c:pt idx="62">
                  <c:v>-9.7555474585014679E-2</c:v>
                </c:pt>
                <c:pt idx="63">
                  <c:v>-8.798987172792927E-2</c:v>
                </c:pt>
                <c:pt idx="64">
                  <c:v>-9.1955773460783652E-2</c:v>
                </c:pt>
                <c:pt idx="65">
                  <c:v>-9.2435792350878287E-2</c:v>
                </c:pt>
                <c:pt idx="66">
                  <c:v>-0.10617576964809938</c:v>
                </c:pt>
                <c:pt idx="67">
                  <c:v>-0.10722063043006513</c:v>
                </c:pt>
                <c:pt idx="68">
                  <c:v>-0.11319100957974215</c:v>
                </c:pt>
                <c:pt idx="69">
                  <c:v>-0.1228608827932407</c:v>
                </c:pt>
                <c:pt idx="70">
                  <c:v>-8.6786470942779026E-2</c:v>
                </c:pt>
                <c:pt idx="71">
                  <c:v>-5.9641690237176803E-2</c:v>
                </c:pt>
                <c:pt idx="72">
                  <c:v>-6.4499915650422679E-2</c:v>
                </c:pt>
                <c:pt idx="73">
                  <c:v>-7.0739168375529182E-2</c:v>
                </c:pt>
                <c:pt idx="74">
                  <c:v>-8.2273256626212099E-2</c:v>
                </c:pt>
                <c:pt idx="75">
                  <c:v>-7.7529497732408359E-2</c:v>
                </c:pt>
                <c:pt idx="76">
                  <c:v>-9.6975782560007939E-2</c:v>
                </c:pt>
                <c:pt idx="77">
                  <c:v>-0.10437439294303208</c:v>
                </c:pt>
                <c:pt idx="78">
                  <c:v>-9.7712601128758569E-2</c:v>
                </c:pt>
                <c:pt idx="79">
                  <c:v>-9.0368339639408601E-2</c:v>
                </c:pt>
                <c:pt idx="80">
                  <c:v>-8.0403991268046759E-2</c:v>
                </c:pt>
                <c:pt idx="81">
                  <c:v>-7.6621417438589745E-2</c:v>
                </c:pt>
                <c:pt idx="82">
                  <c:v>-7.7356302073516847E-2</c:v>
                </c:pt>
                <c:pt idx="83">
                  <c:v>-8.7901826402755567E-2</c:v>
                </c:pt>
                <c:pt idx="84">
                  <c:v>-8.5413707149849305E-2</c:v>
                </c:pt>
                <c:pt idx="85">
                  <c:v>-7.7620270168173411E-2</c:v>
                </c:pt>
                <c:pt idx="86">
                  <c:v>-8.7451433638296328E-2</c:v>
                </c:pt>
                <c:pt idx="87">
                  <c:v>-8.8407696331117114E-2</c:v>
                </c:pt>
                <c:pt idx="88">
                  <c:v>-9.6308964272092901E-2</c:v>
                </c:pt>
                <c:pt idx="89">
                  <c:v>-9.735981808988825E-2</c:v>
                </c:pt>
                <c:pt idx="90">
                  <c:v>-7.931149544653926E-2</c:v>
                </c:pt>
                <c:pt idx="91">
                  <c:v>-7.8746226533003005E-2</c:v>
                </c:pt>
                <c:pt idx="92">
                  <c:v>-8.3435252516565805E-2</c:v>
                </c:pt>
                <c:pt idx="93">
                  <c:v>-9.6467872665771726E-2</c:v>
                </c:pt>
                <c:pt idx="94">
                  <c:v>-9.1117932307122285E-2</c:v>
                </c:pt>
                <c:pt idx="95">
                  <c:v>-9.6382328669881279E-2</c:v>
                </c:pt>
                <c:pt idx="96">
                  <c:v>-9.3104213575646355E-2</c:v>
                </c:pt>
                <c:pt idx="97">
                  <c:v>-7.7919056430441946E-2</c:v>
                </c:pt>
                <c:pt idx="98">
                  <c:v>-8.5674484228722037E-2</c:v>
                </c:pt>
                <c:pt idx="99">
                  <c:v>-8.1574035740439532E-2</c:v>
                </c:pt>
                <c:pt idx="100">
                  <c:v>-7.7355299806548539E-2</c:v>
                </c:pt>
                <c:pt idx="101">
                  <c:v>-8.2496054148586628E-2</c:v>
                </c:pt>
                <c:pt idx="102">
                  <c:v>-6.7834263907872616E-2</c:v>
                </c:pt>
                <c:pt idx="103">
                  <c:v>-5.2267323763976137E-2</c:v>
                </c:pt>
                <c:pt idx="104">
                  <c:v>-4.9790401669855155E-2</c:v>
                </c:pt>
                <c:pt idx="105">
                  <c:v>-6.1413076727189653E-2</c:v>
                </c:pt>
                <c:pt idx="106">
                  <c:v>-8.8070924242014792E-2</c:v>
                </c:pt>
                <c:pt idx="107">
                  <c:v>-8.8610070764043813E-2</c:v>
                </c:pt>
                <c:pt idx="108">
                  <c:v>-0.10932407202612504</c:v>
                </c:pt>
                <c:pt idx="109">
                  <c:v>-0.11128636162635042</c:v>
                </c:pt>
                <c:pt idx="110">
                  <c:v>-9.8743846349733877E-2</c:v>
                </c:pt>
                <c:pt idx="111">
                  <c:v>-9.2547277496535019E-2</c:v>
                </c:pt>
                <c:pt idx="112">
                  <c:v>-9.0219244753515948E-2</c:v>
                </c:pt>
                <c:pt idx="113">
                  <c:v>-0.10677664961677946</c:v>
                </c:pt>
                <c:pt idx="114">
                  <c:v>-0.10667191846604429</c:v>
                </c:pt>
                <c:pt idx="115">
                  <c:v>-0.10231142231194212</c:v>
                </c:pt>
                <c:pt idx="116">
                  <c:v>-9.4234551056046501E-2</c:v>
                </c:pt>
                <c:pt idx="117">
                  <c:v>-0.10712789231591446</c:v>
                </c:pt>
                <c:pt idx="118">
                  <c:v>-0.10275587061234592</c:v>
                </c:pt>
                <c:pt idx="119">
                  <c:v>-0.10120253079971553</c:v>
                </c:pt>
                <c:pt idx="120">
                  <c:v>-0.10944978138378181</c:v>
                </c:pt>
                <c:pt idx="121">
                  <c:v>-0.11164326031190153</c:v>
                </c:pt>
                <c:pt idx="122">
                  <c:v>-0.11219801110874394</c:v>
                </c:pt>
                <c:pt idx="123">
                  <c:v>-0.11610685993024616</c:v>
                </c:pt>
                <c:pt idx="124">
                  <c:v>-0.13729774633292346</c:v>
                </c:pt>
                <c:pt idx="125">
                  <c:v>-0.14038583945750904</c:v>
                </c:pt>
                <c:pt idx="126">
                  <c:v>-0.13743950373044789</c:v>
                </c:pt>
                <c:pt idx="127">
                  <c:v>-0.12914819548478484</c:v>
                </c:pt>
                <c:pt idx="128">
                  <c:v>-0.15537667489630391</c:v>
                </c:pt>
                <c:pt idx="129">
                  <c:v>-0.13391639527961918</c:v>
                </c:pt>
                <c:pt idx="130">
                  <c:v>-0.10430765471546333</c:v>
                </c:pt>
                <c:pt idx="131">
                  <c:v>-0.13061438371075895</c:v>
                </c:pt>
                <c:pt idx="132">
                  <c:v>-0.1361426731491262</c:v>
                </c:pt>
                <c:pt idx="133">
                  <c:v>-0.12686734425616453</c:v>
                </c:pt>
                <c:pt idx="134">
                  <c:v>-0.1226265504492472</c:v>
                </c:pt>
                <c:pt idx="135">
                  <c:v>-0.13235775825007301</c:v>
                </c:pt>
                <c:pt idx="136">
                  <c:v>-0.1260443498386159</c:v>
                </c:pt>
                <c:pt idx="137">
                  <c:v>-0.12137834983837026</c:v>
                </c:pt>
                <c:pt idx="138">
                  <c:v>-0.13510864592926208</c:v>
                </c:pt>
                <c:pt idx="139">
                  <c:v>-0.10982210301520179</c:v>
                </c:pt>
                <c:pt idx="140">
                  <c:v>-8.7943079424288806E-2</c:v>
                </c:pt>
                <c:pt idx="141">
                  <c:v>-7.6426862656341576E-2</c:v>
                </c:pt>
                <c:pt idx="142">
                  <c:v>-8.9976244360484348E-2</c:v>
                </c:pt>
                <c:pt idx="143">
                  <c:v>-8.6690164901786604E-2</c:v>
                </c:pt>
                <c:pt idx="144">
                  <c:v>-7.8878412784450846E-2</c:v>
                </c:pt>
                <c:pt idx="145">
                  <c:v>-8.1149056696711908E-2</c:v>
                </c:pt>
                <c:pt idx="146">
                  <c:v>-9.6494342522661869E-2</c:v>
                </c:pt>
                <c:pt idx="147">
                  <c:v>-0.11720845587703055</c:v>
                </c:pt>
                <c:pt idx="148">
                  <c:v>-0.11209982952769226</c:v>
                </c:pt>
                <c:pt idx="149">
                  <c:v>-0.1135155312260665</c:v>
                </c:pt>
                <c:pt idx="150">
                  <c:v>-0.12098804826505405</c:v>
                </c:pt>
                <c:pt idx="151">
                  <c:v>-0.11603509159222636</c:v>
                </c:pt>
                <c:pt idx="152">
                  <c:v>-9.5904483672675678E-2</c:v>
                </c:pt>
                <c:pt idx="153">
                  <c:v>-7.2814202572639264E-2</c:v>
                </c:pt>
                <c:pt idx="154">
                  <c:v>-4.1858410118103651E-2</c:v>
                </c:pt>
                <c:pt idx="155">
                  <c:v>-3.4894109119758543E-2</c:v>
                </c:pt>
                <c:pt idx="156">
                  <c:v>-6.662150818514645E-2</c:v>
                </c:pt>
                <c:pt idx="157">
                  <c:v>-5.41255752971459E-2</c:v>
                </c:pt>
                <c:pt idx="158">
                  <c:v>-6.2997903556252899E-2</c:v>
                </c:pt>
                <c:pt idx="159">
                  <c:v>-9.1005675803850883E-2</c:v>
                </c:pt>
                <c:pt idx="160">
                  <c:v>-7.3287283597322839E-2</c:v>
                </c:pt>
                <c:pt idx="161">
                  <c:v>-7.1375791771516317E-2</c:v>
                </c:pt>
                <c:pt idx="162">
                  <c:v>-8.2305180704853598E-2</c:v>
                </c:pt>
                <c:pt idx="163">
                  <c:v>-0.10213166498447879</c:v>
                </c:pt>
                <c:pt idx="164">
                  <c:v>-9.8905665819434274E-2</c:v>
                </c:pt>
                <c:pt idx="165">
                  <c:v>-9.8018251689846458E-2</c:v>
                </c:pt>
                <c:pt idx="166">
                  <c:v>-8.454925835231264E-2</c:v>
                </c:pt>
                <c:pt idx="167">
                  <c:v>-4.2441627757315858E-2</c:v>
                </c:pt>
                <c:pt idx="168">
                  <c:v>-6.5457047954826653E-2</c:v>
                </c:pt>
                <c:pt idx="169">
                  <c:v>-9.650029773125568E-2</c:v>
                </c:pt>
                <c:pt idx="170">
                  <c:v>-0.10682228106687086</c:v>
                </c:pt>
                <c:pt idx="171">
                  <c:v>-0.10467384441305971</c:v>
                </c:pt>
                <c:pt idx="172">
                  <c:v>-0.11184055319980035</c:v>
                </c:pt>
                <c:pt idx="173">
                  <c:v>-0.11881307307034672</c:v>
                </c:pt>
                <c:pt idx="174">
                  <c:v>-0.12000241590623939</c:v>
                </c:pt>
                <c:pt idx="175">
                  <c:v>-0.11070275398672869</c:v>
                </c:pt>
                <c:pt idx="176">
                  <c:v>-0.11906075656384663</c:v>
                </c:pt>
                <c:pt idx="177">
                  <c:v>-0.1232712007972101</c:v>
                </c:pt>
                <c:pt idx="178">
                  <c:v>-9.6990150949129328E-2</c:v>
                </c:pt>
                <c:pt idx="179">
                  <c:v>-0.10015996331369403</c:v>
                </c:pt>
                <c:pt idx="180">
                  <c:v>-8.7633240135409851E-2</c:v>
                </c:pt>
                <c:pt idx="181">
                  <c:v>-6.5471157776773481E-2</c:v>
                </c:pt>
                <c:pt idx="182">
                  <c:v>-8.2024362563402287E-2</c:v>
                </c:pt>
                <c:pt idx="183">
                  <c:v>-6.1262643759308455E-2</c:v>
                </c:pt>
                <c:pt idx="184">
                  <c:v>-5.0595621899322873E-2</c:v>
                </c:pt>
                <c:pt idx="185">
                  <c:v>-5.5631418003773359E-2</c:v>
                </c:pt>
                <c:pt idx="186">
                  <c:v>-6.9827473515109206E-2</c:v>
                </c:pt>
                <c:pt idx="187">
                  <c:v>-6.5286856295211582E-2</c:v>
                </c:pt>
                <c:pt idx="188">
                  <c:v>-9.6343670939015302E-2</c:v>
                </c:pt>
                <c:pt idx="189">
                  <c:v>-0.1016625465374712</c:v>
                </c:pt>
                <c:pt idx="190">
                  <c:v>-0.10452463654226563</c:v>
                </c:pt>
                <c:pt idx="191">
                  <c:v>-0.15344081166049328</c:v>
                </c:pt>
                <c:pt idx="192">
                  <c:v>-0.16256933581492516</c:v>
                </c:pt>
                <c:pt idx="193">
                  <c:v>-0.17367222376551417</c:v>
                </c:pt>
                <c:pt idx="194">
                  <c:v>-0.16193941573821058</c:v>
                </c:pt>
                <c:pt idx="195">
                  <c:v>-0.17268405458915592</c:v>
                </c:pt>
                <c:pt idx="196">
                  <c:v>-0.17956036084713567</c:v>
                </c:pt>
                <c:pt idx="197">
                  <c:v>-0.17732098402482599</c:v>
                </c:pt>
                <c:pt idx="198">
                  <c:v>-0.16628298307348444</c:v>
                </c:pt>
                <c:pt idx="199">
                  <c:v>-0.17078208253825911</c:v>
                </c:pt>
                <c:pt idx="200">
                  <c:v>-0.16848539734742185</c:v>
                </c:pt>
                <c:pt idx="201">
                  <c:v>-0.16525250400566738</c:v>
                </c:pt>
                <c:pt idx="202">
                  <c:v>-0.16747824871367989</c:v>
                </c:pt>
                <c:pt idx="203">
                  <c:v>-0.17172172487348725</c:v>
                </c:pt>
                <c:pt idx="204">
                  <c:v>-0.1680854743660154</c:v>
                </c:pt>
                <c:pt idx="205">
                  <c:v>-0.16164690899025036</c:v>
                </c:pt>
                <c:pt idx="206">
                  <c:v>-0.1536562745382557</c:v>
                </c:pt>
                <c:pt idx="207">
                  <c:v>-0.1446690454416657</c:v>
                </c:pt>
                <c:pt idx="208">
                  <c:v>-0.1465378141197653</c:v>
                </c:pt>
                <c:pt idx="209">
                  <c:v>-0.14739717784902528</c:v>
                </c:pt>
                <c:pt idx="210">
                  <c:v>-0.15116129078968932</c:v>
                </c:pt>
                <c:pt idx="211">
                  <c:v>-0.13669130949719643</c:v>
                </c:pt>
                <c:pt idx="212">
                  <c:v>-0.14951805121180195</c:v>
                </c:pt>
                <c:pt idx="213">
                  <c:v>-0.1442583142623155</c:v>
                </c:pt>
                <c:pt idx="214">
                  <c:v>-0.14243373821848238</c:v>
                </c:pt>
                <c:pt idx="215">
                  <c:v>-0.14429496952239806</c:v>
                </c:pt>
                <c:pt idx="216">
                  <c:v>-0.14940887223613264</c:v>
                </c:pt>
                <c:pt idx="217">
                  <c:v>-0.13916899986421005</c:v>
                </c:pt>
                <c:pt idx="218">
                  <c:v>-0.14776692541094927</c:v>
                </c:pt>
                <c:pt idx="219">
                  <c:v>-0.1499383493164228</c:v>
                </c:pt>
                <c:pt idx="220">
                  <c:v>-0.15295847802203388</c:v>
                </c:pt>
                <c:pt idx="221">
                  <c:v>-0.14871571511034931</c:v>
                </c:pt>
                <c:pt idx="222">
                  <c:v>-0.16041573979870516</c:v>
                </c:pt>
                <c:pt idx="223">
                  <c:v>-0.16877482356994489</c:v>
                </c:pt>
                <c:pt idx="224">
                  <c:v>-0.17887227764299651</c:v>
                </c:pt>
                <c:pt idx="225">
                  <c:v>-0.18391185380838659</c:v>
                </c:pt>
                <c:pt idx="226">
                  <c:v>-0.19996733075969675</c:v>
                </c:pt>
                <c:pt idx="227">
                  <c:v>-0.19246400960211574</c:v>
                </c:pt>
                <c:pt idx="228">
                  <c:v>-0.1927811179647172</c:v>
                </c:pt>
                <c:pt idx="229">
                  <c:v>-0.20105279389472841</c:v>
                </c:pt>
                <c:pt idx="230">
                  <c:v>-0.20979100629558056</c:v>
                </c:pt>
                <c:pt idx="231">
                  <c:v>-0.2046527372455802</c:v>
                </c:pt>
                <c:pt idx="232">
                  <c:v>-0.20053023406822601</c:v>
                </c:pt>
                <c:pt idx="233">
                  <c:v>-0.20717282268588599</c:v>
                </c:pt>
                <c:pt idx="234">
                  <c:v>-0.21489056732857925</c:v>
                </c:pt>
                <c:pt idx="235">
                  <c:v>-0.19957505512352292</c:v>
                </c:pt>
                <c:pt idx="236">
                  <c:v>-0.21081299966962508</c:v>
                </c:pt>
                <c:pt idx="237">
                  <c:v>-0.20649925509067191</c:v>
                </c:pt>
                <c:pt idx="238">
                  <c:v>-0.20386999329076128</c:v>
                </c:pt>
                <c:pt idx="239">
                  <c:v>-0.21941251461769906</c:v>
                </c:pt>
                <c:pt idx="240">
                  <c:v>-0.21406205116488897</c:v>
                </c:pt>
                <c:pt idx="241">
                  <c:v>-0.23640169122460342</c:v>
                </c:pt>
                <c:pt idx="242">
                  <c:v>-0.25759267774015826</c:v>
                </c:pt>
                <c:pt idx="243">
                  <c:v>-0.27422043397347839</c:v>
                </c:pt>
                <c:pt idx="244">
                  <c:v>-0.27911507740995378</c:v>
                </c:pt>
                <c:pt idx="245">
                  <c:v>-0.27301200347150067</c:v>
                </c:pt>
                <c:pt idx="246">
                  <c:v>-0.26796189467918952</c:v>
                </c:pt>
                <c:pt idx="247">
                  <c:v>-0.25886380254074881</c:v>
                </c:pt>
                <c:pt idx="248">
                  <c:v>-0.25443290695874143</c:v>
                </c:pt>
                <c:pt idx="249">
                  <c:v>-0.25920307534143561</c:v>
                </c:pt>
                <c:pt idx="250">
                  <c:v>-0.25718003687349422</c:v>
                </c:pt>
                <c:pt idx="251">
                  <c:v>-0.27383602381903294</c:v>
                </c:pt>
                <c:pt idx="252">
                  <c:v>-0.27731788503822519</c:v>
                </c:pt>
                <c:pt idx="253">
                  <c:v>-0.26489008723126828</c:v>
                </c:pt>
                <c:pt idx="254">
                  <c:v>-0.26574117404642128</c:v>
                </c:pt>
                <c:pt idx="255">
                  <c:v>-0.25870896524955</c:v>
                </c:pt>
                <c:pt idx="256">
                  <c:v>-0.24190380066695805</c:v>
                </c:pt>
                <c:pt idx="257">
                  <c:v>-0.24313946878396164</c:v>
                </c:pt>
                <c:pt idx="258">
                  <c:v>-0.24956641967963122</c:v>
                </c:pt>
                <c:pt idx="259">
                  <c:v>-0.29683423780183027</c:v>
                </c:pt>
                <c:pt idx="260">
                  <c:v>-0.30269407634595469</c:v>
                </c:pt>
                <c:pt idx="261">
                  <c:v>-0.32584249576708646</c:v>
                </c:pt>
                <c:pt idx="262">
                  <c:v>-0.32127660535387359</c:v>
                </c:pt>
                <c:pt idx="263">
                  <c:v>-0.34178353116227078</c:v>
                </c:pt>
                <c:pt idx="264">
                  <c:v>-0.32884088195855488</c:v>
                </c:pt>
                <c:pt idx="265">
                  <c:v>-0.30113306626575365</c:v>
                </c:pt>
                <c:pt idx="266">
                  <c:v>-0.29169228240985023</c:v>
                </c:pt>
                <c:pt idx="267">
                  <c:v>-0.2875371571178289</c:v>
                </c:pt>
                <c:pt idx="268">
                  <c:v>-0.28406875034224721</c:v>
                </c:pt>
                <c:pt idx="269">
                  <c:v>-0.28391242477149969</c:v>
                </c:pt>
                <c:pt idx="270">
                  <c:v>-0.29903879805000999</c:v>
                </c:pt>
                <c:pt idx="271">
                  <c:v>-0.31237429493804236</c:v>
                </c:pt>
                <c:pt idx="272">
                  <c:v>-0.29340604402883508</c:v>
                </c:pt>
                <c:pt idx="273">
                  <c:v>-0.28826106117328143</c:v>
                </c:pt>
                <c:pt idx="274">
                  <c:v>-0.28718615072902431</c:v>
                </c:pt>
                <c:pt idx="275">
                  <c:v>-0.30273011688056561</c:v>
                </c:pt>
                <c:pt idx="276">
                  <c:v>-0.28234514009481049</c:v>
                </c:pt>
                <c:pt idx="277">
                  <c:v>-0.26975484098606062</c:v>
                </c:pt>
                <c:pt idx="278">
                  <c:v>-0.26735751406295583</c:v>
                </c:pt>
                <c:pt idx="279">
                  <c:v>-0.27070322774365763</c:v>
                </c:pt>
                <c:pt idx="280">
                  <c:v>-0.2704822578999091</c:v>
                </c:pt>
                <c:pt idx="281">
                  <c:v>-0.25231789059998277</c:v>
                </c:pt>
                <c:pt idx="282">
                  <c:v>-0.24276938876772247</c:v>
                </c:pt>
                <c:pt idx="283">
                  <c:v>-0.26146903320110648</c:v>
                </c:pt>
                <c:pt idx="284">
                  <c:v>-0.27172519650335758</c:v>
                </c:pt>
                <c:pt idx="285">
                  <c:v>-0.25267005023288314</c:v>
                </c:pt>
                <c:pt idx="286">
                  <c:v>-0.25439628790648983</c:v>
                </c:pt>
                <c:pt idx="287">
                  <c:v>-0.25298376477333839</c:v>
                </c:pt>
                <c:pt idx="288">
                  <c:v>-0.26691029063911587</c:v>
                </c:pt>
                <c:pt idx="289">
                  <c:v>-0.27150168619022863</c:v>
                </c:pt>
                <c:pt idx="290">
                  <c:v>-0.27508158531418903</c:v>
                </c:pt>
                <c:pt idx="291">
                  <c:v>-0.29349408486964501</c:v>
                </c:pt>
                <c:pt idx="292">
                  <c:v>-0.28895463910455432</c:v>
                </c:pt>
                <c:pt idx="293">
                  <c:v>-0.27412347573083862</c:v>
                </c:pt>
                <c:pt idx="294">
                  <c:v>-0.24358576042527247</c:v>
                </c:pt>
                <c:pt idx="295">
                  <c:v>-0.24299743625698267</c:v>
                </c:pt>
                <c:pt idx="296">
                  <c:v>-0.24882871374532844</c:v>
                </c:pt>
                <c:pt idx="297">
                  <c:v>-0.24857740491274227</c:v>
                </c:pt>
                <c:pt idx="298">
                  <c:v>-0.26044485482691249</c:v>
                </c:pt>
                <c:pt idx="299">
                  <c:v>-0.25089432511641752</c:v>
                </c:pt>
                <c:pt idx="300">
                  <c:v>-0.22372305363594802</c:v>
                </c:pt>
                <c:pt idx="301">
                  <c:v>-0.2121724203293982</c:v>
                </c:pt>
                <c:pt idx="302">
                  <c:v>-0.20842455478045019</c:v>
                </c:pt>
                <c:pt idx="303">
                  <c:v>-0.19769596369333797</c:v>
                </c:pt>
                <c:pt idx="304">
                  <c:v>-0.17824742526640414</c:v>
                </c:pt>
                <c:pt idx="305">
                  <c:v>-0.18189642058070454</c:v>
                </c:pt>
                <c:pt idx="306">
                  <c:v>-0.1893689746081153</c:v>
                </c:pt>
                <c:pt idx="307">
                  <c:v>-0.19978017549851512</c:v>
                </c:pt>
                <c:pt idx="308">
                  <c:v>-0.18490520905338093</c:v>
                </c:pt>
                <c:pt idx="309">
                  <c:v>-0.18444863133089773</c:v>
                </c:pt>
                <c:pt idx="310">
                  <c:v>-0.17714516506562195</c:v>
                </c:pt>
                <c:pt idx="311">
                  <c:v>-0.18974146308582518</c:v>
                </c:pt>
                <c:pt idx="312">
                  <c:v>-0.20167939242217492</c:v>
                </c:pt>
                <c:pt idx="313">
                  <c:v>-0.19421804902297657</c:v>
                </c:pt>
                <c:pt idx="314">
                  <c:v>-0.21348319519525938</c:v>
                </c:pt>
                <c:pt idx="315">
                  <c:v>-0.2122797378634993</c:v>
                </c:pt>
                <c:pt idx="316">
                  <c:v>-0.22028026581106475</c:v>
                </c:pt>
                <c:pt idx="317">
                  <c:v>-0.20997036459259877</c:v>
                </c:pt>
                <c:pt idx="318">
                  <c:v>-0.19299441840247411</c:v>
                </c:pt>
                <c:pt idx="319">
                  <c:v>-0.17392851777832696</c:v>
                </c:pt>
                <c:pt idx="320">
                  <c:v>-0.18766477893256739</c:v>
                </c:pt>
                <c:pt idx="321">
                  <c:v>-0.19999372328722842</c:v>
                </c:pt>
                <c:pt idx="322">
                  <c:v>-0.20760248001006043</c:v>
                </c:pt>
                <c:pt idx="323">
                  <c:v>-0.19121277792797153</c:v>
                </c:pt>
                <c:pt idx="324">
                  <c:v>-0.1883291046191502</c:v>
                </c:pt>
                <c:pt idx="325">
                  <c:v>-0.16761792140326959</c:v>
                </c:pt>
                <c:pt idx="326">
                  <c:v>-0.14489925485252075</c:v>
                </c:pt>
                <c:pt idx="327">
                  <c:v>-0.14038750737678551</c:v>
                </c:pt>
                <c:pt idx="328">
                  <c:v>-0.14563124440470143</c:v>
                </c:pt>
                <c:pt idx="329">
                  <c:v>-0.14801633396828517</c:v>
                </c:pt>
                <c:pt idx="330">
                  <c:v>-0.12715632298303636</c:v>
                </c:pt>
                <c:pt idx="331">
                  <c:v>-0.12484191361432218</c:v>
                </c:pt>
                <c:pt idx="332">
                  <c:v>-0.11041231743891822</c:v>
                </c:pt>
                <c:pt idx="333">
                  <c:v>-0.11214252234863942</c:v>
                </c:pt>
                <c:pt idx="334">
                  <c:v>-0.11941253345129743</c:v>
                </c:pt>
                <c:pt idx="335">
                  <c:v>-0.10499958878421145</c:v>
                </c:pt>
                <c:pt idx="336">
                  <c:v>-0.10845510295558958</c:v>
                </c:pt>
                <c:pt idx="337">
                  <c:v>-9.1455281598845417E-2</c:v>
                </c:pt>
                <c:pt idx="338">
                  <c:v>-0.12132444728654979</c:v>
                </c:pt>
                <c:pt idx="339">
                  <c:v>-0.12347862046692759</c:v>
                </c:pt>
                <c:pt idx="340">
                  <c:v>-0.12412664586585453</c:v>
                </c:pt>
                <c:pt idx="341">
                  <c:v>-0.13799483251760769</c:v>
                </c:pt>
                <c:pt idx="342">
                  <c:v>-0.12649699115535529</c:v>
                </c:pt>
                <c:pt idx="343">
                  <c:v>-0.11256903929756357</c:v>
                </c:pt>
                <c:pt idx="344">
                  <c:v>-0.10576240664439807</c:v>
                </c:pt>
                <c:pt idx="345">
                  <c:v>-0.10802543276655796</c:v>
                </c:pt>
                <c:pt idx="346">
                  <c:v>-9.5903426450546503E-2</c:v>
                </c:pt>
                <c:pt idx="347">
                  <c:v>-9.0103941159702217E-2</c:v>
                </c:pt>
                <c:pt idx="348">
                  <c:v>-9.5833645210503082E-2</c:v>
                </c:pt>
                <c:pt idx="349">
                  <c:v>-9.9317499285134891E-2</c:v>
                </c:pt>
                <c:pt idx="350">
                  <c:v>-0.10452994212358679</c:v>
                </c:pt>
                <c:pt idx="351">
                  <c:v>-0.1095774426680185</c:v>
                </c:pt>
                <c:pt idx="352">
                  <c:v>-9.3576846250499557E-2</c:v>
                </c:pt>
                <c:pt idx="353">
                  <c:v>-0.10797189345810709</c:v>
                </c:pt>
                <c:pt idx="354">
                  <c:v>-0.11537963507026405</c:v>
                </c:pt>
                <c:pt idx="355">
                  <c:v>-0.1416877096808733</c:v>
                </c:pt>
                <c:pt idx="356">
                  <c:v>-0.14476305443434945</c:v>
                </c:pt>
                <c:pt idx="357">
                  <c:v>-0.14596298048889289</c:v>
                </c:pt>
                <c:pt idx="358">
                  <c:v>-0.15777586955376144</c:v>
                </c:pt>
                <c:pt idx="359">
                  <c:v>-0.15835221398675348</c:v>
                </c:pt>
                <c:pt idx="360">
                  <c:v>-0.16959375581807379</c:v>
                </c:pt>
                <c:pt idx="361">
                  <c:v>-0.16270260778048717</c:v>
                </c:pt>
                <c:pt idx="362">
                  <c:v>-0.17671243596105746</c:v>
                </c:pt>
                <c:pt idx="363">
                  <c:v>-0.18415499193737705</c:v>
                </c:pt>
                <c:pt idx="364">
                  <c:v>-0.17977927757166068</c:v>
                </c:pt>
                <c:pt idx="365">
                  <c:v>-0.17840617063488118</c:v>
                </c:pt>
                <c:pt idx="366">
                  <c:v>-0.18358833071351266</c:v>
                </c:pt>
                <c:pt idx="367">
                  <c:v>-0.18345773622219719</c:v>
                </c:pt>
                <c:pt idx="368">
                  <c:v>-0.18910838328775537</c:v>
                </c:pt>
                <c:pt idx="369">
                  <c:v>-0.18023295635804026</c:v>
                </c:pt>
                <c:pt idx="370">
                  <c:v>-0.18602249610301946</c:v>
                </c:pt>
                <c:pt idx="371">
                  <c:v>-0.18297332529893473</c:v>
                </c:pt>
                <c:pt idx="372">
                  <c:v>-0.18258676505305704</c:v>
                </c:pt>
                <c:pt idx="373">
                  <c:v>-0.18916064595048909</c:v>
                </c:pt>
                <c:pt idx="374">
                  <c:v>-0.18436816602222716</c:v>
                </c:pt>
                <c:pt idx="375">
                  <c:v>-0.18050009261175171</c:v>
                </c:pt>
                <c:pt idx="376">
                  <c:v>-0.18034611491345576</c:v>
                </c:pt>
                <c:pt idx="377">
                  <c:v>-0.17940169625093949</c:v>
                </c:pt>
                <c:pt idx="378">
                  <c:v>-0.18017381152667666</c:v>
                </c:pt>
                <c:pt idx="379">
                  <c:v>-0.17143411565543709</c:v>
                </c:pt>
                <c:pt idx="380">
                  <c:v>-0.17431342322349708</c:v>
                </c:pt>
                <c:pt idx="381">
                  <c:v>-0.1925673082793895</c:v>
                </c:pt>
                <c:pt idx="382">
                  <c:v>-0.1407861716557739</c:v>
                </c:pt>
                <c:pt idx="383">
                  <c:v>-0.11813947203324071</c:v>
                </c:pt>
                <c:pt idx="384">
                  <c:v>-0.12176027585537863</c:v>
                </c:pt>
                <c:pt idx="385">
                  <c:v>-0.12291793747446067</c:v>
                </c:pt>
                <c:pt idx="386">
                  <c:v>-0.14209512732236251</c:v>
                </c:pt>
                <c:pt idx="387">
                  <c:v>-0.16289540755674792</c:v>
                </c:pt>
                <c:pt idx="388">
                  <c:v>-0.1707471684062758</c:v>
                </c:pt>
                <c:pt idx="389">
                  <c:v>-0.17714743554025048</c:v>
                </c:pt>
                <c:pt idx="390">
                  <c:v>-0.18092272342149762</c:v>
                </c:pt>
                <c:pt idx="391">
                  <c:v>-0.18413531341884481</c:v>
                </c:pt>
                <c:pt idx="392">
                  <c:v>-0.19439138249743304</c:v>
                </c:pt>
                <c:pt idx="393">
                  <c:v>-0.18284005864699138</c:v>
                </c:pt>
                <c:pt idx="394">
                  <c:v>-0.17370054806880142</c:v>
                </c:pt>
                <c:pt idx="395">
                  <c:v>-0.14220498171392704</c:v>
                </c:pt>
                <c:pt idx="396">
                  <c:v>-0.12751775718545755</c:v>
                </c:pt>
                <c:pt idx="397">
                  <c:v>-0.15572717014315218</c:v>
                </c:pt>
                <c:pt idx="398">
                  <c:v>-0.14093876375809433</c:v>
                </c:pt>
                <c:pt idx="399">
                  <c:v>-0.1386477970618003</c:v>
                </c:pt>
                <c:pt idx="400">
                  <c:v>-0.12925337295169559</c:v>
                </c:pt>
                <c:pt idx="401">
                  <c:v>-0.15651366094587482</c:v>
                </c:pt>
                <c:pt idx="402">
                  <c:v>-0.17728115909453446</c:v>
                </c:pt>
                <c:pt idx="403">
                  <c:v>-0.19664427344745894</c:v>
                </c:pt>
                <c:pt idx="404">
                  <c:v>-0.19553366345308976</c:v>
                </c:pt>
                <c:pt idx="405">
                  <c:v>-0.20318929923805062</c:v>
                </c:pt>
                <c:pt idx="406">
                  <c:v>-0.21633555211088873</c:v>
                </c:pt>
                <c:pt idx="407">
                  <c:v>-0.21051486391904151</c:v>
                </c:pt>
                <c:pt idx="408">
                  <c:v>-0.22740629896946096</c:v>
                </c:pt>
                <c:pt idx="409">
                  <c:v>-0.22149843625966326</c:v>
                </c:pt>
                <c:pt idx="410">
                  <c:v>-0.24192353687454471</c:v>
                </c:pt>
                <c:pt idx="411">
                  <c:v>-0.24295524034465643</c:v>
                </c:pt>
                <c:pt idx="412">
                  <c:v>-0.23658255564720942</c:v>
                </c:pt>
                <c:pt idx="413">
                  <c:v>-0.23311623033101836</c:v>
                </c:pt>
                <c:pt idx="414">
                  <c:v>-0.22915779283619853</c:v>
                </c:pt>
                <c:pt idx="415">
                  <c:v>-0.23060936619670058</c:v>
                </c:pt>
                <c:pt idx="416">
                  <c:v>-0.22578071576070635</c:v>
                </c:pt>
                <c:pt idx="417">
                  <c:v>-0.23165929091356863</c:v>
                </c:pt>
                <c:pt idx="418">
                  <c:v>-0.23091901222591882</c:v>
                </c:pt>
                <c:pt idx="419">
                  <c:v>-0.22239680141278662</c:v>
                </c:pt>
                <c:pt idx="420">
                  <c:v>-0.22400153686801261</c:v>
                </c:pt>
                <c:pt idx="421">
                  <c:v>-0.21873406211594282</c:v>
                </c:pt>
                <c:pt idx="422">
                  <c:v>-0.21053571354066625</c:v>
                </c:pt>
                <c:pt idx="423">
                  <c:v>-0.19777950002889377</c:v>
                </c:pt>
                <c:pt idx="424">
                  <c:v>-0.1898151429059467</c:v>
                </c:pt>
                <c:pt idx="425">
                  <c:v>-0.18824647136692785</c:v>
                </c:pt>
                <c:pt idx="426">
                  <c:v>-0.21024892563242314</c:v>
                </c:pt>
                <c:pt idx="427">
                  <c:v>-0.19352585343321138</c:v>
                </c:pt>
                <c:pt idx="428">
                  <c:v>-0.18914737657847991</c:v>
                </c:pt>
                <c:pt idx="429">
                  <c:v>-0.19192733528061212</c:v>
                </c:pt>
                <c:pt idx="430">
                  <c:v>-0.19123238149760891</c:v>
                </c:pt>
                <c:pt idx="431">
                  <c:v>-0.18792895247148023</c:v>
                </c:pt>
                <c:pt idx="432">
                  <c:v>-0.18419239747836835</c:v>
                </c:pt>
                <c:pt idx="433">
                  <c:v>-0.19769325465208842</c:v>
                </c:pt>
                <c:pt idx="434">
                  <c:v>-0.19233074459403499</c:v>
                </c:pt>
                <c:pt idx="435">
                  <c:v>-0.21341503856669441</c:v>
                </c:pt>
                <c:pt idx="436">
                  <c:v>-0.22587356820142146</c:v>
                </c:pt>
                <c:pt idx="437">
                  <c:v>-0.21016440850099061</c:v>
                </c:pt>
                <c:pt idx="438">
                  <c:v>-0.20619868697967103</c:v>
                </c:pt>
                <c:pt idx="439">
                  <c:v>-0.18905678906879353</c:v>
                </c:pt>
                <c:pt idx="440">
                  <c:v>-0.17082520586804817</c:v>
                </c:pt>
                <c:pt idx="441">
                  <c:v>-0.142379624672756</c:v>
                </c:pt>
                <c:pt idx="442">
                  <c:v>-0.15406817896964364</c:v>
                </c:pt>
                <c:pt idx="443">
                  <c:v>-0.15159026076345916</c:v>
                </c:pt>
                <c:pt idx="444">
                  <c:v>-0.12365345864170663</c:v>
                </c:pt>
                <c:pt idx="445">
                  <c:v>-8.5203229407909031E-2</c:v>
                </c:pt>
                <c:pt idx="446">
                  <c:v>-9.6569907086246909E-2</c:v>
                </c:pt>
                <c:pt idx="447">
                  <c:v>-9.1569496997910615E-2</c:v>
                </c:pt>
                <c:pt idx="448">
                  <c:v>-8.0551778012766473E-2</c:v>
                </c:pt>
                <c:pt idx="449">
                  <c:v>-8.981930392373938E-2</c:v>
                </c:pt>
                <c:pt idx="450">
                  <c:v>-9.5102001433426064E-2</c:v>
                </c:pt>
                <c:pt idx="451">
                  <c:v>-8.2162791180886208E-2</c:v>
                </c:pt>
                <c:pt idx="452">
                  <c:v>-9.1505714561776363E-2</c:v>
                </c:pt>
                <c:pt idx="453">
                  <c:v>-9.2203319328417743E-2</c:v>
                </c:pt>
                <c:pt idx="454">
                  <c:v>-9.254484437818622E-2</c:v>
                </c:pt>
                <c:pt idx="455">
                  <c:v>-0.10036738958714864</c:v>
                </c:pt>
                <c:pt idx="456">
                  <c:v>-0.11188496472235765</c:v>
                </c:pt>
                <c:pt idx="457">
                  <c:v>-0.10774860850084078</c:v>
                </c:pt>
                <c:pt idx="458">
                  <c:v>-0.13957159378184492</c:v>
                </c:pt>
                <c:pt idx="459">
                  <c:v>-0.13830255087577981</c:v>
                </c:pt>
                <c:pt idx="460">
                  <c:v>-0.15061305495624255</c:v>
                </c:pt>
                <c:pt idx="461">
                  <c:v>-0.15377826170646425</c:v>
                </c:pt>
                <c:pt idx="462">
                  <c:v>-0.16115091986826457</c:v>
                </c:pt>
                <c:pt idx="463">
                  <c:v>-0.15732277891823521</c:v>
                </c:pt>
                <c:pt idx="464">
                  <c:v>-0.15375253917191944</c:v>
                </c:pt>
                <c:pt idx="465">
                  <c:v>-0.14919264313653691</c:v>
                </c:pt>
                <c:pt idx="466">
                  <c:v>-0.13559993220684152</c:v>
                </c:pt>
                <c:pt idx="467">
                  <c:v>-0.1255707007622211</c:v>
                </c:pt>
                <c:pt idx="468">
                  <c:v>-0.12385391698158821</c:v>
                </c:pt>
                <c:pt idx="469">
                  <c:v>-0.13965100550400034</c:v>
                </c:pt>
                <c:pt idx="470">
                  <c:v>-0.15633596942945349</c:v>
                </c:pt>
                <c:pt idx="471">
                  <c:v>-0.16265757765939104</c:v>
                </c:pt>
                <c:pt idx="472">
                  <c:v>-0.16361428061172156</c:v>
                </c:pt>
                <c:pt idx="473">
                  <c:v>-0.17013339683754358</c:v>
                </c:pt>
                <c:pt idx="474">
                  <c:v>-0.17121948145221744</c:v>
                </c:pt>
                <c:pt idx="475">
                  <c:v>-0.17400253296444435</c:v>
                </c:pt>
                <c:pt idx="476">
                  <c:v>-0.15577665650340067</c:v>
                </c:pt>
                <c:pt idx="477">
                  <c:v>-0.14823269460591382</c:v>
                </c:pt>
                <c:pt idx="478">
                  <c:v>-0.15554840949958737</c:v>
                </c:pt>
                <c:pt idx="479">
                  <c:v>-0.14787208886246916</c:v>
                </c:pt>
                <c:pt idx="480">
                  <c:v>-0.16464781728725164</c:v>
                </c:pt>
                <c:pt idx="481">
                  <c:v>-0.17902714946646103</c:v>
                </c:pt>
                <c:pt idx="482">
                  <c:v>-0.16359227709345925</c:v>
                </c:pt>
                <c:pt idx="483">
                  <c:v>-0.1645672240824696</c:v>
                </c:pt>
                <c:pt idx="484">
                  <c:v>-0.1550428572683773</c:v>
                </c:pt>
                <c:pt idx="485">
                  <c:v>-0.15177605996237009</c:v>
                </c:pt>
                <c:pt idx="486">
                  <c:v>-0.14169671951140561</c:v>
                </c:pt>
                <c:pt idx="487">
                  <c:v>-0.13679028650523484</c:v>
                </c:pt>
                <c:pt idx="488">
                  <c:v>-0.13437849577259997</c:v>
                </c:pt>
                <c:pt idx="489">
                  <c:v>-0.1222362346931456</c:v>
                </c:pt>
                <c:pt idx="490">
                  <c:v>-0.10324503432074605</c:v>
                </c:pt>
                <c:pt idx="491">
                  <c:v>-0.10679409909996851</c:v>
                </c:pt>
                <c:pt idx="492">
                  <c:v>-8.0506093520622768E-2</c:v>
                </c:pt>
                <c:pt idx="493">
                  <c:v>-7.178403401595701E-2</c:v>
                </c:pt>
                <c:pt idx="494">
                  <c:v>-7.512560967156956E-2</c:v>
                </c:pt>
                <c:pt idx="495">
                  <c:v>-7.5339284045694344E-2</c:v>
                </c:pt>
                <c:pt idx="496">
                  <c:v>-5.9470996324085146E-2</c:v>
                </c:pt>
                <c:pt idx="497">
                  <c:v>-4.9980524245675895E-2</c:v>
                </c:pt>
                <c:pt idx="498">
                  <c:v>-3.7784644763287467E-2</c:v>
                </c:pt>
                <c:pt idx="499">
                  <c:v>-3.9836494762229613E-2</c:v>
                </c:pt>
                <c:pt idx="500">
                  <c:v>-6.0444313761400359E-2</c:v>
                </c:pt>
                <c:pt idx="501">
                  <c:v>-5.611366815536778E-2</c:v>
                </c:pt>
                <c:pt idx="502">
                  <c:v>-4.9631123483724782E-2</c:v>
                </c:pt>
                <c:pt idx="503">
                  <c:v>-4.3341158172884198E-2</c:v>
                </c:pt>
                <c:pt idx="504">
                  <c:v>-4.6432579933253004E-2</c:v>
                </c:pt>
                <c:pt idx="505">
                  <c:v>-5.3694060723212367E-2</c:v>
                </c:pt>
                <c:pt idx="506">
                  <c:v>-4.9630699875668371E-2</c:v>
                </c:pt>
                <c:pt idx="507">
                  <c:v>-3.7213327825532438E-2</c:v>
                </c:pt>
                <c:pt idx="508">
                  <c:v>-5.6143427862465733E-2</c:v>
                </c:pt>
                <c:pt idx="509">
                  <c:v>-4.5324672882039785E-2</c:v>
                </c:pt>
                <c:pt idx="510">
                  <c:v>-3.7684406293209127E-2</c:v>
                </c:pt>
                <c:pt idx="511">
                  <c:v>-2.7415169861818134E-2</c:v>
                </c:pt>
                <c:pt idx="512">
                  <c:v>-2.5013278345364931E-2</c:v>
                </c:pt>
                <c:pt idx="513">
                  <c:v>-2.5752369684231002E-2</c:v>
                </c:pt>
                <c:pt idx="514">
                  <c:v>-2.2847693880373221E-2</c:v>
                </c:pt>
                <c:pt idx="515">
                  <c:v>-1.3142670210647189E-2</c:v>
                </c:pt>
                <c:pt idx="516">
                  <c:v>-1.3560186380518147E-2</c:v>
                </c:pt>
                <c:pt idx="517">
                  <c:v>-1.275723796661099E-2</c:v>
                </c:pt>
                <c:pt idx="518">
                  <c:v>-2.7287689843995544E-3</c:v>
                </c:pt>
                <c:pt idx="519">
                  <c:v>1.4350377370133116E-2</c:v>
                </c:pt>
                <c:pt idx="520">
                  <c:v>2.1522794669999512E-2</c:v>
                </c:pt>
                <c:pt idx="521">
                  <c:v>1.7794644386904479E-2</c:v>
                </c:pt>
                <c:pt idx="522">
                  <c:v>1.0605332813668711E-2</c:v>
                </c:pt>
                <c:pt idx="523">
                  <c:v>2.1766448419840989E-3</c:v>
                </c:pt>
                <c:pt idx="524">
                  <c:v>-2.1476402802365069E-3</c:v>
                </c:pt>
                <c:pt idx="525">
                  <c:v>7.9877161978858524E-4</c:v>
                </c:pt>
                <c:pt idx="526">
                  <c:v>-1.1440046161522721E-2</c:v>
                </c:pt>
                <c:pt idx="527">
                  <c:v>-3.5243617455977594E-2</c:v>
                </c:pt>
                <c:pt idx="528">
                  <c:v>-2.2922316863297931E-2</c:v>
                </c:pt>
                <c:pt idx="529">
                  <c:v>-3.1732150238175549E-2</c:v>
                </c:pt>
                <c:pt idx="530">
                  <c:v>-3.6339596711403521E-2</c:v>
                </c:pt>
                <c:pt idx="531">
                  <c:v>-2.9712219833087694E-2</c:v>
                </c:pt>
                <c:pt idx="532">
                  <c:v>-3.8130060448453129E-2</c:v>
                </c:pt>
                <c:pt idx="533">
                  <c:v>-4.1571353570342362E-2</c:v>
                </c:pt>
                <c:pt idx="534">
                  <c:v>-4.2294052235528401E-2</c:v>
                </c:pt>
                <c:pt idx="535">
                  <c:v>-5.1527276156202451E-2</c:v>
                </c:pt>
                <c:pt idx="536">
                  <c:v>-4.2923229308116317E-2</c:v>
                </c:pt>
                <c:pt idx="537">
                  <c:v>-3.4999549989201295E-2</c:v>
                </c:pt>
                <c:pt idx="538">
                  <c:v>-3.2144842454019162E-2</c:v>
                </c:pt>
                <c:pt idx="539">
                  <c:v>-3.0856670564206823E-2</c:v>
                </c:pt>
                <c:pt idx="540">
                  <c:v>-4.2115932730628414E-2</c:v>
                </c:pt>
                <c:pt idx="541">
                  <c:v>-3.7639229800923601E-2</c:v>
                </c:pt>
                <c:pt idx="542">
                  <c:v>-4.1806831101495412E-2</c:v>
                </c:pt>
                <c:pt idx="543">
                  <c:v>-3.7157356239382322E-2</c:v>
                </c:pt>
                <c:pt idx="544">
                  <c:v>-3.5294408909539943E-2</c:v>
                </c:pt>
                <c:pt idx="545">
                  <c:v>-3.9496838900286102E-2</c:v>
                </c:pt>
                <c:pt idx="546">
                  <c:v>-4.6339824277018771E-2</c:v>
                </c:pt>
                <c:pt idx="547">
                  <c:v>-3.2812192056532963E-2</c:v>
                </c:pt>
                <c:pt idx="548">
                  <c:v>-3.5824774920839575E-2</c:v>
                </c:pt>
                <c:pt idx="549">
                  <c:v>-4.153394172254754E-2</c:v>
                </c:pt>
                <c:pt idx="550">
                  <c:v>-5.2421858695712586E-2</c:v>
                </c:pt>
                <c:pt idx="551">
                  <c:v>-6.6944318399148495E-2</c:v>
                </c:pt>
                <c:pt idx="552">
                  <c:v>-7.0683892386403713E-2</c:v>
                </c:pt>
                <c:pt idx="553">
                  <c:v>-5.5986732969205644E-2</c:v>
                </c:pt>
                <c:pt idx="554">
                  <c:v>-5.9164821969053927E-2</c:v>
                </c:pt>
                <c:pt idx="555">
                  <c:v>-6.7301099485714166E-2</c:v>
                </c:pt>
                <c:pt idx="556">
                  <c:v>-6.510737857463611E-2</c:v>
                </c:pt>
                <c:pt idx="557">
                  <c:v>-6.7590790915409871E-2</c:v>
                </c:pt>
                <c:pt idx="558">
                  <c:v>-5.8074235080217917E-2</c:v>
                </c:pt>
                <c:pt idx="559">
                  <c:v>-6.2518735076086074E-2</c:v>
                </c:pt>
                <c:pt idx="560">
                  <c:v>-4.3235575778783453E-2</c:v>
                </c:pt>
                <c:pt idx="561">
                  <c:v>-5.4890556535907908E-2</c:v>
                </c:pt>
                <c:pt idx="562">
                  <c:v>-6.3376861189705869E-2</c:v>
                </c:pt>
                <c:pt idx="563">
                  <c:v>-8.5059995868052685E-2</c:v>
                </c:pt>
                <c:pt idx="564">
                  <c:v>-9.8263372902132495E-2</c:v>
                </c:pt>
                <c:pt idx="565">
                  <c:v>-7.6348879256802782E-2</c:v>
                </c:pt>
                <c:pt idx="566">
                  <c:v>-0.11022136695390894</c:v>
                </c:pt>
                <c:pt idx="567">
                  <c:v>-9.7277544752555123E-2</c:v>
                </c:pt>
                <c:pt idx="568">
                  <c:v>-8.7099268420658404E-2</c:v>
                </c:pt>
                <c:pt idx="569">
                  <c:v>-9.7046564936279722E-2</c:v>
                </c:pt>
                <c:pt idx="570">
                  <c:v>-7.8928398088678797E-2</c:v>
                </c:pt>
                <c:pt idx="571">
                  <c:v>-7.9857846205170002E-2</c:v>
                </c:pt>
                <c:pt idx="572">
                  <c:v>-8.7634471836465666E-2</c:v>
                </c:pt>
                <c:pt idx="573">
                  <c:v>-9.3614307770095717E-2</c:v>
                </c:pt>
                <c:pt idx="574">
                  <c:v>-7.6017741216226176E-2</c:v>
                </c:pt>
                <c:pt idx="575">
                  <c:v>-8.2173652883130277E-2</c:v>
                </c:pt>
                <c:pt idx="576">
                  <c:v>-8.4631863486151149E-2</c:v>
                </c:pt>
                <c:pt idx="577">
                  <c:v>-7.4803196695307106E-2</c:v>
                </c:pt>
                <c:pt idx="578">
                  <c:v>-7.3450263086605849E-2</c:v>
                </c:pt>
                <c:pt idx="579">
                  <c:v>-6.4169998252709082E-2</c:v>
                </c:pt>
                <c:pt idx="580">
                  <c:v>-6.250827143737081E-2</c:v>
                </c:pt>
                <c:pt idx="581">
                  <c:v>-4.5633266171551501E-2</c:v>
                </c:pt>
                <c:pt idx="582">
                  <c:v>-3.33390360478234E-2</c:v>
                </c:pt>
                <c:pt idx="583">
                  <c:v>-3.9634710520812577E-2</c:v>
                </c:pt>
                <c:pt idx="584">
                  <c:v>-5.347145979062895E-2</c:v>
                </c:pt>
                <c:pt idx="585">
                  <c:v>-7.0058779815519223E-2</c:v>
                </c:pt>
                <c:pt idx="586">
                  <c:v>-7.4203960602716723E-2</c:v>
                </c:pt>
                <c:pt idx="587">
                  <c:v>-8.8018985472185562E-2</c:v>
                </c:pt>
                <c:pt idx="588">
                  <c:v>-8.149054051438398E-2</c:v>
                </c:pt>
                <c:pt idx="589">
                  <c:v>-7.7683600348120274E-2</c:v>
                </c:pt>
                <c:pt idx="590">
                  <c:v>-7.5709306427071077E-2</c:v>
                </c:pt>
                <c:pt idx="591">
                  <c:v>-5.778523971960392E-2</c:v>
                </c:pt>
                <c:pt idx="592">
                  <c:v>-5.2694785926219234E-2</c:v>
                </c:pt>
                <c:pt idx="593">
                  <c:v>-4.7244952794437634E-2</c:v>
                </c:pt>
                <c:pt idx="594">
                  <c:v>-5.038233605613085E-2</c:v>
                </c:pt>
                <c:pt idx="595">
                  <c:v>-3.8486687505122408E-2</c:v>
                </c:pt>
                <c:pt idx="596">
                  <c:v>-4.6296974422322723E-2</c:v>
                </c:pt>
                <c:pt idx="597">
                  <c:v>-4.1158303566118049E-2</c:v>
                </c:pt>
                <c:pt idx="598">
                  <c:v>-3.5991738828867526E-2</c:v>
                </c:pt>
                <c:pt idx="599">
                  <c:v>-4.5044546046679068E-2</c:v>
                </c:pt>
                <c:pt idx="600">
                  <c:v>-5.0298245775272088E-2</c:v>
                </c:pt>
                <c:pt idx="601">
                  <c:v>-4.9183745946452584E-2</c:v>
                </c:pt>
                <c:pt idx="602">
                  <c:v>-3.9619333735560591E-2</c:v>
                </c:pt>
                <c:pt idx="603">
                  <c:v>-3.9339964718633214E-2</c:v>
                </c:pt>
                <c:pt idx="604">
                  <c:v>-4.0261093570134188E-2</c:v>
                </c:pt>
                <c:pt idx="605">
                  <c:v>-3.3249990291972065E-2</c:v>
                </c:pt>
                <c:pt idx="606">
                  <c:v>-4.2007072536451862E-2</c:v>
                </c:pt>
                <c:pt idx="607">
                  <c:v>-4.9448253120637276E-2</c:v>
                </c:pt>
                <c:pt idx="608">
                  <c:v>-4.8879114681889435E-2</c:v>
                </c:pt>
                <c:pt idx="609">
                  <c:v>-4.4955413499812913E-2</c:v>
                </c:pt>
                <c:pt idx="610">
                  <c:v>-4.7047574763930733E-2</c:v>
                </c:pt>
                <c:pt idx="611">
                  <c:v>-5.4213329449589898E-2</c:v>
                </c:pt>
                <c:pt idx="612">
                  <c:v>-6.3684836934368105E-2</c:v>
                </c:pt>
                <c:pt idx="613">
                  <c:v>-4.3355301633548615E-2</c:v>
                </c:pt>
                <c:pt idx="614">
                  <c:v>-4.6786780285988483E-2</c:v>
                </c:pt>
                <c:pt idx="615">
                  <c:v>-4.544948305335561E-2</c:v>
                </c:pt>
                <c:pt idx="616">
                  <c:v>-5.8258687476688831E-2</c:v>
                </c:pt>
                <c:pt idx="617">
                  <c:v>-5.521187879093703E-2</c:v>
                </c:pt>
                <c:pt idx="618">
                  <c:v>-6.2357044636859538E-2</c:v>
                </c:pt>
                <c:pt idx="619">
                  <c:v>-6.3522558876117463E-2</c:v>
                </c:pt>
                <c:pt idx="620">
                  <c:v>-6.9167325375715238E-2</c:v>
                </c:pt>
                <c:pt idx="621">
                  <c:v>-6.9350601548517243E-2</c:v>
                </c:pt>
                <c:pt idx="622">
                  <c:v>-7.8168681013561558E-2</c:v>
                </c:pt>
                <c:pt idx="623">
                  <c:v>-5.8401203176593919E-2</c:v>
                </c:pt>
                <c:pt idx="624">
                  <c:v>-6.7463188630607851E-2</c:v>
                </c:pt>
                <c:pt idx="625">
                  <c:v>-7.8527220317669011E-2</c:v>
                </c:pt>
                <c:pt idx="626">
                  <c:v>-9.2957765130221803E-2</c:v>
                </c:pt>
                <c:pt idx="627">
                  <c:v>-8.2983639596956982E-2</c:v>
                </c:pt>
                <c:pt idx="628">
                  <c:v>-7.9245304456568633E-2</c:v>
                </c:pt>
                <c:pt idx="629">
                  <c:v>-0.10033117426624028</c:v>
                </c:pt>
                <c:pt idx="630">
                  <c:v>-0.10562338356556111</c:v>
                </c:pt>
                <c:pt idx="631">
                  <c:v>-0.11059131014635493</c:v>
                </c:pt>
                <c:pt idx="632">
                  <c:v>-0.11520780499372396</c:v>
                </c:pt>
                <c:pt idx="633">
                  <c:v>-0.11231167823769317</c:v>
                </c:pt>
                <c:pt idx="634">
                  <c:v>-0.12984636483373335</c:v>
                </c:pt>
                <c:pt idx="635">
                  <c:v>-0.12271160326897812</c:v>
                </c:pt>
                <c:pt idx="636">
                  <c:v>-0.13222232794985778</c:v>
                </c:pt>
                <c:pt idx="637">
                  <c:v>-0.12846191635595772</c:v>
                </c:pt>
                <c:pt idx="638">
                  <c:v>-0.13968641924250425</c:v>
                </c:pt>
                <c:pt idx="639">
                  <c:v>-0.13256668179962472</c:v>
                </c:pt>
                <c:pt idx="640">
                  <c:v>-0.13715832467999456</c:v>
                </c:pt>
                <c:pt idx="641">
                  <c:v>-0.1225587451442649</c:v>
                </c:pt>
                <c:pt idx="642">
                  <c:v>-0.10164920765281238</c:v>
                </c:pt>
                <c:pt idx="643">
                  <c:v>-0.11296299567564971</c:v>
                </c:pt>
                <c:pt idx="644">
                  <c:v>-0.12585375035377755</c:v>
                </c:pt>
                <c:pt idx="645">
                  <c:v>-0.13006606454757441</c:v>
                </c:pt>
                <c:pt idx="646">
                  <c:v>-0.10866546699809443</c:v>
                </c:pt>
                <c:pt idx="647">
                  <c:v>-0.1075256178227233</c:v>
                </c:pt>
                <c:pt idx="648">
                  <c:v>-0.11029659873189668</c:v>
                </c:pt>
                <c:pt idx="649">
                  <c:v>-0.10058007809169789</c:v>
                </c:pt>
                <c:pt idx="650">
                  <c:v>-0.10776702615319134</c:v>
                </c:pt>
                <c:pt idx="651">
                  <c:v>-0.11201621680339691</c:v>
                </c:pt>
                <c:pt idx="652">
                  <c:v>-0.11216294282290229</c:v>
                </c:pt>
                <c:pt idx="653">
                  <c:v>-0.12470641328674548</c:v>
                </c:pt>
                <c:pt idx="654">
                  <c:v>-0.13725530818082676</c:v>
                </c:pt>
                <c:pt idx="655">
                  <c:v>-0.13523096105142374</c:v>
                </c:pt>
                <c:pt idx="656">
                  <c:v>-0.12148266677511566</c:v>
                </c:pt>
                <c:pt idx="657">
                  <c:v>-0.11992897753486975</c:v>
                </c:pt>
                <c:pt idx="658">
                  <c:v>-0.11115202155999837</c:v>
                </c:pt>
                <c:pt idx="659">
                  <c:v>-0.13366025576387508</c:v>
                </c:pt>
                <c:pt idx="660">
                  <c:v>-0.14798383254881964</c:v>
                </c:pt>
                <c:pt idx="661">
                  <c:v>-0.15343751751621659</c:v>
                </c:pt>
                <c:pt idx="662">
                  <c:v>-0.12810811084580709</c:v>
                </c:pt>
                <c:pt idx="663">
                  <c:v>-0.11284197414023867</c:v>
                </c:pt>
                <c:pt idx="664">
                  <c:v>-0.10660675371425099</c:v>
                </c:pt>
                <c:pt idx="665">
                  <c:v>-9.4381737827603729E-2</c:v>
                </c:pt>
                <c:pt idx="666">
                  <c:v>-9.3121806326526446E-2</c:v>
                </c:pt>
                <c:pt idx="667">
                  <c:v>-9.9935460704594359E-2</c:v>
                </c:pt>
                <c:pt idx="668">
                  <c:v>-9.222764034224129E-2</c:v>
                </c:pt>
                <c:pt idx="669">
                  <c:v>-8.7842277024751558E-2</c:v>
                </c:pt>
                <c:pt idx="670">
                  <c:v>-0.10050243790445057</c:v>
                </c:pt>
                <c:pt idx="671">
                  <c:v>-9.4480249226762236E-2</c:v>
                </c:pt>
                <c:pt idx="672">
                  <c:v>-0.10580171386536064</c:v>
                </c:pt>
                <c:pt idx="673">
                  <c:v>-0.10263660172279265</c:v>
                </c:pt>
                <c:pt idx="674">
                  <c:v>-0.11062200433149516</c:v>
                </c:pt>
                <c:pt idx="675">
                  <c:v>-9.6973908021896982E-2</c:v>
                </c:pt>
                <c:pt idx="676">
                  <c:v>-8.5590409468418338E-2</c:v>
                </c:pt>
                <c:pt idx="677">
                  <c:v>-9.6689620261861231E-2</c:v>
                </c:pt>
                <c:pt idx="678">
                  <c:v>-9.1261523996640337E-2</c:v>
                </c:pt>
                <c:pt idx="679">
                  <c:v>-8.7380558627278448E-2</c:v>
                </c:pt>
                <c:pt idx="680">
                  <c:v>-7.9855447218419418E-2</c:v>
                </c:pt>
                <c:pt idx="681">
                  <c:v>-9.9271461779156134E-2</c:v>
                </c:pt>
                <c:pt idx="682">
                  <c:v>-0.10248050813215603</c:v>
                </c:pt>
                <c:pt idx="683">
                  <c:v>-0.1150540051265958</c:v>
                </c:pt>
                <c:pt idx="684">
                  <c:v>-0.11484279866911562</c:v>
                </c:pt>
                <c:pt idx="685">
                  <c:v>-9.1635252339867357E-2</c:v>
                </c:pt>
                <c:pt idx="686">
                  <c:v>-0.14357472930921156</c:v>
                </c:pt>
                <c:pt idx="687">
                  <c:v>-0.11845403868279014</c:v>
                </c:pt>
                <c:pt idx="688">
                  <c:v>-0.14468555344113754</c:v>
                </c:pt>
                <c:pt idx="689">
                  <c:v>-0.13652278601546874</c:v>
                </c:pt>
                <c:pt idx="690">
                  <c:v>-0.14070087833885037</c:v>
                </c:pt>
                <c:pt idx="691">
                  <c:v>-0.13824359452584933</c:v>
                </c:pt>
                <c:pt idx="692">
                  <c:v>-0.14051346024423661</c:v>
                </c:pt>
                <c:pt idx="693">
                  <c:v>-0.12906994428803675</c:v>
                </c:pt>
                <c:pt idx="694">
                  <c:v>-0.14138196568785655</c:v>
                </c:pt>
                <c:pt idx="695">
                  <c:v>-0.14992387701027399</c:v>
                </c:pt>
                <c:pt idx="696">
                  <c:v>-0.15396488331000535</c:v>
                </c:pt>
                <c:pt idx="697">
                  <c:v>-0.16644390841820478</c:v>
                </c:pt>
                <c:pt idx="698">
                  <c:v>-0.17911860737902363</c:v>
                </c:pt>
                <c:pt idx="699">
                  <c:v>-0.19032337976178582</c:v>
                </c:pt>
                <c:pt idx="700">
                  <c:v>-0.1996904635626795</c:v>
                </c:pt>
                <c:pt idx="701">
                  <c:v>-0.18103591009603259</c:v>
                </c:pt>
                <c:pt idx="702">
                  <c:v>-0.19809618709139221</c:v>
                </c:pt>
                <c:pt idx="703">
                  <c:v>-0.20642508404059035</c:v>
                </c:pt>
                <c:pt idx="704">
                  <c:v>-0.17962543374761131</c:v>
                </c:pt>
                <c:pt idx="705">
                  <c:v>-0.18579819005529408</c:v>
                </c:pt>
                <c:pt idx="706">
                  <c:v>-0.18644001453648351</c:v>
                </c:pt>
                <c:pt idx="707">
                  <c:v>-0.18028898410052507</c:v>
                </c:pt>
                <c:pt idx="708">
                  <c:v>-0.16643495144792153</c:v>
                </c:pt>
                <c:pt idx="709">
                  <c:v>-0.17749723469948675</c:v>
                </c:pt>
                <c:pt idx="710">
                  <c:v>-0.18470031429797529</c:v>
                </c:pt>
                <c:pt idx="711">
                  <c:v>-0.19740139359227138</c:v>
                </c:pt>
                <c:pt idx="712">
                  <c:v>-0.17780113273855824</c:v>
                </c:pt>
                <c:pt idx="713">
                  <c:v>-0.19235540273360385</c:v>
                </c:pt>
                <c:pt idx="714">
                  <c:v>-0.21680553362429733</c:v>
                </c:pt>
                <c:pt idx="715">
                  <c:v>-0.21837970028684484</c:v>
                </c:pt>
                <c:pt idx="716">
                  <c:v>-0.21329090166458031</c:v>
                </c:pt>
                <c:pt idx="717">
                  <c:v>-0.20583634144617102</c:v>
                </c:pt>
                <c:pt idx="718">
                  <c:v>-0.21400384818372609</c:v>
                </c:pt>
                <c:pt idx="719">
                  <c:v>-0.22224245440093382</c:v>
                </c:pt>
                <c:pt idx="720">
                  <c:v>-0.21963197171148741</c:v>
                </c:pt>
                <c:pt idx="721">
                  <c:v>-0.22613832001742296</c:v>
                </c:pt>
                <c:pt idx="722">
                  <c:v>-0.22896297007095501</c:v>
                </c:pt>
                <c:pt idx="723">
                  <c:v>-0.23202025358843836</c:v>
                </c:pt>
                <c:pt idx="724">
                  <c:v>-0.21535114937743738</c:v>
                </c:pt>
                <c:pt idx="725">
                  <c:v>-0.22375997912172263</c:v>
                </c:pt>
                <c:pt idx="726">
                  <c:v>-0.22924976787016282</c:v>
                </c:pt>
                <c:pt idx="727">
                  <c:v>-0.23351061885188451</c:v>
                </c:pt>
                <c:pt idx="728">
                  <c:v>-0.2173410534540472</c:v>
                </c:pt>
                <c:pt idx="729">
                  <c:v>-0.21253803108314995</c:v>
                </c:pt>
                <c:pt idx="730">
                  <c:v>-0.21447651086506991</c:v>
                </c:pt>
                <c:pt idx="731">
                  <c:v>-0.22199040065272957</c:v>
                </c:pt>
                <c:pt idx="732">
                  <c:v>-0.21314121029225519</c:v>
                </c:pt>
                <c:pt idx="733">
                  <c:v>-0.20912297839111171</c:v>
                </c:pt>
                <c:pt idx="734">
                  <c:v>-0.2091960823170731</c:v>
                </c:pt>
                <c:pt idx="735">
                  <c:v>-0.23164015185042697</c:v>
                </c:pt>
                <c:pt idx="736">
                  <c:v>-0.22652508393832305</c:v>
                </c:pt>
                <c:pt idx="737">
                  <c:v>-0.22170252028123372</c:v>
                </c:pt>
                <c:pt idx="738">
                  <c:v>-0.21022757025895666</c:v>
                </c:pt>
                <c:pt idx="739">
                  <c:v>-0.22571112575391061</c:v>
                </c:pt>
                <c:pt idx="740">
                  <c:v>-0.21655563972040759</c:v>
                </c:pt>
                <c:pt idx="741">
                  <c:v>-0.22603024496593127</c:v>
                </c:pt>
                <c:pt idx="742">
                  <c:v>-0.22113403140172161</c:v>
                </c:pt>
                <c:pt idx="743">
                  <c:v>-0.22085923790715745</c:v>
                </c:pt>
                <c:pt idx="744">
                  <c:v>-0.22971344964541962</c:v>
                </c:pt>
                <c:pt idx="745">
                  <c:v>-0.23906164273972341</c:v>
                </c:pt>
                <c:pt idx="746">
                  <c:v>-0.25221237158470644</c:v>
                </c:pt>
                <c:pt idx="747">
                  <c:v>-0.21255511118582304</c:v>
                </c:pt>
                <c:pt idx="748">
                  <c:v>-0.19831009039204295</c:v>
                </c:pt>
                <c:pt idx="749">
                  <c:v>-0.18790993506015496</c:v>
                </c:pt>
                <c:pt idx="750">
                  <c:v>-0.1845650894448545</c:v>
                </c:pt>
                <c:pt idx="751">
                  <c:v>-0.18185561849017495</c:v>
                </c:pt>
                <c:pt idx="752">
                  <c:v>-0.17311124096475572</c:v>
                </c:pt>
                <c:pt idx="753">
                  <c:v>-0.1702485953249655</c:v>
                </c:pt>
                <c:pt idx="754">
                  <c:v>-0.18358049158868828</c:v>
                </c:pt>
                <c:pt idx="755">
                  <c:v>-0.17336260396560577</c:v>
                </c:pt>
                <c:pt idx="756">
                  <c:v>-0.16369143949972043</c:v>
                </c:pt>
                <c:pt idx="757">
                  <c:v>-0.15381557506959131</c:v>
                </c:pt>
                <c:pt idx="758">
                  <c:v>-0.17031851835691336</c:v>
                </c:pt>
                <c:pt idx="759">
                  <c:v>-0.17098889958503016</c:v>
                </c:pt>
                <c:pt idx="760">
                  <c:v>-0.16342458464317344</c:v>
                </c:pt>
                <c:pt idx="761">
                  <c:v>-0.17815076851866296</c:v>
                </c:pt>
                <c:pt idx="762">
                  <c:v>-0.17551751462802256</c:v>
                </c:pt>
                <c:pt idx="763">
                  <c:v>-0.16470234247172044</c:v>
                </c:pt>
                <c:pt idx="764">
                  <c:v>-0.15772094611859022</c:v>
                </c:pt>
                <c:pt idx="765">
                  <c:v>-0.15965889302118907</c:v>
                </c:pt>
                <c:pt idx="766">
                  <c:v>-0.1578103968380149</c:v>
                </c:pt>
                <c:pt idx="767">
                  <c:v>-0.13847736826791923</c:v>
                </c:pt>
                <c:pt idx="768">
                  <c:v>-0.15014258856932727</c:v>
                </c:pt>
                <c:pt idx="769">
                  <c:v>-0.14637556762239767</c:v>
                </c:pt>
                <c:pt idx="770">
                  <c:v>-0.15369948536603983</c:v>
                </c:pt>
                <c:pt idx="771">
                  <c:v>-0.1487587692770207</c:v>
                </c:pt>
                <c:pt idx="772">
                  <c:v>-0.16240379972461327</c:v>
                </c:pt>
                <c:pt idx="773">
                  <c:v>-0.15850536631435452</c:v>
                </c:pt>
                <c:pt idx="774">
                  <c:v>-0.14968247116306599</c:v>
                </c:pt>
                <c:pt idx="775">
                  <c:v>-0.14994892617914712</c:v>
                </c:pt>
                <c:pt idx="776">
                  <c:v>-0.17437413008421521</c:v>
                </c:pt>
                <c:pt idx="777">
                  <c:v>-0.18381950152283011</c:v>
                </c:pt>
                <c:pt idx="778">
                  <c:v>-0.18112764206231668</c:v>
                </c:pt>
                <c:pt idx="779">
                  <c:v>-0.19271503546490276</c:v>
                </c:pt>
                <c:pt idx="780">
                  <c:v>-0.20226413227539375</c:v>
                </c:pt>
                <c:pt idx="781">
                  <c:v>-0.21000841246398672</c:v>
                </c:pt>
                <c:pt idx="782">
                  <c:v>-0.20804509298647722</c:v>
                </c:pt>
                <c:pt idx="783">
                  <c:v>-0.17874506187222461</c:v>
                </c:pt>
                <c:pt idx="784">
                  <c:v>-0.19909247562375021</c:v>
                </c:pt>
                <c:pt idx="785">
                  <c:v>-0.19912783128563794</c:v>
                </c:pt>
                <c:pt idx="786">
                  <c:v>-0.19247076404399599</c:v>
                </c:pt>
                <c:pt idx="787">
                  <c:v>-0.19337572855070517</c:v>
                </c:pt>
                <c:pt idx="788">
                  <c:v>-0.20898020738122391</c:v>
                </c:pt>
                <c:pt idx="789">
                  <c:v>-0.2068482200904711</c:v>
                </c:pt>
                <c:pt idx="790">
                  <c:v>-0.21357504972826047</c:v>
                </c:pt>
                <c:pt idx="791">
                  <c:v>-0.16317471178181142</c:v>
                </c:pt>
                <c:pt idx="792">
                  <c:v>-0.15641995409726794</c:v>
                </c:pt>
                <c:pt idx="793">
                  <c:v>-0.154708126838214</c:v>
                </c:pt>
                <c:pt idx="794">
                  <c:v>-0.15468806630575105</c:v>
                </c:pt>
                <c:pt idx="795">
                  <c:v>-0.13952439037703357</c:v>
                </c:pt>
                <c:pt idx="796">
                  <c:v>-0.13312787729720643</c:v>
                </c:pt>
                <c:pt idx="797">
                  <c:v>-0.11890145931691021</c:v>
                </c:pt>
                <c:pt idx="798">
                  <c:v>-0.11737579012140076</c:v>
                </c:pt>
                <c:pt idx="799">
                  <c:v>-0.12369780738640324</c:v>
                </c:pt>
                <c:pt idx="800">
                  <c:v>-0.11980501431679214</c:v>
                </c:pt>
                <c:pt idx="801">
                  <c:v>-9.3751496936340661E-2</c:v>
                </c:pt>
                <c:pt idx="802">
                  <c:v>-8.0417717318477688E-2</c:v>
                </c:pt>
                <c:pt idx="803">
                  <c:v>-7.6508099794117879E-2</c:v>
                </c:pt>
                <c:pt idx="804">
                  <c:v>-9.5857476804396269E-2</c:v>
                </c:pt>
                <c:pt idx="805">
                  <c:v>-5.9217612244287121E-2</c:v>
                </c:pt>
                <c:pt idx="806">
                  <c:v>-3.452804553634059E-2</c:v>
                </c:pt>
                <c:pt idx="807">
                  <c:v>-3.8533715322651707E-2</c:v>
                </c:pt>
                <c:pt idx="808">
                  <c:v>-4.6603483439970894E-2</c:v>
                </c:pt>
                <c:pt idx="809">
                  <c:v>-3.7849984763546285E-2</c:v>
                </c:pt>
                <c:pt idx="810">
                  <c:v>-3.9471135435756644E-2</c:v>
                </c:pt>
                <c:pt idx="811">
                  <c:v>-4.4612130563899122E-2</c:v>
                </c:pt>
                <c:pt idx="812">
                  <c:v>-3.68024358219734E-2</c:v>
                </c:pt>
                <c:pt idx="813">
                  <c:v>-4.1826212775937011E-2</c:v>
                </c:pt>
                <c:pt idx="814">
                  <c:v>-6.5039053661229973E-2</c:v>
                </c:pt>
                <c:pt idx="815">
                  <c:v>-1.3779428202520316E-2</c:v>
                </c:pt>
                <c:pt idx="816">
                  <c:v>-1.9727420477939184E-2</c:v>
                </c:pt>
                <c:pt idx="817">
                  <c:v>-1.5872927064173981E-2</c:v>
                </c:pt>
                <c:pt idx="818">
                  <c:v>-2.4267663715948906E-2</c:v>
                </c:pt>
                <c:pt idx="819">
                  <c:v>-2.7898096104372661E-2</c:v>
                </c:pt>
                <c:pt idx="820">
                  <c:v>-1.2501355577999584E-2</c:v>
                </c:pt>
                <c:pt idx="821">
                  <c:v>-2.1206412995915525E-3</c:v>
                </c:pt>
                <c:pt idx="822">
                  <c:v>-7.070810715074316E-3</c:v>
                </c:pt>
                <c:pt idx="823">
                  <c:v>-2.5807283941103876E-3</c:v>
                </c:pt>
                <c:pt idx="824">
                  <c:v>-1.1085439764114247E-2</c:v>
                </c:pt>
                <c:pt idx="825">
                  <c:v>-1.9370322828107023E-2</c:v>
                </c:pt>
                <c:pt idx="826">
                  <c:v>-2.3813375924945257E-2</c:v>
                </c:pt>
                <c:pt idx="827">
                  <c:v>-2.2463887734833765E-2</c:v>
                </c:pt>
                <c:pt idx="828">
                  <c:v>-1.8988530636181E-2</c:v>
                </c:pt>
                <c:pt idx="829">
                  <c:v>-1.8692659519812471E-2</c:v>
                </c:pt>
                <c:pt idx="830">
                  <c:v>-1.2298659192657491E-2</c:v>
                </c:pt>
                <c:pt idx="831">
                  <c:v>-1.0071529233644849E-2</c:v>
                </c:pt>
                <c:pt idx="832">
                  <c:v>-1.3348527898607188E-2</c:v>
                </c:pt>
                <c:pt idx="833">
                  <c:v>-9.9441400812929626E-3</c:v>
                </c:pt>
                <c:pt idx="834">
                  <c:v>-2.0436564518946598E-2</c:v>
                </c:pt>
                <c:pt idx="835">
                  <c:v>-3.0771400026818219E-2</c:v>
                </c:pt>
                <c:pt idx="836">
                  <c:v>-3.7752068089853985E-2</c:v>
                </c:pt>
                <c:pt idx="837">
                  <c:v>-6.2557873588194646E-2</c:v>
                </c:pt>
                <c:pt idx="838">
                  <c:v>-5.2470091509735362E-2</c:v>
                </c:pt>
                <c:pt idx="839">
                  <c:v>-5.8341822281785083E-2</c:v>
                </c:pt>
                <c:pt idx="840">
                  <c:v>-7.2780850259439145E-2</c:v>
                </c:pt>
                <c:pt idx="841">
                  <c:v>-8.5748141684842683E-2</c:v>
                </c:pt>
                <c:pt idx="842">
                  <c:v>-8.74068450839105E-2</c:v>
                </c:pt>
                <c:pt idx="843">
                  <c:v>-7.8507428300839122E-2</c:v>
                </c:pt>
                <c:pt idx="844">
                  <c:v>-5.5863062712995459E-2</c:v>
                </c:pt>
                <c:pt idx="845">
                  <c:v>-6.4207108867409435E-2</c:v>
                </c:pt>
                <c:pt idx="846">
                  <c:v>-8.2274005474750833E-2</c:v>
                </c:pt>
                <c:pt idx="847">
                  <c:v>-5.9073907497862121E-2</c:v>
                </c:pt>
                <c:pt idx="848">
                  <c:v>-4.8545577418841024E-2</c:v>
                </c:pt>
                <c:pt idx="849">
                  <c:v>-5.0755877083868528E-2</c:v>
                </c:pt>
                <c:pt idx="850">
                  <c:v>-4.1379276134628107E-2</c:v>
                </c:pt>
                <c:pt idx="851">
                  <c:v>-5.382739490058186E-2</c:v>
                </c:pt>
                <c:pt idx="852">
                  <c:v>-7.1063330009544456E-2</c:v>
                </c:pt>
                <c:pt idx="853">
                  <c:v>-4.9661889826395855E-2</c:v>
                </c:pt>
                <c:pt idx="854">
                  <c:v>-6.3740754384628895E-2</c:v>
                </c:pt>
                <c:pt idx="855">
                  <c:v>-5.9386070712073247E-2</c:v>
                </c:pt>
                <c:pt idx="856">
                  <c:v>-6.6497654688286945E-2</c:v>
                </c:pt>
                <c:pt idx="857">
                  <c:v>-7.3031678955555401E-2</c:v>
                </c:pt>
                <c:pt idx="858">
                  <c:v>-6.5764710067633958E-2</c:v>
                </c:pt>
                <c:pt idx="859">
                  <c:v>-6.7217703605816137E-2</c:v>
                </c:pt>
                <c:pt idx="860">
                  <c:v>-8.6755362627531696E-2</c:v>
                </c:pt>
                <c:pt idx="861">
                  <c:v>-8.8928588035639411E-2</c:v>
                </c:pt>
                <c:pt idx="862">
                  <c:v>-8.8621251359542796E-2</c:v>
                </c:pt>
                <c:pt idx="863">
                  <c:v>-9.8255726103610552E-2</c:v>
                </c:pt>
                <c:pt idx="864">
                  <c:v>-0.1129041632096377</c:v>
                </c:pt>
                <c:pt idx="865">
                  <c:v>-0.1230975536525718</c:v>
                </c:pt>
                <c:pt idx="866">
                  <c:v>-0.14519033721238261</c:v>
                </c:pt>
                <c:pt idx="867">
                  <c:v>-0.15135084751866201</c:v>
                </c:pt>
                <c:pt idx="868">
                  <c:v>-0.14854387291963156</c:v>
                </c:pt>
                <c:pt idx="869">
                  <c:v>-0.15060998572275275</c:v>
                </c:pt>
                <c:pt idx="870">
                  <c:v>-0.1423046269586079</c:v>
                </c:pt>
                <c:pt idx="871">
                  <c:v>-0.13841924868846922</c:v>
                </c:pt>
                <c:pt idx="872">
                  <c:v>-0.12157193855064041</c:v>
                </c:pt>
                <c:pt idx="873">
                  <c:v>-0.13123360113876892</c:v>
                </c:pt>
                <c:pt idx="874">
                  <c:v>-0.12997299482350311</c:v>
                </c:pt>
                <c:pt idx="875">
                  <c:v>-0.11881912247946191</c:v>
                </c:pt>
                <c:pt idx="876">
                  <c:v>-0.11787064539022984</c:v>
                </c:pt>
                <c:pt idx="877">
                  <c:v>-0.1054584178700908</c:v>
                </c:pt>
                <c:pt idx="878">
                  <c:v>-6.6790329046073182E-2</c:v>
                </c:pt>
                <c:pt idx="879">
                  <c:v>-9.0392561684004669E-2</c:v>
                </c:pt>
                <c:pt idx="880">
                  <c:v>-8.8169219498486884E-2</c:v>
                </c:pt>
                <c:pt idx="881">
                  <c:v>-0.11093491253307386</c:v>
                </c:pt>
                <c:pt idx="882">
                  <c:v>-0.10428853215336975</c:v>
                </c:pt>
                <c:pt idx="883">
                  <c:v>-7.9671025925534655E-2</c:v>
                </c:pt>
                <c:pt idx="884">
                  <c:v>-9.1462100669435387E-2</c:v>
                </c:pt>
                <c:pt idx="885">
                  <c:v>-9.8800810086573154E-2</c:v>
                </c:pt>
                <c:pt idx="886">
                  <c:v>-0.12271214950185616</c:v>
                </c:pt>
                <c:pt idx="887">
                  <c:v>-0.13119158600076575</c:v>
                </c:pt>
                <c:pt idx="888">
                  <c:v>-0.13789576111546253</c:v>
                </c:pt>
                <c:pt idx="889">
                  <c:v>-0.13755943277392113</c:v>
                </c:pt>
                <c:pt idx="890">
                  <c:v>-0.14095312583706088</c:v>
                </c:pt>
                <c:pt idx="891">
                  <c:v>-0.13970480784973849</c:v>
                </c:pt>
                <c:pt idx="892">
                  <c:v>-0.14916295104387789</c:v>
                </c:pt>
                <c:pt idx="893">
                  <c:v>-0.15732841082020976</c:v>
                </c:pt>
                <c:pt idx="894">
                  <c:v>-0.17623150695831913</c:v>
                </c:pt>
                <c:pt idx="895">
                  <c:v>-0.18225965190068294</c:v>
                </c:pt>
                <c:pt idx="896">
                  <c:v>-0.17388088487893461</c:v>
                </c:pt>
                <c:pt idx="897">
                  <c:v>-0.18162332257442837</c:v>
                </c:pt>
                <c:pt idx="898">
                  <c:v>-0.173490152399145</c:v>
                </c:pt>
                <c:pt idx="899">
                  <c:v>-0.17182330327048123</c:v>
                </c:pt>
                <c:pt idx="900">
                  <c:v>-0.17298242276716924</c:v>
                </c:pt>
                <c:pt idx="901">
                  <c:v>-0.1828753488721222</c:v>
                </c:pt>
                <c:pt idx="902">
                  <c:v>-0.17909529506969624</c:v>
                </c:pt>
                <c:pt idx="903">
                  <c:v>-0.17203029099124345</c:v>
                </c:pt>
                <c:pt idx="904">
                  <c:v>-0.17982298002390018</c:v>
                </c:pt>
                <c:pt idx="905">
                  <c:v>-0.18020102027600493</c:v>
                </c:pt>
                <c:pt idx="906">
                  <c:v>-0.17738348950249927</c:v>
                </c:pt>
                <c:pt idx="907">
                  <c:v>-0.176010788237972</c:v>
                </c:pt>
                <c:pt idx="908">
                  <c:v>-0.17637093308449336</c:v>
                </c:pt>
                <c:pt idx="909">
                  <c:v>-0.16178968461963916</c:v>
                </c:pt>
                <c:pt idx="910">
                  <c:v>-0.17562240195792023</c:v>
                </c:pt>
                <c:pt idx="911">
                  <c:v>-0.17507738307004583</c:v>
                </c:pt>
                <c:pt idx="912">
                  <c:v>-0.17384090840346533</c:v>
                </c:pt>
                <c:pt idx="913">
                  <c:v>-0.16511291931913541</c:v>
                </c:pt>
                <c:pt idx="914">
                  <c:v>-0.17749735500482955</c:v>
                </c:pt>
                <c:pt idx="915">
                  <c:v>-0.14473004470446482</c:v>
                </c:pt>
                <c:pt idx="916">
                  <c:v>-0.13316659141971265</c:v>
                </c:pt>
                <c:pt idx="917">
                  <c:v>-0.15214135906861848</c:v>
                </c:pt>
                <c:pt idx="918">
                  <c:v>-0.14675873831121056</c:v>
                </c:pt>
                <c:pt idx="919">
                  <c:v>-0.15875295298653036</c:v>
                </c:pt>
                <c:pt idx="920">
                  <c:v>-0.14379978615616551</c:v>
                </c:pt>
                <c:pt idx="921">
                  <c:v>-0.14648732898330352</c:v>
                </c:pt>
                <c:pt idx="922">
                  <c:v>-0.14327145499339311</c:v>
                </c:pt>
                <c:pt idx="923">
                  <c:v>-0.15252934559429221</c:v>
                </c:pt>
                <c:pt idx="924">
                  <c:v>-0.14805639885638322</c:v>
                </c:pt>
                <c:pt idx="925">
                  <c:v>-0.15646134069391326</c:v>
                </c:pt>
                <c:pt idx="926">
                  <c:v>-0.15079174869523126</c:v>
                </c:pt>
                <c:pt idx="927">
                  <c:v>-0.14944024903623077</c:v>
                </c:pt>
                <c:pt idx="928">
                  <c:v>-0.14444298832175839</c:v>
                </c:pt>
                <c:pt idx="929">
                  <c:v>-0.13445938686240977</c:v>
                </c:pt>
                <c:pt idx="930">
                  <c:v>-0.13494951819046874</c:v>
                </c:pt>
                <c:pt idx="931">
                  <c:v>-0.13370344933969225</c:v>
                </c:pt>
                <c:pt idx="932">
                  <c:v>-0.15054323833705729</c:v>
                </c:pt>
                <c:pt idx="933">
                  <c:v>-0.15427711361027296</c:v>
                </c:pt>
                <c:pt idx="934">
                  <c:v>-0.13278785535003279</c:v>
                </c:pt>
                <c:pt idx="935">
                  <c:v>-0.12197666612055125</c:v>
                </c:pt>
                <c:pt idx="936">
                  <c:v>-0.10777532505991738</c:v>
                </c:pt>
                <c:pt idx="937">
                  <c:v>-0.12461599411706081</c:v>
                </c:pt>
                <c:pt idx="938">
                  <c:v>-0.11684026246272694</c:v>
                </c:pt>
                <c:pt idx="939">
                  <c:v>-0.13451544857064213</c:v>
                </c:pt>
                <c:pt idx="940">
                  <c:v>-0.10921709910800281</c:v>
                </c:pt>
                <c:pt idx="941">
                  <c:v>-0.14746708815641218</c:v>
                </c:pt>
                <c:pt idx="942">
                  <c:v>-0.19636334313039594</c:v>
                </c:pt>
                <c:pt idx="943">
                  <c:v>-0.1735062757318766</c:v>
                </c:pt>
                <c:pt idx="944">
                  <c:v>-0.16953149937638012</c:v>
                </c:pt>
                <c:pt idx="945">
                  <c:v>-0.16364477962561952</c:v>
                </c:pt>
                <c:pt idx="946">
                  <c:v>-0.16944802888680299</c:v>
                </c:pt>
                <c:pt idx="947">
                  <c:v>-0.15595246146359432</c:v>
                </c:pt>
                <c:pt idx="948">
                  <c:v>-0.16181506233767129</c:v>
                </c:pt>
                <c:pt idx="949">
                  <c:v>-0.15352747264575761</c:v>
                </c:pt>
                <c:pt idx="950">
                  <c:v>-0.16016298489125314</c:v>
                </c:pt>
                <c:pt idx="951">
                  <c:v>-0.16366126712654117</c:v>
                </c:pt>
                <c:pt idx="952">
                  <c:v>-0.17420880859013432</c:v>
                </c:pt>
                <c:pt idx="953">
                  <c:v>-0.16695390160868984</c:v>
                </c:pt>
                <c:pt idx="954">
                  <c:v>-0.17679279235561296</c:v>
                </c:pt>
                <c:pt idx="955">
                  <c:v>-0.17630027372172341</c:v>
                </c:pt>
                <c:pt idx="956">
                  <c:v>-0.17932056795992346</c:v>
                </c:pt>
                <c:pt idx="957">
                  <c:v>-0.17656550251077086</c:v>
                </c:pt>
                <c:pt idx="958">
                  <c:v>-0.16768597203192304</c:v>
                </c:pt>
                <c:pt idx="959">
                  <c:v>-0.16416549620958243</c:v>
                </c:pt>
                <c:pt idx="960">
                  <c:v>-0.16352357429469455</c:v>
                </c:pt>
                <c:pt idx="961">
                  <c:v>-0.16983219004051997</c:v>
                </c:pt>
                <c:pt idx="962">
                  <c:v>-0.17897930904273207</c:v>
                </c:pt>
                <c:pt idx="963">
                  <c:v>-0.20480828302272092</c:v>
                </c:pt>
                <c:pt idx="964">
                  <c:v>-0.1947916906994156</c:v>
                </c:pt>
                <c:pt idx="965">
                  <c:v>-0.17557411621241892</c:v>
                </c:pt>
                <c:pt idx="966">
                  <c:v>-0.19049110833338578</c:v>
                </c:pt>
                <c:pt idx="967">
                  <c:v>-0.21894945340328253</c:v>
                </c:pt>
                <c:pt idx="968">
                  <c:v>-0.21336996931191732</c:v>
                </c:pt>
                <c:pt idx="969">
                  <c:v>-0.20111563271041444</c:v>
                </c:pt>
                <c:pt idx="970">
                  <c:v>-0.19099619629640907</c:v>
                </c:pt>
                <c:pt idx="971">
                  <c:v>-0.1843541207407291</c:v>
                </c:pt>
                <c:pt idx="972">
                  <c:v>-0.19835387567617824</c:v>
                </c:pt>
                <c:pt idx="973">
                  <c:v>-0.20607348410586157</c:v>
                </c:pt>
                <c:pt idx="974">
                  <c:v>-0.21641135187338567</c:v>
                </c:pt>
                <c:pt idx="975">
                  <c:v>-0.23902106764612396</c:v>
                </c:pt>
                <c:pt idx="976">
                  <c:v>-0.23809687233556964</c:v>
                </c:pt>
                <c:pt idx="977">
                  <c:v>-0.23636194954444845</c:v>
                </c:pt>
                <c:pt idx="978">
                  <c:v>-0.23419548151804293</c:v>
                </c:pt>
                <c:pt idx="979">
                  <c:v>-0.22500268903398313</c:v>
                </c:pt>
                <c:pt idx="980">
                  <c:v>-0.22756031635832108</c:v>
                </c:pt>
                <c:pt idx="981">
                  <c:v>-0.21845225999888185</c:v>
                </c:pt>
                <c:pt idx="982">
                  <c:v>-0.2188609222624176</c:v>
                </c:pt>
                <c:pt idx="983">
                  <c:v>-0.22233924537433403</c:v>
                </c:pt>
                <c:pt idx="984">
                  <c:v>-0.21061257987598592</c:v>
                </c:pt>
                <c:pt idx="985">
                  <c:v>-0.1972246255310397</c:v>
                </c:pt>
                <c:pt idx="986">
                  <c:v>-0.20287473264460476</c:v>
                </c:pt>
                <c:pt idx="987">
                  <c:v>-0.20528061424964461</c:v>
                </c:pt>
                <c:pt idx="988">
                  <c:v>-0.20418317022289267</c:v>
                </c:pt>
                <c:pt idx="989">
                  <c:v>-0.20729764770221348</c:v>
                </c:pt>
                <c:pt idx="990">
                  <c:v>-0.20087545392165951</c:v>
                </c:pt>
                <c:pt idx="991">
                  <c:v>-0.21063855465326542</c:v>
                </c:pt>
                <c:pt idx="992">
                  <c:v>-0.20028586916981417</c:v>
                </c:pt>
                <c:pt idx="993">
                  <c:v>-0.19518004280605439</c:v>
                </c:pt>
                <c:pt idx="994">
                  <c:v>-0.17059376688504457</c:v>
                </c:pt>
                <c:pt idx="995">
                  <c:v>-0.16739175876972201</c:v>
                </c:pt>
                <c:pt idx="996">
                  <c:v>-0.17790583217203459</c:v>
                </c:pt>
                <c:pt idx="997">
                  <c:v>-0.18617687500279656</c:v>
                </c:pt>
                <c:pt idx="998">
                  <c:v>-0.20614658631814775</c:v>
                </c:pt>
                <c:pt idx="999">
                  <c:v>-0.20405531519985898</c:v>
                </c:pt>
                <c:pt idx="1000">
                  <c:v>-0.20579263965309313</c:v>
                </c:pt>
                <c:pt idx="1001">
                  <c:v>-0.17055583018916609</c:v>
                </c:pt>
                <c:pt idx="1002">
                  <c:v>-0.18543587172522935</c:v>
                </c:pt>
                <c:pt idx="1003">
                  <c:v>-0.21165065292145768</c:v>
                </c:pt>
                <c:pt idx="1004">
                  <c:v>-0.20354613383358333</c:v>
                </c:pt>
                <c:pt idx="1005">
                  <c:v>-0.19985421135531545</c:v>
                </c:pt>
                <c:pt idx="1006">
                  <c:v>-0.23410149765588573</c:v>
                </c:pt>
                <c:pt idx="1007">
                  <c:v>-0.18938362085692773</c:v>
                </c:pt>
                <c:pt idx="1008">
                  <c:v>-0.17760729673287901</c:v>
                </c:pt>
                <c:pt idx="1009">
                  <c:v>-0.14867499982137167</c:v>
                </c:pt>
                <c:pt idx="1010">
                  <c:v>-0.1614679418308711</c:v>
                </c:pt>
                <c:pt idx="1011">
                  <c:v>-0.13440134350725041</c:v>
                </c:pt>
                <c:pt idx="1012">
                  <c:v>-0.13606745335945236</c:v>
                </c:pt>
                <c:pt idx="1013">
                  <c:v>-0.12852964688630775</c:v>
                </c:pt>
                <c:pt idx="1014">
                  <c:v>-0.14003323247854316</c:v>
                </c:pt>
                <c:pt idx="1015">
                  <c:v>-0.15717623489435151</c:v>
                </c:pt>
                <c:pt idx="1016">
                  <c:v>-0.157698560905565</c:v>
                </c:pt>
                <c:pt idx="1017">
                  <c:v>-0.14329149597468516</c:v>
                </c:pt>
                <c:pt idx="1018">
                  <c:v>-0.16118327944925781</c:v>
                </c:pt>
                <c:pt idx="1019">
                  <c:v>-0.16102064789083026</c:v>
                </c:pt>
                <c:pt idx="1020">
                  <c:v>-0.16457888716759217</c:v>
                </c:pt>
                <c:pt idx="1021">
                  <c:v>-0.15867653050742914</c:v>
                </c:pt>
                <c:pt idx="1022">
                  <c:v>-0.19029016081127881</c:v>
                </c:pt>
                <c:pt idx="1023">
                  <c:v>-0.17418167403904228</c:v>
                </c:pt>
                <c:pt idx="1024">
                  <c:v>-0.1320010023338265</c:v>
                </c:pt>
                <c:pt idx="1025">
                  <c:v>-0.12613668298016334</c:v>
                </c:pt>
                <c:pt idx="1026">
                  <c:v>-0.14534151427860831</c:v>
                </c:pt>
                <c:pt idx="1027">
                  <c:v>-0.13526950357623346</c:v>
                </c:pt>
                <c:pt idx="1028">
                  <c:v>-0.13042615642415112</c:v>
                </c:pt>
                <c:pt idx="1029">
                  <c:v>-0.13647744687098529</c:v>
                </c:pt>
                <c:pt idx="1030">
                  <c:v>-0.13629431757837907</c:v>
                </c:pt>
                <c:pt idx="1031">
                  <c:v>-0.13858111883273438</c:v>
                </c:pt>
                <c:pt idx="1032">
                  <c:v>-0.12858286264887142</c:v>
                </c:pt>
                <c:pt idx="1033">
                  <c:v>-0.11141249473871273</c:v>
                </c:pt>
                <c:pt idx="1034">
                  <c:v>-0.12689170422619078</c:v>
                </c:pt>
                <c:pt idx="1035">
                  <c:v>-0.11761902265948954</c:v>
                </c:pt>
                <c:pt idx="1036">
                  <c:v>-0.11315524381022546</c:v>
                </c:pt>
                <c:pt idx="1037">
                  <c:v>-0.11509970544707482</c:v>
                </c:pt>
                <c:pt idx="1038">
                  <c:v>-0.11717409455074956</c:v>
                </c:pt>
                <c:pt idx="1039">
                  <c:v>-0.14089406851262809</c:v>
                </c:pt>
                <c:pt idx="1040">
                  <c:v>-0.15659722479221716</c:v>
                </c:pt>
                <c:pt idx="1041">
                  <c:v>-0.16482718933428187</c:v>
                </c:pt>
                <c:pt idx="1042">
                  <c:v>-0.15205205351269724</c:v>
                </c:pt>
                <c:pt idx="1043">
                  <c:v>-0.1464777726070372</c:v>
                </c:pt>
                <c:pt idx="1044">
                  <c:v>-0.18209074164918659</c:v>
                </c:pt>
                <c:pt idx="1045">
                  <c:v>-0.13196467098704989</c:v>
                </c:pt>
                <c:pt idx="1046">
                  <c:v>-0.12621958008383816</c:v>
                </c:pt>
                <c:pt idx="1047">
                  <c:v>-0.14850506351546455</c:v>
                </c:pt>
                <c:pt idx="1048">
                  <c:v>-0.15230379438464237</c:v>
                </c:pt>
                <c:pt idx="1049">
                  <c:v>-0.14216164135322074</c:v>
                </c:pt>
                <c:pt idx="1050">
                  <c:v>-0.16406418983133575</c:v>
                </c:pt>
                <c:pt idx="1051">
                  <c:v>-0.15844765753754642</c:v>
                </c:pt>
                <c:pt idx="1052">
                  <c:v>-0.15426077287787554</c:v>
                </c:pt>
                <c:pt idx="1053">
                  <c:v>-0.13946344284211265</c:v>
                </c:pt>
                <c:pt idx="1054">
                  <c:v>-0.15188364055704562</c:v>
                </c:pt>
                <c:pt idx="1055">
                  <c:v>-0.12678884758491016</c:v>
                </c:pt>
                <c:pt idx="1056">
                  <c:v>-0.12153381831633192</c:v>
                </c:pt>
                <c:pt idx="1057">
                  <c:v>-0.1167339615120484</c:v>
                </c:pt>
                <c:pt idx="1058">
                  <c:v>-0.13002720674712842</c:v>
                </c:pt>
                <c:pt idx="1059">
                  <c:v>-0.14093021001114558</c:v>
                </c:pt>
                <c:pt idx="1060">
                  <c:v>-0.14320570387313514</c:v>
                </c:pt>
                <c:pt idx="1061">
                  <c:v>-0.1425418634255613</c:v>
                </c:pt>
                <c:pt idx="1062">
                  <c:v>-0.11729527508203574</c:v>
                </c:pt>
                <c:pt idx="1063">
                  <c:v>-0.10902567852329725</c:v>
                </c:pt>
                <c:pt idx="1064">
                  <c:v>-9.903795224653078E-2</c:v>
                </c:pt>
                <c:pt idx="1065">
                  <c:v>-6.9611925274057906E-2</c:v>
                </c:pt>
                <c:pt idx="1066">
                  <c:v>-5.5518670437487039E-2</c:v>
                </c:pt>
                <c:pt idx="1067">
                  <c:v>-6.1787442211043819E-2</c:v>
                </c:pt>
                <c:pt idx="1068">
                  <c:v>-5.8637879648597568E-2</c:v>
                </c:pt>
                <c:pt idx="1069">
                  <c:v>-4.2147338109014498E-2</c:v>
                </c:pt>
                <c:pt idx="1070">
                  <c:v>-5.900967155599024E-2</c:v>
                </c:pt>
                <c:pt idx="1071">
                  <c:v>-6.0369197124515495E-2</c:v>
                </c:pt>
                <c:pt idx="1072">
                  <c:v>-5.0616883851045902E-2</c:v>
                </c:pt>
                <c:pt idx="1073">
                  <c:v>-5.1244040877381769E-2</c:v>
                </c:pt>
                <c:pt idx="1074">
                  <c:v>-4.870246235381126E-2</c:v>
                </c:pt>
                <c:pt idx="1075">
                  <c:v>-9.189690122394234E-3</c:v>
                </c:pt>
                <c:pt idx="1076">
                  <c:v>7.9811565890641756E-4</c:v>
                </c:pt>
                <c:pt idx="1077">
                  <c:v>2.3776449083147244E-2</c:v>
                </c:pt>
                <c:pt idx="1078">
                  <c:v>1.6620727398521828E-2</c:v>
                </c:pt>
                <c:pt idx="1079">
                  <c:v>1.9263413277579189E-2</c:v>
                </c:pt>
                <c:pt idx="1080">
                  <c:v>8.7434032737583323E-3</c:v>
                </c:pt>
                <c:pt idx="1081">
                  <c:v>-8.4597248013575932E-3</c:v>
                </c:pt>
                <c:pt idx="1082">
                  <c:v>-1.7537609552893185E-2</c:v>
                </c:pt>
                <c:pt idx="1083">
                  <c:v>-2.7138100772842177E-2</c:v>
                </c:pt>
                <c:pt idx="1084">
                  <c:v>-2.9423681531470569E-2</c:v>
                </c:pt>
                <c:pt idx="1085">
                  <c:v>-1.8972749334086991E-2</c:v>
                </c:pt>
                <c:pt idx="1086">
                  <c:v>-2.228745216085648E-2</c:v>
                </c:pt>
                <c:pt idx="1087">
                  <c:v>-9.6190789881285266E-3</c:v>
                </c:pt>
                <c:pt idx="1088">
                  <c:v>4.2876258232791287E-3</c:v>
                </c:pt>
                <c:pt idx="1089">
                  <c:v>1.3083078605972909E-2</c:v>
                </c:pt>
                <c:pt idx="1090">
                  <c:v>2.1891818280573294E-2</c:v>
                </c:pt>
                <c:pt idx="1091">
                  <c:v>2.432933554749539E-2</c:v>
                </c:pt>
                <c:pt idx="1092">
                  <c:v>4.1011445706007232E-2</c:v>
                </c:pt>
                <c:pt idx="1093">
                  <c:v>3.5466792039330008E-2</c:v>
                </c:pt>
                <c:pt idx="1094">
                  <c:v>2.6310301547638026E-2</c:v>
                </c:pt>
                <c:pt idx="1095">
                  <c:v>1.3658131858473421E-2</c:v>
                </c:pt>
                <c:pt idx="1096">
                  <c:v>-2.000604167383635E-2</c:v>
                </c:pt>
                <c:pt idx="1097">
                  <c:v>-2.0392871383180466E-2</c:v>
                </c:pt>
                <c:pt idx="1098">
                  <c:v>-3.3970015280973653E-2</c:v>
                </c:pt>
                <c:pt idx="1099">
                  <c:v>-1.5253199101353365E-2</c:v>
                </c:pt>
                <c:pt idx="1100">
                  <c:v>-2.9070351071036615E-3</c:v>
                </c:pt>
                <c:pt idx="1101">
                  <c:v>-1.8992007920956455E-2</c:v>
                </c:pt>
                <c:pt idx="1102">
                  <c:v>-2.3947866099520043E-2</c:v>
                </c:pt>
                <c:pt idx="1103">
                  <c:v>-5.0837313100597914E-2</c:v>
                </c:pt>
                <c:pt idx="1104">
                  <c:v>-4.5489986962981455E-2</c:v>
                </c:pt>
                <c:pt idx="1105">
                  <c:v>-4.6997667765815043E-2</c:v>
                </c:pt>
                <c:pt idx="1106">
                  <c:v>-3.306147098751544E-2</c:v>
                </c:pt>
                <c:pt idx="1107">
                  <c:v>-1.3340378724791213E-2</c:v>
                </c:pt>
                <c:pt idx="1108">
                  <c:v>2.3595931777792289E-3</c:v>
                </c:pt>
                <c:pt idx="1109">
                  <c:v>-2.1682127130153717E-3</c:v>
                </c:pt>
                <c:pt idx="1110">
                  <c:v>-5.5146331462208042E-3</c:v>
                </c:pt>
                <c:pt idx="1111">
                  <c:v>3.4742852680644809E-3</c:v>
                </c:pt>
                <c:pt idx="1112">
                  <c:v>-4.3973336458638101E-3</c:v>
                </c:pt>
                <c:pt idx="1113">
                  <c:v>-3.82517420597972E-2</c:v>
                </c:pt>
                <c:pt idx="1114">
                  <c:v>-3.0784084085817787E-2</c:v>
                </c:pt>
                <c:pt idx="1115">
                  <c:v>-3.6227560948102422E-2</c:v>
                </c:pt>
                <c:pt idx="1116">
                  <c:v>-3.3120644403510591E-2</c:v>
                </c:pt>
                <c:pt idx="1117">
                  <c:v>-3.2806898264340134E-2</c:v>
                </c:pt>
                <c:pt idx="1118">
                  <c:v>-3.1854902740031665E-2</c:v>
                </c:pt>
                <c:pt idx="1119">
                  <c:v>1.1103549950726155E-3</c:v>
                </c:pt>
                <c:pt idx="1120">
                  <c:v>-8.2323017778951346E-3</c:v>
                </c:pt>
                <c:pt idx="1121">
                  <c:v>2.0100427783015462E-2</c:v>
                </c:pt>
                <c:pt idx="1122">
                  <c:v>3.7955351518802471E-3</c:v>
                </c:pt>
                <c:pt idx="1123">
                  <c:v>-1.3553410957224177E-2</c:v>
                </c:pt>
                <c:pt idx="1124">
                  <c:v>-2.1080690353395326E-2</c:v>
                </c:pt>
                <c:pt idx="1125">
                  <c:v>4.8782114163948842E-3</c:v>
                </c:pt>
                <c:pt idx="1126">
                  <c:v>-3.625341429773421E-2</c:v>
                </c:pt>
                <c:pt idx="1127">
                  <c:v>-5.8320573016273691E-2</c:v>
                </c:pt>
                <c:pt idx="1128">
                  <c:v>-6.4646829603745681E-2</c:v>
                </c:pt>
                <c:pt idx="1129">
                  <c:v>-5.1785657615817771E-2</c:v>
                </c:pt>
                <c:pt idx="1130">
                  <c:v>-6.6727374134927464E-2</c:v>
                </c:pt>
                <c:pt idx="1131">
                  <c:v>-5.9012408384363502E-2</c:v>
                </c:pt>
                <c:pt idx="1132">
                  <c:v>-6.5360316492653725E-2</c:v>
                </c:pt>
                <c:pt idx="1133">
                  <c:v>-4.7349453697159039E-2</c:v>
                </c:pt>
                <c:pt idx="1134">
                  <c:v>-3.9060621801492168E-2</c:v>
                </c:pt>
                <c:pt idx="1135">
                  <c:v>-1.656070721401437E-2</c:v>
                </c:pt>
                <c:pt idx="1136">
                  <c:v>1.0521778047628105E-2</c:v>
                </c:pt>
                <c:pt idx="1137">
                  <c:v>3.8880240198184035E-2</c:v>
                </c:pt>
                <c:pt idx="1138">
                  <c:v>5.9135303895688995E-2</c:v>
                </c:pt>
                <c:pt idx="1139">
                  <c:v>4.5085612798936747E-2</c:v>
                </c:pt>
                <c:pt idx="1140">
                  <c:v>4.2790968328573542E-2</c:v>
                </c:pt>
                <c:pt idx="1141">
                  <c:v>6.9797736387162801E-2</c:v>
                </c:pt>
                <c:pt idx="1142">
                  <c:v>5.9822954633976133E-2</c:v>
                </c:pt>
                <c:pt idx="1143">
                  <c:v>8.4227996904580049E-2</c:v>
                </c:pt>
                <c:pt idx="1144">
                  <c:v>8.5459008719602103E-2</c:v>
                </c:pt>
                <c:pt idx="1145">
                  <c:v>0.11426487385905348</c:v>
                </c:pt>
                <c:pt idx="1146">
                  <c:v>0.1260684267487715</c:v>
                </c:pt>
                <c:pt idx="1147">
                  <c:v>0.12469492099133495</c:v>
                </c:pt>
                <c:pt idx="1148">
                  <c:v>0.12581008371140834</c:v>
                </c:pt>
                <c:pt idx="1149">
                  <c:v>0.13273992580063354</c:v>
                </c:pt>
                <c:pt idx="1150">
                  <c:v>0.12101038135010034</c:v>
                </c:pt>
                <c:pt idx="1151">
                  <c:v>0.1081206539689884</c:v>
                </c:pt>
                <c:pt idx="1152">
                  <c:v>0.11991766694989514</c:v>
                </c:pt>
                <c:pt idx="1153">
                  <c:v>0.10850687342265941</c:v>
                </c:pt>
                <c:pt idx="1154">
                  <c:v>0.10311976571834569</c:v>
                </c:pt>
                <c:pt idx="1155">
                  <c:v>9.7012873384002773E-2</c:v>
                </c:pt>
                <c:pt idx="1156">
                  <c:v>7.8093857099322816E-2</c:v>
                </c:pt>
                <c:pt idx="1157">
                  <c:v>7.5150005893436567E-2</c:v>
                </c:pt>
                <c:pt idx="1158">
                  <c:v>8.4704875078313813E-2</c:v>
                </c:pt>
                <c:pt idx="1159">
                  <c:v>7.5750693682916648E-2</c:v>
                </c:pt>
                <c:pt idx="1160">
                  <c:v>6.2043561730719565E-2</c:v>
                </c:pt>
                <c:pt idx="1161">
                  <c:v>6.8411077524268227E-2</c:v>
                </c:pt>
                <c:pt idx="1162">
                  <c:v>7.0935715754162465E-2</c:v>
                </c:pt>
                <c:pt idx="1163">
                  <c:v>7.7311973218832652E-2</c:v>
                </c:pt>
                <c:pt idx="1164">
                  <c:v>7.072460133182501E-2</c:v>
                </c:pt>
                <c:pt idx="1165">
                  <c:v>7.8624216905041511E-2</c:v>
                </c:pt>
                <c:pt idx="1166">
                  <c:v>6.9803193344815662E-2</c:v>
                </c:pt>
                <c:pt idx="1167">
                  <c:v>6.9193329290858308E-2</c:v>
                </c:pt>
                <c:pt idx="1168">
                  <c:v>6.6579947303852194E-2</c:v>
                </c:pt>
                <c:pt idx="1169">
                  <c:v>8.2439757846119788E-2</c:v>
                </c:pt>
                <c:pt idx="1170">
                  <c:v>0.10593179796632346</c:v>
                </c:pt>
                <c:pt idx="1171">
                  <c:v>9.0702302392246748E-2</c:v>
                </c:pt>
                <c:pt idx="1172">
                  <c:v>8.7008101697306661E-2</c:v>
                </c:pt>
                <c:pt idx="1173">
                  <c:v>7.7469700913572304E-2</c:v>
                </c:pt>
                <c:pt idx="1174">
                  <c:v>8.1175818815992784E-2</c:v>
                </c:pt>
                <c:pt idx="1175">
                  <c:v>6.4614493048769317E-2</c:v>
                </c:pt>
                <c:pt idx="1176">
                  <c:v>7.8205741315841459E-2</c:v>
                </c:pt>
                <c:pt idx="1177">
                  <c:v>8.6686505153690918E-2</c:v>
                </c:pt>
                <c:pt idx="1178">
                  <c:v>0.1215051303794582</c:v>
                </c:pt>
                <c:pt idx="1179">
                  <c:v>0.11553721319171373</c:v>
                </c:pt>
                <c:pt idx="1180">
                  <c:v>9.0512002360095267E-2</c:v>
                </c:pt>
                <c:pt idx="1181">
                  <c:v>8.3041041790448356E-2</c:v>
                </c:pt>
                <c:pt idx="1182">
                  <c:v>4.0119234687909899E-2</c:v>
                </c:pt>
                <c:pt idx="1183">
                  <c:v>7.8010997324843179E-2</c:v>
                </c:pt>
                <c:pt idx="1184">
                  <c:v>6.8714169404457626E-2</c:v>
                </c:pt>
                <c:pt idx="1185">
                  <c:v>5.6788640195513218E-2</c:v>
                </c:pt>
                <c:pt idx="1186">
                  <c:v>5.9394650032793206E-2</c:v>
                </c:pt>
                <c:pt idx="1187">
                  <c:v>8.5365971239251714E-2</c:v>
                </c:pt>
                <c:pt idx="1188">
                  <c:v>0.11450253223348716</c:v>
                </c:pt>
                <c:pt idx="1189">
                  <c:v>0.10147733123489722</c:v>
                </c:pt>
                <c:pt idx="1190">
                  <c:v>9.9420541303651078E-2</c:v>
                </c:pt>
                <c:pt idx="1191">
                  <c:v>0.11251916534332107</c:v>
                </c:pt>
                <c:pt idx="1192">
                  <c:v>0.11458861556703204</c:v>
                </c:pt>
                <c:pt idx="1193">
                  <c:v>0.10167257432946231</c:v>
                </c:pt>
                <c:pt idx="1194">
                  <c:v>0.10152155677673047</c:v>
                </c:pt>
                <c:pt idx="1195">
                  <c:v>0.10973370368309143</c:v>
                </c:pt>
                <c:pt idx="1196">
                  <c:v>9.6427403656042299E-2</c:v>
                </c:pt>
                <c:pt idx="1197">
                  <c:v>9.6203526623972468E-2</c:v>
                </c:pt>
                <c:pt idx="1198">
                  <c:v>0.11460973701424548</c:v>
                </c:pt>
                <c:pt idx="1199">
                  <c:v>0.1251573327721659</c:v>
                </c:pt>
                <c:pt idx="1200">
                  <c:v>0.1375383450383405</c:v>
                </c:pt>
                <c:pt idx="1201">
                  <c:v>0.14544309702752345</c:v>
                </c:pt>
                <c:pt idx="1202">
                  <c:v>0.15843851397737074</c:v>
                </c:pt>
                <c:pt idx="1203">
                  <c:v>0.15810958222584559</c:v>
                </c:pt>
                <c:pt idx="1204">
                  <c:v>0.15902308595882142</c:v>
                </c:pt>
                <c:pt idx="1205">
                  <c:v>0.13514546600327715</c:v>
                </c:pt>
                <c:pt idx="1206">
                  <c:v>0.13428814734188088</c:v>
                </c:pt>
                <c:pt idx="1207">
                  <c:v>0.13138135852958255</c:v>
                </c:pt>
                <c:pt idx="1208">
                  <c:v>0.11338633993706571</c:v>
                </c:pt>
                <c:pt idx="1209">
                  <c:v>0.10752348576075577</c:v>
                </c:pt>
                <c:pt idx="1210">
                  <c:v>0.12141834799071005</c:v>
                </c:pt>
                <c:pt idx="1211">
                  <c:v>0.12165262940079458</c:v>
                </c:pt>
                <c:pt idx="1212">
                  <c:v>0.11964226019604574</c:v>
                </c:pt>
                <c:pt idx="1213">
                  <c:v>9.8773889932321168E-2</c:v>
                </c:pt>
                <c:pt idx="1214">
                  <c:v>9.1733023275868963E-2</c:v>
                </c:pt>
                <c:pt idx="1215">
                  <c:v>8.7052381922700373E-2</c:v>
                </c:pt>
                <c:pt idx="1216">
                  <c:v>6.9641419759733703E-2</c:v>
                </c:pt>
                <c:pt idx="1217">
                  <c:v>5.6938282520269556E-2</c:v>
                </c:pt>
                <c:pt idx="1218">
                  <c:v>6.8624487981904236E-2</c:v>
                </c:pt>
                <c:pt idx="1219">
                  <c:v>6.2562643796920669E-2</c:v>
                </c:pt>
                <c:pt idx="1220">
                  <c:v>6.1073458646326517E-2</c:v>
                </c:pt>
                <c:pt idx="1221">
                  <c:v>7.0573893295057588E-2</c:v>
                </c:pt>
                <c:pt idx="1222">
                  <c:v>6.2592704408569011E-2</c:v>
                </c:pt>
                <c:pt idx="1223">
                  <c:v>8.5894553908318017E-2</c:v>
                </c:pt>
                <c:pt idx="1224">
                  <c:v>9.9067872399131396E-2</c:v>
                </c:pt>
                <c:pt idx="1225">
                  <c:v>0.10592479889162043</c:v>
                </c:pt>
                <c:pt idx="1226">
                  <c:v>8.5526964368575209E-2</c:v>
                </c:pt>
                <c:pt idx="1227">
                  <c:v>6.8577387524086153E-2</c:v>
                </c:pt>
                <c:pt idx="1228">
                  <c:v>7.7576483726939482E-2</c:v>
                </c:pt>
                <c:pt idx="1229">
                  <c:v>8.6616052050137671E-2</c:v>
                </c:pt>
                <c:pt idx="1230">
                  <c:v>9.3972531361955269E-2</c:v>
                </c:pt>
                <c:pt idx="1231">
                  <c:v>0.13613601392583397</c:v>
                </c:pt>
                <c:pt idx="1232">
                  <c:v>0.16339329925204238</c:v>
                </c:pt>
                <c:pt idx="1233">
                  <c:v>0.17830021921749095</c:v>
                </c:pt>
                <c:pt idx="1234">
                  <c:v>0.16111119963605569</c:v>
                </c:pt>
                <c:pt idx="1235">
                  <c:v>0.16932085128310304</c:v>
                </c:pt>
                <c:pt idx="1236">
                  <c:v>0.18175593196681605</c:v>
                </c:pt>
                <c:pt idx="1237">
                  <c:v>0.18474666414773544</c:v>
                </c:pt>
                <c:pt idx="1238">
                  <c:v>0.20441448335765766</c:v>
                </c:pt>
                <c:pt idx="1239">
                  <c:v>0.18642754265640271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B-495E-B280-B396BE8C5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5956912"/>
        <c:axId val="655958832"/>
      </c:lineChart>
      <c:dateAx>
        <c:axId val="655956912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58832"/>
        <c:crosses val="autoZero"/>
        <c:auto val="1"/>
        <c:lblOffset val="100"/>
        <c:baseTimeUnit val="days"/>
        <c:majorUnit val="6"/>
        <c:majorTimeUnit val="months"/>
      </c:dateAx>
      <c:valAx>
        <c:axId val="65595883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56912"/>
        <c:crosses val="autoZero"/>
        <c:crossBetween val="between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482552</xdr:colOff>
      <xdr:row>10</xdr:row>
      <xdr:rowOff>45945</xdr:rowOff>
    </xdr:from>
    <xdr:to>
      <xdr:col>20</xdr:col>
      <xdr:colOff>520652</xdr:colOff>
      <xdr:row>25</xdr:row>
      <xdr:rowOff>74520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F998EB-6CA0-1F20-75F0-C4601D081F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B8E29-FC4F-4FEF-9EEB-DC071E098347}">
  <dimension ref="A1:T1619"/>
  <sheetViews>
    <sheetView showGridLines="0" tabSelected="1" topLeftCell="D3" zoomScale="85" zoomScaleNormal="85" workbookViewId="0">
      <selection activeCell="O10" sqref="O10"/>
    </sheetView>
  </sheetViews>
  <sheetFormatPr defaultRowHeight="14.25" x14ac:dyDescent="0.45"/>
  <cols>
    <col min="1" max="1" width="9.33203125" style="1" bestFit="1" customWidth="1"/>
    <col min="2" max="6" width="9.06640625" style="1"/>
    <col min="7" max="8" width="16.3984375" style="1" bestFit="1" customWidth="1"/>
    <col min="9" max="9" width="9.06640625" style="1"/>
    <col min="10" max="10" width="23.53125" style="1" bestFit="1" customWidth="1"/>
    <col min="11" max="11" width="21" style="1" bestFit="1" customWidth="1"/>
    <col min="12" max="18" width="9.06640625" style="1"/>
    <col min="19" max="19" width="9.06640625" style="1" customWidth="1"/>
    <col min="20" max="20" width="9.33203125" style="1" bestFit="1" customWidth="1"/>
    <col min="21" max="16384" width="9.06640625" style="1"/>
  </cols>
  <sheetData>
    <row r="1" spans="1:16" x14ac:dyDescent="0.45">
      <c r="A1" s="53" t="s">
        <v>14</v>
      </c>
      <c r="B1" s="53"/>
      <c r="D1" s="53" t="s">
        <v>15</v>
      </c>
      <c r="E1" s="53"/>
    </row>
    <row r="2" spans="1:16" ht="14.65" thickBot="1" x14ac:dyDescent="0.5">
      <c r="A2" s="6" t="s">
        <v>0</v>
      </c>
      <c r="B2" s="6" t="s">
        <v>1</v>
      </c>
      <c r="D2" s="6" t="s">
        <v>0</v>
      </c>
      <c r="E2" s="6" t="s">
        <v>1</v>
      </c>
      <c r="G2" s="1" t="s">
        <v>2</v>
      </c>
      <c r="H2" s="1" t="s">
        <v>3</v>
      </c>
      <c r="J2" s="1" t="s">
        <v>36</v>
      </c>
      <c r="K2" s="1" t="s">
        <v>4</v>
      </c>
      <c r="M2" s="1" t="s">
        <v>5</v>
      </c>
    </row>
    <row r="3" spans="1:16" x14ac:dyDescent="0.45">
      <c r="A3" s="2">
        <v>45968</v>
      </c>
      <c r="B3" s="3">
        <v>2104.25</v>
      </c>
      <c r="D3" s="2">
        <v>45968</v>
      </c>
      <c r="E3" s="3">
        <v>1066.6500000000001</v>
      </c>
      <c r="G3" s="3">
        <v>1597100000</v>
      </c>
      <c r="H3" s="3">
        <f>+G3*B3</f>
        <v>3360697675000</v>
      </c>
      <c r="J3" s="3">
        <v>3193661300</v>
      </c>
      <c r="K3" s="3">
        <f>+J3*E3</f>
        <v>3406518825645.0005</v>
      </c>
      <c r="M3" s="4">
        <f>1- (H3/K3)</f>
        <v>1.3451019351500171E-2</v>
      </c>
      <c r="P3" s="1">
        <f>+J3/G3</f>
        <v>1.9996627011458268</v>
      </c>
    </row>
    <row r="4" spans="1:16" x14ac:dyDescent="0.45">
      <c r="A4" s="2">
        <v>45967</v>
      </c>
      <c r="B4" s="3">
        <v>2063.85</v>
      </c>
      <c r="D4" s="2">
        <v>45967</v>
      </c>
      <c r="E4" s="3">
        <v>1041.5999999999999</v>
      </c>
      <c r="G4" s="3">
        <v>1597100000</v>
      </c>
      <c r="H4" s="3">
        <f>+G4*B4</f>
        <v>3296174835000</v>
      </c>
      <c r="J4" s="3">
        <v>3193661300</v>
      </c>
      <c r="K4" s="3">
        <f t="shared" ref="K4:K67" si="0">+J4*E4</f>
        <v>3326517610079.9995</v>
      </c>
      <c r="M4" s="4">
        <f>1- (H4/K4)</f>
        <v>9.1214833759049041E-3</v>
      </c>
    </row>
    <row r="5" spans="1:16" x14ac:dyDescent="0.45">
      <c r="A5" s="2">
        <v>45965</v>
      </c>
      <c r="B5" s="3">
        <v>2073.0500000000002</v>
      </c>
      <c r="D5" s="2">
        <v>45965</v>
      </c>
      <c r="E5" s="3">
        <v>1056.95</v>
      </c>
      <c r="G5" s="3">
        <v>1597100000</v>
      </c>
      <c r="H5" s="3">
        <f t="shared" ref="H5:H67" si="1">+G5*B5</f>
        <v>3310868155000.0005</v>
      </c>
      <c r="J5" s="3">
        <v>3193661300</v>
      </c>
      <c r="K5" s="3">
        <f t="shared" si="0"/>
        <v>3375540311035</v>
      </c>
      <c r="M5" s="4">
        <f t="shared" ref="M5:M67" si="2">1- (H5/K5)</f>
        <v>1.9159053092501765E-2</v>
      </c>
    </row>
    <row r="6" spans="1:16" x14ac:dyDescent="0.45">
      <c r="A6" s="2">
        <v>45964</v>
      </c>
      <c r="B6" s="3">
        <v>2081.9</v>
      </c>
      <c r="D6" s="2">
        <v>45964</v>
      </c>
      <c r="E6" s="3">
        <v>1042.9000000000001</v>
      </c>
      <c r="G6" s="3">
        <v>1597100000</v>
      </c>
      <c r="H6" s="3">
        <f t="shared" si="1"/>
        <v>3325002490000</v>
      </c>
      <c r="J6" s="3">
        <v>3193661300</v>
      </c>
      <c r="K6" s="3">
        <f t="shared" si="0"/>
        <v>3330669369770.0005</v>
      </c>
      <c r="M6" s="4">
        <f t="shared" si="2"/>
        <v>1.701423690215087E-3</v>
      </c>
    </row>
    <row r="7" spans="1:16" x14ac:dyDescent="0.45">
      <c r="A7" s="2">
        <v>45961</v>
      </c>
      <c r="B7" s="3">
        <v>2088.1999999999998</v>
      </c>
      <c r="D7" s="2">
        <v>45961</v>
      </c>
      <c r="E7" s="3">
        <v>1042.5999999999999</v>
      </c>
      <c r="G7" s="3">
        <v>1597100000</v>
      </c>
      <c r="H7" s="3">
        <f t="shared" si="1"/>
        <v>3335064219999.9995</v>
      </c>
      <c r="J7" s="3">
        <v>3193661300</v>
      </c>
      <c r="K7" s="3">
        <f t="shared" si="0"/>
        <v>3329711271379.9995</v>
      </c>
      <c r="M7" s="4">
        <f t="shared" si="2"/>
        <v>-1.6076314682327286E-3</v>
      </c>
    </row>
    <row r="8" spans="1:16" x14ac:dyDescent="0.45">
      <c r="A8" s="2">
        <v>45960</v>
      </c>
      <c r="B8" s="3">
        <v>2114.6</v>
      </c>
      <c r="D8" s="2">
        <v>45960</v>
      </c>
      <c r="E8" s="3">
        <v>1051.95</v>
      </c>
      <c r="G8" s="3">
        <v>1597100000</v>
      </c>
      <c r="H8" s="3">
        <f t="shared" si="1"/>
        <v>3377227660000</v>
      </c>
      <c r="J8" s="3">
        <v>3193661300</v>
      </c>
      <c r="K8" s="3">
        <f t="shared" si="0"/>
        <v>3359572004535</v>
      </c>
      <c r="M8" s="4">
        <f t="shared" si="2"/>
        <v>-5.2553287862759923E-3</v>
      </c>
    </row>
    <row r="9" spans="1:16" x14ac:dyDescent="0.45">
      <c r="A9" s="2">
        <v>45959</v>
      </c>
      <c r="B9" s="3">
        <v>2136.5500000000002</v>
      </c>
      <c r="D9" s="2">
        <v>45959</v>
      </c>
      <c r="E9" s="3">
        <v>1063</v>
      </c>
      <c r="G9" s="3">
        <v>1597100000</v>
      </c>
      <c r="H9" s="3">
        <f t="shared" si="1"/>
        <v>3412284005000.0005</v>
      </c>
      <c r="J9" s="3">
        <v>3193661300</v>
      </c>
      <c r="K9" s="3">
        <f t="shared" si="0"/>
        <v>3394861961900</v>
      </c>
      <c r="M9" s="4">
        <f t="shared" si="2"/>
        <v>-5.1318855657536133E-3</v>
      </c>
    </row>
    <row r="10" spans="1:16" x14ac:dyDescent="0.45">
      <c r="A10" s="2">
        <v>45958</v>
      </c>
      <c r="B10" s="3">
        <v>2140.9499999999998</v>
      </c>
      <c r="D10" s="2">
        <v>45958</v>
      </c>
      <c r="E10" s="3">
        <v>1074.8</v>
      </c>
      <c r="G10" s="3">
        <v>1597100000</v>
      </c>
      <c r="H10" s="3">
        <f t="shared" si="1"/>
        <v>3419311244999.9995</v>
      </c>
      <c r="J10" s="3">
        <v>3193661300</v>
      </c>
      <c r="K10" s="3">
        <f t="shared" si="0"/>
        <v>3432547165240</v>
      </c>
      <c r="M10" s="4">
        <f t="shared" si="2"/>
        <v>3.8560053519541837E-3</v>
      </c>
    </row>
    <row r="11" spans="1:16" x14ac:dyDescent="0.45">
      <c r="A11" s="2">
        <v>45957</v>
      </c>
      <c r="B11" s="3">
        <v>2169.6</v>
      </c>
      <c r="D11" s="2">
        <v>45957</v>
      </c>
      <c r="E11" s="3">
        <v>1084.2</v>
      </c>
      <c r="G11" s="3">
        <v>1597100000</v>
      </c>
      <c r="H11" s="3">
        <f t="shared" si="1"/>
        <v>3465068160000</v>
      </c>
      <c r="J11" s="3">
        <v>3193661300</v>
      </c>
      <c r="K11" s="3">
        <f t="shared" si="0"/>
        <v>3462567581460</v>
      </c>
      <c r="M11" s="4">
        <f t="shared" si="2"/>
        <v>-7.221746525292172E-4</v>
      </c>
    </row>
    <row r="12" spans="1:16" x14ac:dyDescent="0.45">
      <c r="A12" s="2">
        <v>45954</v>
      </c>
      <c r="B12" s="3">
        <v>2159.65</v>
      </c>
      <c r="D12" s="2">
        <v>45954</v>
      </c>
      <c r="E12" s="3">
        <v>1089.3499999999999</v>
      </c>
      <c r="G12" s="3">
        <v>1597100000</v>
      </c>
      <c r="H12" s="3">
        <f t="shared" si="1"/>
        <v>3449177015000</v>
      </c>
      <c r="J12" s="3">
        <v>3193661300</v>
      </c>
      <c r="K12" s="3">
        <f t="shared" si="0"/>
        <v>3479014937154.9995</v>
      </c>
      <c r="M12" s="4">
        <f t="shared" si="2"/>
        <v>8.5765432727344937E-3</v>
      </c>
    </row>
    <row r="13" spans="1:16" x14ac:dyDescent="0.45">
      <c r="A13" s="2">
        <v>45953</v>
      </c>
      <c r="B13" s="3">
        <v>2175.85</v>
      </c>
      <c r="D13" s="2">
        <v>45953</v>
      </c>
      <c r="E13" s="3">
        <v>1094.2</v>
      </c>
      <c r="G13" s="3">
        <v>1597100000</v>
      </c>
      <c r="H13" s="3">
        <f t="shared" si="1"/>
        <v>3475050035000</v>
      </c>
      <c r="J13" s="3">
        <v>3193661300</v>
      </c>
      <c r="K13" s="3">
        <f t="shared" si="0"/>
        <v>3494504194460</v>
      </c>
      <c r="M13" s="4">
        <f t="shared" si="2"/>
        <v>5.5670728599614971E-3</v>
      </c>
    </row>
    <row r="14" spans="1:16" x14ac:dyDescent="0.45">
      <c r="A14" s="2">
        <v>45951</v>
      </c>
      <c r="B14" s="3">
        <v>2169.8000000000002</v>
      </c>
      <c r="D14" s="2">
        <v>45951</v>
      </c>
      <c r="E14" s="3">
        <v>1086.7</v>
      </c>
      <c r="G14" s="3">
        <v>1597100000</v>
      </c>
      <c r="H14" s="3">
        <f t="shared" si="1"/>
        <v>3465387580000.0005</v>
      </c>
      <c r="J14" s="3">
        <v>3193661300</v>
      </c>
      <c r="K14" s="3">
        <f t="shared" si="0"/>
        <v>3470551734710</v>
      </c>
      <c r="M14" s="4">
        <f t="shared" si="2"/>
        <v>1.4879924302384495E-3</v>
      </c>
    </row>
    <row r="15" spans="1:16" x14ac:dyDescent="0.45">
      <c r="A15" s="2">
        <v>45950</v>
      </c>
      <c r="B15" s="3">
        <v>2139.4499999999998</v>
      </c>
      <c r="D15" s="2">
        <v>45950</v>
      </c>
      <c r="E15" s="3">
        <v>1080.95</v>
      </c>
      <c r="G15" s="3">
        <v>1597100000</v>
      </c>
      <c r="H15" s="3">
        <f t="shared" si="1"/>
        <v>3416915594999.9995</v>
      </c>
      <c r="J15" s="3">
        <v>3193661300</v>
      </c>
      <c r="K15" s="3">
        <f t="shared" si="0"/>
        <v>3452188182235</v>
      </c>
      <c r="M15" s="4">
        <f t="shared" si="2"/>
        <v>1.0217457847898848E-2</v>
      </c>
    </row>
    <row r="16" spans="1:16" x14ac:dyDescent="0.45">
      <c r="A16" s="2">
        <v>45947</v>
      </c>
      <c r="B16" s="3">
        <v>2082.8000000000002</v>
      </c>
      <c r="D16" s="2">
        <v>45947</v>
      </c>
      <c r="E16" s="3">
        <v>1070.1500000000001</v>
      </c>
      <c r="G16" s="3">
        <v>1597100000</v>
      </c>
      <c r="H16" s="3">
        <f t="shared" si="1"/>
        <v>3326439880000.0005</v>
      </c>
      <c r="J16" s="3">
        <v>3193661300</v>
      </c>
      <c r="K16" s="3">
        <f t="shared" si="0"/>
        <v>3417696640195.0005</v>
      </c>
      <c r="M16" s="4">
        <f t="shared" si="2"/>
        <v>2.6701246424783109E-2</v>
      </c>
    </row>
    <row r="17" spans="1:20" x14ac:dyDescent="0.45">
      <c r="A17" s="2">
        <v>45946</v>
      </c>
      <c r="B17" s="3">
        <v>2090.5500000000002</v>
      </c>
      <c r="D17" s="2">
        <v>45946</v>
      </c>
      <c r="E17" s="3">
        <v>1065.8</v>
      </c>
      <c r="G17" s="3">
        <v>1597100000</v>
      </c>
      <c r="H17" s="3">
        <f t="shared" si="1"/>
        <v>3338817405000.0005</v>
      </c>
      <c r="J17" s="3">
        <v>3193661300</v>
      </c>
      <c r="K17" s="3">
        <f t="shared" si="0"/>
        <v>3403804213540</v>
      </c>
      <c r="M17" s="4">
        <f t="shared" si="2"/>
        <v>1.9092404986599476E-2</v>
      </c>
    </row>
    <row r="18" spans="1:20" x14ac:dyDescent="0.45">
      <c r="A18" s="2">
        <v>45945</v>
      </c>
      <c r="B18" s="3">
        <v>2082.1</v>
      </c>
      <c r="D18" s="2">
        <v>45945</v>
      </c>
      <c r="E18" s="3">
        <v>1059.6500000000001</v>
      </c>
      <c r="G18" s="3">
        <v>1597100000</v>
      </c>
      <c r="H18" s="3">
        <f t="shared" si="1"/>
        <v>3325321910000</v>
      </c>
      <c r="J18" s="3">
        <v>3193661300</v>
      </c>
      <c r="K18" s="3">
        <f t="shared" si="0"/>
        <v>3384163196545.0005</v>
      </c>
      <c r="M18" s="4">
        <f t="shared" si="2"/>
        <v>1.7387248524265431E-2</v>
      </c>
    </row>
    <row r="19" spans="1:20" x14ac:dyDescent="0.45">
      <c r="A19" s="2">
        <v>45944</v>
      </c>
      <c r="B19" s="3">
        <v>2018.45</v>
      </c>
      <c r="D19" s="2">
        <v>45944</v>
      </c>
      <c r="E19" s="3">
        <v>1018.6</v>
      </c>
      <c r="G19" s="3">
        <v>1597100000</v>
      </c>
      <c r="H19" s="3">
        <f t="shared" si="1"/>
        <v>3223666495000</v>
      </c>
      <c r="J19" s="3">
        <v>3193661300</v>
      </c>
      <c r="K19" s="3">
        <f t="shared" si="0"/>
        <v>3253063400180</v>
      </c>
      <c r="M19" s="4">
        <f t="shared" si="2"/>
        <v>9.0366837542648071E-3</v>
      </c>
    </row>
    <row r="20" spans="1:20" x14ac:dyDescent="0.45">
      <c r="A20" s="2">
        <v>45943</v>
      </c>
      <c r="B20" s="3">
        <v>2020.9</v>
      </c>
      <c r="D20" s="2">
        <v>45943</v>
      </c>
      <c r="E20" s="3">
        <v>1037.25</v>
      </c>
      <c r="G20" s="3">
        <v>1597100000</v>
      </c>
      <c r="H20" s="3">
        <f t="shared" si="1"/>
        <v>3227579390000</v>
      </c>
      <c r="J20" s="3">
        <v>3193661300</v>
      </c>
      <c r="K20" s="3">
        <f t="shared" si="0"/>
        <v>3312625183425</v>
      </c>
      <c r="M20" s="4">
        <f t="shared" si="2"/>
        <v>2.5673231565869203E-2</v>
      </c>
    </row>
    <row r="21" spans="1:20" x14ac:dyDescent="0.45">
      <c r="A21" s="2">
        <v>45940</v>
      </c>
      <c r="B21" s="3">
        <v>2004.3</v>
      </c>
      <c r="D21" s="2">
        <v>45940</v>
      </c>
      <c r="E21" s="3">
        <v>1023.7</v>
      </c>
      <c r="G21" s="3">
        <v>1597100000</v>
      </c>
      <c r="H21" s="3">
        <f t="shared" si="1"/>
        <v>3201067530000</v>
      </c>
      <c r="J21" s="3">
        <v>3193661300</v>
      </c>
      <c r="K21" s="3">
        <f t="shared" si="0"/>
        <v>3269351072810</v>
      </c>
      <c r="M21" s="4">
        <f t="shared" si="2"/>
        <v>2.0885962164751692E-2</v>
      </c>
    </row>
    <row r="22" spans="1:20" x14ac:dyDescent="0.45">
      <c r="A22" s="2">
        <v>45939</v>
      </c>
      <c r="B22" s="3">
        <v>2013.55</v>
      </c>
      <c r="D22" s="2">
        <v>45939</v>
      </c>
      <c r="E22" s="3">
        <v>1024.2</v>
      </c>
      <c r="G22" s="3">
        <v>1597100000</v>
      </c>
      <c r="H22" s="3">
        <f t="shared" si="1"/>
        <v>3215840705000</v>
      </c>
      <c r="J22" s="3">
        <v>3193661300</v>
      </c>
      <c r="K22" s="3">
        <f t="shared" si="0"/>
        <v>3270947903460</v>
      </c>
      <c r="M22" s="4">
        <f t="shared" si="2"/>
        <v>1.6847470545681142E-2</v>
      </c>
    </row>
    <row r="23" spans="1:20" x14ac:dyDescent="0.45">
      <c r="A23" s="2">
        <v>45938</v>
      </c>
      <c r="B23" s="3">
        <v>2012.65</v>
      </c>
      <c r="D23" s="2">
        <v>45938</v>
      </c>
      <c r="E23" s="3">
        <v>1023</v>
      </c>
      <c r="G23" s="3">
        <v>1597100000</v>
      </c>
      <c r="H23" s="3">
        <f t="shared" si="1"/>
        <v>3214403315000</v>
      </c>
      <c r="J23" s="3">
        <v>3193661300</v>
      </c>
      <c r="K23" s="3">
        <f t="shared" si="0"/>
        <v>3267115509900</v>
      </c>
      <c r="M23" s="4">
        <f t="shared" si="2"/>
        <v>1.6134169343040239E-2</v>
      </c>
    </row>
    <row r="24" spans="1:20" x14ac:dyDescent="0.45">
      <c r="A24" s="2">
        <v>45937</v>
      </c>
      <c r="B24" s="3">
        <v>2031.45</v>
      </c>
      <c r="D24" s="2">
        <v>45937</v>
      </c>
      <c r="E24" s="3">
        <v>1017.8</v>
      </c>
      <c r="G24" s="3">
        <v>1597100000</v>
      </c>
      <c r="H24" s="3">
        <f t="shared" si="1"/>
        <v>3244428795000</v>
      </c>
      <c r="J24" s="3">
        <v>3193661300</v>
      </c>
      <c r="K24" s="3">
        <f t="shared" si="0"/>
        <v>3250508471140</v>
      </c>
      <c r="M24" s="4">
        <f t="shared" si="2"/>
        <v>1.8703769560913797E-3</v>
      </c>
    </row>
    <row r="25" spans="1:20" x14ac:dyDescent="0.45">
      <c r="A25" s="2">
        <v>45936</v>
      </c>
      <c r="B25" s="3">
        <v>2033.6</v>
      </c>
      <c r="D25" s="2">
        <v>45936</v>
      </c>
      <c r="E25" s="3">
        <v>1008.9</v>
      </c>
      <c r="G25" s="3">
        <v>1597100000</v>
      </c>
      <c r="H25" s="3">
        <f t="shared" si="1"/>
        <v>3247862560000</v>
      </c>
      <c r="J25" s="3">
        <v>3193661300</v>
      </c>
      <c r="K25" s="3">
        <f t="shared" si="0"/>
        <v>3222084885570</v>
      </c>
      <c r="M25" s="4">
        <f t="shared" si="2"/>
        <v>-8.0003089134754735E-3</v>
      </c>
    </row>
    <row r="26" spans="1:20" x14ac:dyDescent="0.45">
      <c r="A26" s="2">
        <v>45933</v>
      </c>
      <c r="B26" s="3">
        <v>1999.8</v>
      </c>
      <c r="D26" s="2">
        <v>45933</v>
      </c>
      <c r="E26" s="3">
        <v>989.65</v>
      </c>
      <c r="G26" s="3">
        <v>1597100000</v>
      </c>
      <c r="H26" s="3">
        <f t="shared" si="1"/>
        <v>3193880580000</v>
      </c>
      <c r="J26" s="3">
        <v>3193661300</v>
      </c>
      <c r="K26" s="3">
        <f t="shared" si="0"/>
        <v>3160606905545</v>
      </c>
      <c r="M26" s="4">
        <f t="shared" si="2"/>
        <v>-1.0527621893321903E-2</v>
      </c>
    </row>
    <row r="27" spans="1:20" ht="14.65" thickBot="1" x14ac:dyDescent="0.5">
      <c r="A27" s="2">
        <v>45931</v>
      </c>
      <c r="B27" s="3">
        <v>2007.95</v>
      </c>
      <c r="D27" s="2">
        <v>45931</v>
      </c>
      <c r="E27" s="3">
        <v>987.6</v>
      </c>
      <c r="G27" s="3">
        <v>1597100000</v>
      </c>
      <c r="H27" s="3">
        <f t="shared" si="1"/>
        <v>3206896945000</v>
      </c>
      <c r="J27" s="3">
        <v>3193661300</v>
      </c>
      <c r="K27" s="3">
        <f t="shared" si="0"/>
        <v>3154059899880</v>
      </c>
      <c r="M27" s="4">
        <f t="shared" si="2"/>
        <v>-1.6752074087752922E-2</v>
      </c>
    </row>
    <row r="28" spans="1:20" x14ac:dyDescent="0.45">
      <c r="A28" s="2">
        <v>45930</v>
      </c>
      <c r="B28" s="3">
        <v>2006.9</v>
      </c>
      <c r="D28" s="2">
        <v>45930</v>
      </c>
      <c r="E28" s="3">
        <v>998.6</v>
      </c>
      <c r="G28" s="3">
        <v>1597100000</v>
      </c>
      <c r="H28" s="3">
        <f t="shared" si="1"/>
        <v>3205219990000</v>
      </c>
      <c r="J28" s="3">
        <v>3193661300</v>
      </c>
      <c r="K28" s="3">
        <f t="shared" si="0"/>
        <v>3189190174180</v>
      </c>
      <c r="M28" s="4">
        <f t="shared" si="2"/>
        <v>-5.026296628460436E-3</v>
      </c>
      <c r="P28" s="54" t="s">
        <v>6</v>
      </c>
      <c r="Q28" s="55"/>
      <c r="R28" s="55"/>
      <c r="S28" s="55"/>
      <c r="T28" s="56"/>
    </row>
    <row r="29" spans="1:20" x14ac:dyDescent="0.45">
      <c r="A29" s="2">
        <v>45929</v>
      </c>
      <c r="B29" s="3">
        <v>2020.75</v>
      </c>
      <c r="D29" s="2">
        <v>45929</v>
      </c>
      <c r="E29" s="3">
        <v>991.1</v>
      </c>
      <c r="G29" s="3">
        <v>1597100000</v>
      </c>
      <c r="H29" s="3">
        <f t="shared" si="1"/>
        <v>3227339825000</v>
      </c>
      <c r="J29" s="3">
        <v>3193661300</v>
      </c>
      <c r="K29" s="3">
        <f t="shared" si="0"/>
        <v>3165237714430</v>
      </c>
      <c r="M29" s="4">
        <f t="shared" si="2"/>
        <v>-1.962004631970693E-2</v>
      </c>
      <c r="P29" s="57" t="s">
        <v>7</v>
      </c>
      <c r="Q29" s="58"/>
      <c r="R29" s="58"/>
      <c r="S29" s="58"/>
      <c r="T29" s="59"/>
    </row>
    <row r="30" spans="1:20" x14ac:dyDescent="0.45">
      <c r="A30" s="2">
        <v>45926</v>
      </c>
      <c r="B30" s="3">
        <v>2003.05</v>
      </c>
      <c r="D30" s="2">
        <v>45926</v>
      </c>
      <c r="E30" s="3">
        <v>985</v>
      </c>
      <c r="G30" s="3">
        <v>1597100000</v>
      </c>
      <c r="H30" s="3">
        <f t="shared" si="1"/>
        <v>3199071155000</v>
      </c>
      <c r="J30" s="3">
        <v>3193661300</v>
      </c>
      <c r="K30" s="3">
        <f t="shared" si="0"/>
        <v>3145756380500</v>
      </c>
      <c r="M30" s="4">
        <f t="shared" si="2"/>
        <v>-1.6948157470326963E-2</v>
      </c>
      <c r="P30" s="7"/>
      <c r="T30" s="16" t="s">
        <v>8</v>
      </c>
    </row>
    <row r="31" spans="1:20" x14ac:dyDescent="0.45">
      <c r="A31" s="2">
        <v>45925</v>
      </c>
      <c r="B31" s="3">
        <v>2035.3</v>
      </c>
      <c r="D31" s="2">
        <v>45925</v>
      </c>
      <c r="E31" s="3">
        <v>1012.85</v>
      </c>
      <c r="G31" s="3">
        <v>1597100000</v>
      </c>
      <c r="H31" s="3">
        <f t="shared" si="1"/>
        <v>3250577630000</v>
      </c>
      <c r="J31" s="3">
        <v>3193661300</v>
      </c>
      <c r="K31" s="3">
        <f t="shared" si="0"/>
        <v>3234699847705</v>
      </c>
      <c r="M31" s="4">
        <f t="shared" si="2"/>
        <v>-4.9085797887136184E-3</v>
      </c>
      <c r="P31" s="7"/>
      <c r="Q31" s="13" t="s">
        <v>9</v>
      </c>
      <c r="R31" s="13"/>
      <c r="S31" s="14">
        <f>+INDEX(M3:M1243,1)</f>
        <v>1.3451019351500171E-2</v>
      </c>
      <c r="T31" s="15">
        <f>+INDEX($D$3:$D$1619,MATCH(S31,$M$3:$M$1619,0))</f>
        <v>45968</v>
      </c>
    </row>
    <row r="32" spans="1:20" x14ac:dyDescent="0.45">
      <c r="A32" s="2">
        <v>45924</v>
      </c>
      <c r="B32" s="3">
        <v>2068.1999999999998</v>
      </c>
      <c r="D32" s="2">
        <v>45924</v>
      </c>
      <c r="E32" s="3">
        <v>1029.9000000000001</v>
      </c>
      <c r="G32" s="3">
        <v>1597100000</v>
      </c>
      <c r="H32" s="3">
        <f t="shared" si="1"/>
        <v>3303122219999.9995</v>
      </c>
      <c r="J32" s="3">
        <v>3193661300</v>
      </c>
      <c r="K32" s="3">
        <f t="shared" si="0"/>
        <v>3289151772870.0005</v>
      </c>
      <c r="M32" s="4">
        <f t="shared" si="2"/>
        <v>-4.2474315856240175E-3</v>
      </c>
      <c r="P32" s="7"/>
      <c r="Q32" s="1" t="s">
        <v>10</v>
      </c>
      <c r="S32" s="4">
        <f>+MAX(M3:M1243)</f>
        <v>0.20441448335765766</v>
      </c>
      <c r="T32" s="9">
        <f>+INDEX($D$3:$D$1619,MATCH(S32,$M$3:$M$1619,0))</f>
        <v>44145</v>
      </c>
    </row>
    <row r="33" spans="1:20" x14ac:dyDescent="0.45">
      <c r="A33" s="2">
        <v>45923</v>
      </c>
      <c r="B33" s="3">
        <v>2083.8000000000002</v>
      </c>
      <c r="D33" s="2">
        <v>45923</v>
      </c>
      <c r="E33" s="3">
        <v>1025.6500000000001</v>
      </c>
      <c r="G33" s="3">
        <v>1597100000</v>
      </c>
      <c r="H33" s="3">
        <f t="shared" si="1"/>
        <v>3328036980000.0005</v>
      </c>
      <c r="J33" s="3">
        <v>3193661300</v>
      </c>
      <c r="K33" s="3">
        <f t="shared" si="0"/>
        <v>3275578712345.0005</v>
      </c>
      <c r="M33" s="4">
        <f t="shared" si="2"/>
        <v>-1.6014961709604147E-2</v>
      </c>
      <c r="P33" s="7"/>
      <c r="Q33" s="1" t="s">
        <v>11</v>
      </c>
      <c r="S33" s="4">
        <f>+MIN(M3:M1243)</f>
        <v>-0.34178353116227078</v>
      </c>
      <c r="T33" s="9">
        <f>+INDEX($D$3:$D$1619,MATCH(S33,$M$3:$M$1619,0))</f>
        <v>45581</v>
      </c>
    </row>
    <row r="34" spans="1:20" x14ac:dyDescent="0.45">
      <c r="A34" s="2">
        <v>45922</v>
      </c>
      <c r="B34" s="3">
        <v>2069.4</v>
      </c>
      <c r="D34" s="2">
        <v>45922</v>
      </c>
      <c r="E34" s="3">
        <v>1006</v>
      </c>
      <c r="G34" s="3">
        <v>1597100000</v>
      </c>
      <c r="H34" s="3">
        <f t="shared" si="1"/>
        <v>3305038740000</v>
      </c>
      <c r="J34" s="3">
        <v>3193661300</v>
      </c>
      <c r="K34" s="3">
        <f t="shared" si="0"/>
        <v>3212823267800</v>
      </c>
      <c r="M34" s="4">
        <f t="shared" si="2"/>
        <v>-2.8702317094194019E-2</v>
      </c>
      <c r="P34" s="7"/>
      <c r="Q34" s="1" t="s">
        <v>12</v>
      </c>
      <c r="S34" s="4">
        <f>+MEDIAN(M3:M1243)</f>
        <v>-0.11305911974293759</v>
      </c>
      <c r="T34" s="8"/>
    </row>
    <row r="35" spans="1:20" ht="14.65" thickBot="1" x14ac:dyDescent="0.5">
      <c r="A35" s="2">
        <v>45919</v>
      </c>
      <c r="B35" s="3">
        <v>2067.75</v>
      </c>
      <c r="D35" s="2">
        <v>45919</v>
      </c>
      <c r="E35" s="3">
        <v>993</v>
      </c>
      <c r="G35" s="3">
        <v>1597100000</v>
      </c>
      <c r="H35" s="3">
        <f t="shared" si="1"/>
        <v>3302403525000</v>
      </c>
      <c r="J35" s="3">
        <v>3193661300</v>
      </c>
      <c r="K35" s="3">
        <f t="shared" si="0"/>
        <v>3171305670900</v>
      </c>
      <c r="M35" s="4">
        <f t="shared" si="2"/>
        <v>-4.1338763179771032E-2</v>
      </c>
      <c r="P35" s="10"/>
      <c r="Q35" s="6" t="s">
        <v>13</v>
      </c>
      <c r="R35" s="6"/>
      <c r="S35" s="11">
        <f>+AVERAGE(M3:M1243)</f>
        <v>-0.10578250585701479</v>
      </c>
      <c r="T35" s="12"/>
    </row>
    <row r="36" spans="1:20" x14ac:dyDescent="0.45">
      <c r="A36" s="2">
        <v>45918</v>
      </c>
      <c r="B36" s="3">
        <v>2069.15</v>
      </c>
      <c r="D36" s="2">
        <v>45918</v>
      </c>
      <c r="E36" s="3">
        <v>998.15</v>
      </c>
      <c r="G36" s="3">
        <v>1597100000</v>
      </c>
      <c r="H36" s="3">
        <f t="shared" si="1"/>
        <v>3304639465000</v>
      </c>
      <c r="J36" s="3">
        <v>3193661300</v>
      </c>
      <c r="K36" s="3">
        <f t="shared" si="0"/>
        <v>3187753026595</v>
      </c>
      <c r="M36" s="4">
        <f t="shared" si="2"/>
        <v>-3.6667344499348609E-2</v>
      </c>
    </row>
    <row r="37" spans="1:20" x14ac:dyDescent="0.45">
      <c r="A37" s="2">
        <v>45917</v>
      </c>
      <c r="B37" s="3">
        <v>2056.6</v>
      </c>
      <c r="D37" s="2">
        <v>45917</v>
      </c>
      <c r="E37" s="3">
        <v>1006.5</v>
      </c>
      <c r="G37" s="3">
        <v>1597100000</v>
      </c>
      <c r="H37" s="3">
        <f t="shared" si="1"/>
        <v>3284595860000</v>
      </c>
      <c r="J37" s="3">
        <v>3193661300</v>
      </c>
      <c r="K37" s="3">
        <f t="shared" si="0"/>
        <v>3214420098450</v>
      </c>
      <c r="M37" s="4">
        <f t="shared" si="2"/>
        <v>-2.1831546406718472E-2</v>
      </c>
    </row>
    <row r="38" spans="1:20" x14ac:dyDescent="0.45">
      <c r="A38" s="2">
        <v>45916</v>
      </c>
      <c r="B38" s="3">
        <v>2079.8000000000002</v>
      </c>
      <c r="D38" s="2">
        <v>45916</v>
      </c>
      <c r="E38" s="3">
        <v>1003.05</v>
      </c>
      <c r="G38" s="3">
        <v>1597100000</v>
      </c>
      <c r="H38" s="3">
        <f t="shared" si="1"/>
        <v>3321648580000.0005</v>
      </c>
      <c r="J38" s="3">
        <v>3193661300</v>
      </c>
      <c r="K38" s="3">
        <f t="shared" si="0"/>
        <v>3203401966965</v>
      </c>
      <c r="M38" s="4">
        <f t="shared" si="2"/>
        <v>-3.6912824008480838E-2</v>
      </c>
    </row>
    <row r="39" spans="1:20" x14ac:dyDescent="0.45">
      <c r="A39" s="2">
        <v>45915</v>
      </c>
      <c r="B39" s="3">
        <v>2079.3000000000002</v>
      </c>
      <c r="D39" s="2">
        <v>45915</v>
      </c>
      <c r="E39" s="3">
        <v>1010.05</v>
      </c>
      <c r="G39" s="3">
        <v>1597100000</v>
      </c>
      <c r="H39" s="3">
        <f t="shared" si="1"/>
        <v>3320850030000.0005</v>
      </c>
      <c r="J39" s="3">
        <v>3193661300</v>
      </c>
      <c r="K39" s="3">
        <f t="shared" si="0"/>
        <v>3225757596065</v>
      </c>
      <c r="M39" s="4">
        <f t="shared" si="2"/>
        <v>-2.9479100987315654E-2</v>
      </c>
    </row>
    <row r="40" spans="1:20" x14ac:dyDescent="0.45">
      <c r="A40" s="2">
        <v>45912</v>
      </c>
      <c r="B40" s="3">
        <v>2082.5500000000002</v>
      </c>
      <c r="D40" s="2">
        <v>45912</v>
      </c>
      <c r="E40" s="3">
        <v>1003.2</v>
      </c>
      <c r="G40" s="3">
        <v>1597100000</v>
      </c>
      <c r="H40" s="3">
        <f t="shared" si="1"/>
        <v>3326040605000.0005</v>
      </c>
      <c r="J40" s="3">
        <v>3193661300</v>
      </c>
      <c r="K40" s="3">
        <f t="shared" si="0"/>
        <v>3203881016160</v>
      </c>
      <c r="M40" s="4">
        <f t="shared" si="2"/>
        <v>-3.8128628442767321E-2</v>
      </c>
    </row>
    <row r="41" spans="1:20" x14ac:dyDescent="0.45">
      <c r="A41" s="2">
        <v>45911</v>
      </c>
      <c r="B41" s="3">
        <v>2036.55</v>
      </c>
      <c r="D41" s="2">
        <v>45911</v>
      </c>
      <c r="E41" s="3">
        <v>970.15</v>
      </c>
      <c r="G41" s="3">
        <v>1597100000</v>
      </c>
      <c r="H41" s="3">
        <f t="shared" si="1"/>
        <v>3252574005000</v>
      </c>
      <c r="J41" s="3">
        <v>3193661300</v>
      </c>
      <c r="K41" s="3">
        <f t="shared" si="0"/>
        <v>3098330510195</v>
      </c>
      <c r="M41" s="4">
        <f t="shared" si="2"/>
        <v>-4.9782776336309009E-2</v>
      </c>
    </row>
    <row r="42" spans="1:20" x14ac:dyDescent="0.45">
      <c r="A42" s="2">
        <v>45910</v>
      </c>
      <c r="B42" s="3">
        <v>2037.5</v>
      </c>
      <c r="D42" s="2">
        <v>45910</v>
      </c>
      <c r="E42" s="3">
        <v>968.05</v>
      </c>
      <c r="G42" s="3">
        <v>1597100000</v>
      </c>
      <c r="H42" s="3">
        <f t="shared" si="1"/>
        <v>3254091250000</v>
      </c>
      <c r="J42" s="3">
        <v>3193661300</v>
      </c>
      <c r="K42" s="3">
        <f t="shared" si="0"/>
        <v>3091623821465</v>
      </c>
      <c r="M42" s="4">
        <f t="shared" si="2"/>
        <v>-5.2550839920108006E-2</v>
      </c>
    </row>
    <row r="43" spans="1:20" x14ac:dyDescent="0.45">
      <c r="A43" s="2">
        <v>45909</v>
      </c>
      <c r="B43" s="3">
        <v>2024.4</v>
      </c>
      <c r="D43" s="2">
        <v>45909</v>
      </c>
      <c r="E43" s="3">
        <v>948.1</v>
      </c>
      <c r="G43" s="3">
        <v>1597100000</v>
      </c>
      <c r="H43" s="3">
        <f t="shared" si="1"/>
        <v>3233169240000</v>
      </c>
      <c r="J43" s="3">
        <v>3193661300</v>
      </c>
      <c r="K43" s="3">
        <f t="shared" si="0"/>
        <v>3027910278530</v>
      </c>
      <c r="M43" s="4">
        <f t="shared" si="2"/>
        <v>-6.7788984014959031E-2</v>
      </c>
    </row>
    <row r="44" spans="1:20" x14ac:dyDescent="0.45">
      <c r="A44" s="2">
        <v>45908</v>
      </c>
      <c r="B44" s="3">
        <v>2008.25</v>
      </c>
      <c r="D44" s="2">
        <v>45908</v>
      </c>
      <c r="E44" s="3">
        <v>944.25</v>
      </c>
      <c r="G44" s="3">
        <v>1597100000</v>
      </c>
      <c r="H44" s="3">
        <f t="shared" si="1"/>
        <v>3207376075000</v>
      </c>
      <c r="J44" s="3">
        <v>3193661300</v>
      </c>
      <c r="K44" s="3">
        <f t="shared" si="0"/>
        <v>3015614682525</v>
      </c>
      <c r="M44" s="4">
        <f t="shared" si="2"/>
        <v>-6.3589487604708284E-2</v>
      </c>
    </row>
    <row r="45" spans="1:20" x14ac:dyDescent="0.45">
      <c r="A45" s="2">
        <v>45905</v>
      </c>
      <c r="B45" s="3">
        <v>2014.1</v>
      </c>
      <c r="D45" s="2">
        <v>45905</v>
      </c>
      <c r="E45" s="3">
        <v>937.65</v>
      </c>
      <c r="G45" s="3">
        <v>1597100000</v>
      </c>
      <c r="H45" s="3">
        <f t="shared" si="1"/>
        <v>3216719110000</v>
      </c>
      <c r="J45" s="3">
        <v>3193661300</v>
      </c>
      <c r="K45" s="3">
        <f t="shared" si="0"/>
        <v>2994536517945</v>
      </c>
      <c r="M45" s="4">
        <f t="shared" si="2"/>
        <v>-7.4195986832537475E-2</v>
      </c>
    </row>
    <row r="46" spans="1:20" x14ac:dyDescent="0.45">
      <c r="A46" s="2">
        <v>45904</v>
      </c>
      <c r="B46" s="3">
        <v>2002.2</v>
      </c>
      <c r="D46" s="2">
        <v>45904</v>
      </c>
      <c r="E46" s="3">
        <v>934.85</v>
      </c>
      <c r="G46" s="3">
        <v>1597100000</v>
      </c>
      <c r="H46" s="3">
        <f t="shared" si="1"/>
        <v>3197713620000</v>
      </c>
      <c r="J46" s="3">
        <v>3193661300</v>
      </c>
      <c r="K46" s="3">
        <f t="shared" si="0"/>
        <v>2985594266305</v>
      </c>
      <c r="M46" s="4">
        <f t="shared" si="2"/>
        <v>-7.1047615574878709E-2</v>
      </c>
    </row>
    <row r="47" spans="1:20" x14ac:dyDescent="0.45">
      <c r="A47" s="2">
        <v>45903</v>
      </c>
      <c r="B47" s="3">
        <v>1966.3</v>
      </c>
      <c r="D47" s="2">
        <v>45903</v>
      </c>
      <c r="E47" s="3">
        <v>896.5</v>
      </c>
      <c r="G47" s="3">
        <v>1597100000</v>
      </c>
      <c r="H47" s="3">
        <f t="shared" si="1"/>
        <v>3140377730000</v>
      </c>
      <c r="J47" s="3">
        <v>3193661300</v>
      </c>
      <c r="K47" s="3">
        <f t="shared" si="0"/>
        <v>2863117355450</v>
      </c>
      <c r="M47" s="4">
        <f t="shared" si="2"/>
        <v>-9.6838634302652382E-2</v>
      </c>
    </row>
    <row r="48" spans="1:20" x14ac:dyDescent="0.45">
      <c r="A48" s="2">
        <v>45902</v>
      </c>
      <c r="B48" s="3">
        <v>1955.75</v>
      </c>
      <c r="D48" s="2">
        <v>45902</v>
      </c>
      <c r="E48" s="3">
        <v>890.45</v>
      </c>
      <c r="G48" s="3">
        <v>1597100000</v>
      </c>
      <c r="H48" s="3">
        <f t="shared" si="1"/>
        <v>3123528325000</v>
      </c>
      <c r="J48" s="3">
        <v>3193661300</v>
      </c>
      <c r="K48" s="3">
        <f t="shared" si="0"/>
        <v>2843795704585</v>
      </c>
      <c r="M48" s="4">
        <f t="shared" si="2"/>
        <v>-9.8365933939625894E-2</v>
      </c>
    </row>
    <row r="49" spans="1:13" x14ac:dyDescent="0.45">
      <c r="A49" s="2">
        <v>45901</v>
      </c>
      <c r="B49" s="3">
        <v>1944.65</v>
      </c>
      <c r="D49" s="2">
        <v>45901</v>
      </c>
      <c r="E49" s="3">
        <v>889.05</v>
      </c>
      <c r="G49" s="3">
        <v>1597100000</v>
      </c>
      <c r="H49" s="3">
        <f t="shared" si="1"/>
        <v>3105800515000</v>
      </c>
      <c r="J49" s="3">
        <v>3193661300</v>
      </c>
      <c r="K49" s="3">
        <f t="shared" si="0"/>
        <v>2839324578765</v>
      </c>
      <c r="M49" s="4">
        <f t="shared" si="2"/>
        <v>-9.3851875276234509E-2</v>
      </c>
    </row>
    <row r="50" spans="1:13" x14ac:dyDescent="0.45">
      <c r="A50" s="2">
        <v>45898</v>
      </c>
      <c r="B50" s="3">
        <v>1912.45</v>
      </c>
      <c r="D50" s="2">
        <v>45898</v>
      </c>
      <c r="E50" s="3">
        <v>877.8</v>
      </c>
      <c r="G50" s="3">
        <v>1597100000</v>
      </c>
      <c r="H50" s="3">
        <f t="shared" si="1"/>
        <v>3054373895000</v>
      </c>
      <c r="J50" s="3">
        <v>3193661300</v>
      </c>
      <c r="K50" s="3">
        <f t="shared" si="0"/>
        <v>2803395889140</v>
      </c>
      <c r="M50" s="4">
        <f t="shared" si="2"/>
        <v>-8.952642287600443E-2</v>
      </c>
    </row>
    <row r="51" spans="1:13" x14ac:dyDescent="0.45">
      <c r="A51" s="2">
        <v>45897</v>
      </c>
      <c r="B51" s="3">
        <v>1914.9</v>
      </c>
      <c r="D51" s="2">
        <v>45897</v>
      </c>
      <c r="E51" s="3">
        <v>877.05</v>
      </c>
      <c r="G51" s="3">
        <v>1597100000</v>
      </c>
      <c r="H51" s="3">
        <f t="shared" si="1"/>
        <v>3058286790000</v>
      </c>
      <c r="J51" s="3">
        <v>3193661300</v>
      </c>
      <c r="K51" s="3">
        <f t="shared" si="0"/>
        <v>2801000643165</v>
      </c>
      <c r="M51" s="4">
        <f t="shared" si="2"/>
        <v>-9.1855083097831303E-2</v>
      </c>
    </row>
    <row r="52" spans="1:13" x14ac:dyDescent="0.45">
      <c r="A52" s="2">
        <v>45895</v>
      </c>
      <c r="B52" s="3">
        <v>1924.2</v>
      </c>
      <c r="D52" s="2">
        <v>45895</v>
      </c>
      <c r="E52" s="3">
        <v>876.5</v>
      </c>
      <c r="G52" s="3">
        <v>1597100000</v>
      </c>
      <c r="H52" s="3">
        <f t="shared" si="1"/>
        <v>3073139820000</v>
      </c>
      <c r="J52" s="3">
        <v>3193661300</v>
      </c>
      <c r="K52" s="3">
        <f t="shared" si="0"/>
        <v>2799244129450</v>
      </c>
      <c r="M52" s="4">
        <f t="shared" si="2"/>
        <v>-9.7846303460432882E-2</v>
      </c>
    </row>
    <row r="53" spans="1:13" x14ac:dyDescent="0.45">
      <c r="A53" s="2">
        <v>45894</v>
      </c>
      <c r="B53" s="3">
        <v>1963.5</v>
      </c>
      <c r="D53" s="2">
        <v>45894</v>
      </c>
      <c r="E53" s="3">
        <v>900.5</v>
      </c>
      <c r="G53" s="3">
        <v>1597100000</v>
      </c>
      <c r="H53" s="3">
        <f t="shared" si="1"/>
        <v>3135905850000</v>
      </c>
      <c r="J53" s="3">
        <v>3193661300</v>
      </c>
      <c r="K53" s="3">
        <f t="shared" si="0"/>
        <v>2875892000650</v>
      </c>
      <c r="M53" s="4">
        <f t="shared" si="2"/>
        <v>-9.0411548587788548E-2</v>
      </c>
    </row>
    <row r="54" spans="1:13" x14ac:dyDescent="0.45">
      <c r="A54" s="2">
        <v>45891</v>
      </c>
      <c r="B54" s="3">
        <v>1965.4</v>
      </c>
      <c r="D54" s="2">
        <v>45891</v>
      </c>
      <c r="E54" s="3">
        <v>894.65</v>
      </c>
      <c r="G54" s="3">
        <v>1597100000</v>
      </c>
      <c r="H54" s="3">
        <f t="shared" si="1"/>
        <v>3138940340000</v>
      </c>
      <c r="J54" s="3">
        <v>3193661300</v>
      </c>
      <c r="K54" s="3">
        <f t="shared" si="0"/>
        <v>2857209082045</v>
      </c>
      <c r="M54" s="4">
        <f t="shared" si="2"/>
        <v>-9.8603654778163907E-2</v>
      </c>
    </row>
    <row r="55" spans="1:13" x14ac:dyDescent="0.45">
      <c r="A55" s="2">
        <v>45890</v>
      </c>
      <c r="B55" s="3">
        <v>1979.3</v>
      </c>
      <c r="D55" s="2">
        <v>45890</v>
      </c>
      <c r="E55" s="3">
        <v>895.7</v>
      </c>
      <c r="G55" s="3">
        <v>1597100000</v>
      </c>
      <c r="H55" s="3">
        <f t="shared" si="1"/>
        <v>3161140030000</v>
      </c>
      <c r="J55" s="3">
        <v>3193661300</v>
      </c>
      <c r="K55" s="3">
        <f t="shared" si="0"/>
        <v>2860562426410</v>
      </c>
      <c r="M55" s="4">
        <f t="shared" si="2"/>
        <v>-0.10507640064587731</v>
      </c>
    </row>
    <row r="56" spans="1:13" x14ac:dyDescent="0.45">
      <c r="A56" s="2">
        <v>45889</v>
      </c>
      <c r="B56" s="3">
        <v>1957.5</v>
      </c>
      <c r="D56" s="2">
        <v>45889</v>
      </c>
      <c r="E56" s="3">
        <v>887.7</v>
      </c>
      <c r="G56" s="3">
        <v>1597100000</v>
      </c>
      <c r="H56" s="3">
        <f t="shared" si="1"/>
        <v>3126323250000</v>
      </c>
      <c r="J56" s="3">
        <v>3193661300</v>
      </c>
      <c r="K56" s="3">
        <f t="shared" si="0"/>
        <v>2835013136010</v>
      </c>
      <c r="M56" s="4">
        <f t="shared" si="2"/>
        <v>-0.10275441418235909</v>
      </c>
    </row>
    <row r="57" spans="1:13" x14ac:dyDescent="0.45">
      <c r="A57" s="2">
        <v>45888</v>
      </c>
      <c r="B57" s="3">
        <v>1971.9</v>
      </c>
      <c r="D57" s="2">
        <v>45888</v>
      </c>
      <c r="E57" s="3">
        <v>902.5</v>
      </c>
      <c r="G57" s="3">
        <v>1597100000</v>
      </c>
      <c r="H57" s="3">
        <f t="shared" si="1"/>
        <v>3149321490000</v>
      </c>
      <c r="J57" s="3">
        <v>3193661300</v>
      </c>
      <c r="K57" s="3">
        <f t="shared" si="0"/>
        <v>2882279323250</v>
      </c>
      <c r="M57" s="4">
        <f t="shared" si="2"/>
        <v>-9.2649648698478249E-2</v>
      </c>
    </row>
    <row r="58" spans="1:13" x14ac:dyDescent="0.45">
      <c r="A58" s="2">
        <v>45887</v>
      </c>
      <c r="B58" s="3">
        <v>1993.7</v>
      </c>
      <c r="D58" s="2">
        <v>45887</v>
      </c>
      <c r="E58" s="3">
        <v>905.1</v>
      </c>
      <c r="G58" s="3">
        <v>1597100000</v>
      </c>
      <c r="H58" s="3">
        <f t="shared" si="1"/>
        <v>3184138270000</v>
      </c>
      <c r="J58" s="3">
        <v>3193661300</v>
      </c>
      <c r="K58" s="3">
        <f t="shared" si="0"/>
        <v>2890582842630</v>
      </c>
      <c r="M58" s="4">
        <f t="shared" si="2"/>
        <v>-0.10155579111612956</v>
      </c>
    </row>
    <row r="59" spans="1:13" x14ac:dyDescent="0.45">
      <c r="A59" s="2">
        <v>45883</v>
      </c>
      <c r="B59" s="3">
        <v>1924.4</v>
      </c>
      <c r="D59" s="2">
        <v>45883</v>
      </c>
      <c r="E59" s="3">
        <v>861.8</v>
      </c>
      <c r="G59" s="3">
        <v>1597100000</v>
      </c>
      <c r="H59" s="3">
        <f t="shared" si="1"/>
        <v>3073459240000</v>
      </c>
      <c r="J59" s="3">
        <v>3193661300</v>
      </c>
      <c r="K59" s="3">
        <f t="shared" si="0"/>
        <v>2752297308340</v>
      </c>
      <c r="M59" s="4">
        <f t="shared" si="2"/>
        <v>-0.11668867701422236</v>
      </c>
    </row>
    <row r="60" spans="1:13" x14ac:dyDescent="0.45">
      <c r="A60" s="2">
        <v>45882</v>
      </c>
      <c r="B60" s="3">
        <v>1913.6</v>
      </c>
      <c r="D60" s="2">
        <v>45882</v>
      </c>
      <c r="E60" s="3">
        <v>860.45</v>
      </c>
      <c r="G60" s="3">
        <v>1597100000</v>
      </c>
      <c r="H60" s="3">
        <f t="shared" si="1"/>
        <v>3056210560000</v>
      </c>
      <c r="J60" s="3">
        <v>3193661300</v>
      </c>
      <c r="K60" s="3">
        <f t="shared" si="0"/>
        <v>2747985865585</v>
      </c>
      <c r="M60" s="4">
        <f t="shared" si="2"/>
        <v>-0.11216385727274636</v>
      </c>
    </row>
    <row r="61" spans="1:13" x14ac:dyDescent="0.45">
      <c r="A61" s="2">
        <v>45881</v>
      </c>
      <c r="B61" s="3">
        <v>1908.15</v>
      </c>
      <c r="D61" s="2">
        <v>45881</v>
      </c>
      <c r="E61" s="3">
        <v>852.9</v>
      </c>
      <c r="G61" s="3">
        <v>1597100000</v>
      </c>
      <c r="H61" s="3">
        <f t="shared" si="1"/>
        <v>3047506365000</v>
      </c>
      <c r="J61" s="3">
        <v>3193661300</v>
      </c>
      <c r="K61" s="3">
        <f t="shared" si="0"/>
        <v>2723873722770</v>
      </c>
      <c r="M61" s="4">
        <f t="shared" si="2"/>
        <v>-0.11881337946198434</v>
      </c>
    </row>
    <row r="62" spans="1:13" x14ac:dyDescent="0.45">
      <c r="A62" s="2">
        <v>45880</v>
      </c>
      <c r="B62" s="3">
        <v>1924.05</v>
      </c>
      <c r="D62" s="2">
        <v>45880</v>
      </c>
      <c r="E62" s="3">
        <v>878.1</v>
      </c>
      <c r="G62" s="3">
        <v>1597100000</v>
      </c>
      <c r="H62" s="3">
        <f t="shared" si="1"/>
        <v>3072900255000</v>
      </c>
      <c r="J62" s="3">
        <v>3193661300</v>
      </c>
      <c r="K62" s="3">
        <f t="shared" si="0"/>
        <v>2804353987530</v>
      </c>
      <c r="M62" s="4">
        <f t="shared" si="2"/>
        <v>-9.576047412849209E-2</v>
      </c>
    </row>
    <row r="63" spans="1:13" x14ac:dyDescent="0.45">
      <c r="A63" s="2">
        <v>45877</v>
      </c>
      <c r="B63" s="3">
        <v>1919.2</v>
      </c>
      <c r="D63" s="2">
        <v>45877</v>
      </c>
      <c r="E63" s="3">
        <v>877.25</v>
      </c>
      <c r="G63" s="3">
        <v>1597100000</v>
      </c>
      <c r="H63" s="3">
        <f t="shared" si="1"/>
        <v>3065154320000</v>
      </c>
      <c r="J63" s="3">
        <v>3193661300</v>
      </c>
      <c r="K63" s="3">
        <f t="shared" si="0"/>
        <v>2801639375425</v>
      </c>
      <c r="M63" s="4">
        <f t="shared" si="2"/>
        <v>-9.4057410417079712E-2</v>
      </c>
    </row>
    <row r="64" spans="1:13" x14ac:dyDescent="0.45">
      <c r="A64" s="2">
        <v>45876</v>
      </c>
      <c r="B64" s="3">
        <v>1913.8</v>
      </c>
      <c r="D64" s="2">
        <v>45876</v>
      </c>
      <c r="E64" s="3">
        <v>878.8</v>
      </c>
      <c r="G64" s="3">
        <v>1597100000</v>
      </c>
      <c r="H64" s="3">
        <f t="shared" si="1"/>
        <v>3056529980000</v>
      </c>
      <c r="J64" s="3">
        <v>3193661300</v>
      </c>
      <c r="K64" s="3">
        <f t="shared" si="0"/>
        <v>2806589550440</v>
      </c>
      <c r="M64" s="4">
        <f t="shared" si="2"/>
        <v>-8.9054856461222132E-2</v>
      </c>
    </row>
    <row r="65" spans="1:13" x14ac:dyDescent="0.45">
      <c r="A65" s="2">
        <v>45875</v>
      </c>
      <c r="B65" s="3">
        <v>1923.8</v>
      </c>
      <c r="D65" s="2">
        <v>45875</v>
      </c>
      <c r="E65" s="3">
        <v>876.55</v>
      </c>
      <c r="G65" s="3">
        <v>1597100000</v>
      </c>
      <c r="H65" s="3">
        <f t="shared" si="1"/>
        <v>3072500980000</v>
      </c>
      <c r="J65" s="3">
        <v>3193661300</v>
      </c>
      <c r="K65" s="3">
        <f t="shared" si="0"/>
        <v>2799403812515</v>
      </c>
      <c r="M65" s="4">
        <f t="shared" si="2"/>
        <v>-9.7555474585014679E-2</v>
      </c>
    </row>
    <row r="66" spans="1:13" x14ac:dyDescent="0.45">
      <c r="A66" s="2">
        <v>45874</v>
      </c>
      <c r="B66" s="3">
        <v>1939.45</v>
      </c>
      <c r="D66" s="2">
        <v>45874</v>
      </c>
      <c r="E66" s="3">
        <v>891.45</v>
      </c>
      <c r="G66" s="3">
        <v>1597100000</v>
      </c>
      <c r="H66" s="3">
        <f t="shared" si="1"/>
        <v>3097495595000</v>
      </c>
      <c r="J66" s="3">
        <v>3193661300</v>
      </c>
      <c r="K66" s="3">
        <f t="shared" si="0"/>
        <v>2846989365885</v>
      </c>
      <c r="M66" s="4">
        <f t="shared" si="2"/>
        <v>-8.798987172792927E-2</v>
      </c>
    </row>
    <row r="67" spans="1:13" x14ac:dyDescent="0.45">
      <c r="A67" s="2">
        <v>45873</v>
      </c>
      <c r="B67" s="3">
        <v>1933.2</v>
      </c>
      <c r="D67" s="2">
        <v>45873</v>
      </c>
      <c r="E67" s="3">
        <v>885.35</v>
      </c>
      <c r="G67" s="3">
        <v>1597100000</v>
      </c>
      <c r="H67" s="3">
        <f t="shared" si="1"/>
        <v>3087513720000</v>
      </c>
      <c r="J67" s="3">
        <v>3193661300</v>
      </c>
      <c r="K67" s="3">
        <f t="shared" si="0"/>
        <v>2827508031955</v>
      </c>
      <c r="M67" s="4">
        <f t="shared" si="2"/>
        <v>-9.1955773460783652E-2</v>
      </c>
    </row>
    <row r="68" spans="1:13" x14ac:dyDescent="0.45">
      <c r="A68" s="2">
        <v>45870</v>
      </c>
      <c r="B68" s="3">
        <v>1915.7</v>
      </c>
      <c r="D68" s="2">
        <v>45870</v>
      </c>
      <c r="E68" s="3">
        <v>876.95</v>
      </c>
      <c r="G68" s="3">
        <v>1597100000</v>
      </c>
      <c r="H68" s="3">
        <f t="shared" ref="H68:H131" si="3">+G68*B68</f>
        <v>3059564470000</v>
      </c>
      <c r="J68" s="3">
        <v>3193661300</v>
      </c>
      <c r="K68" s="3">
        <f t="shared" ref="K68:K131" si="4">+J68*E68</f>
        <v>2800681277035</v>
      </c>
      <c r="M68" s="4">
        <f t="shared" ref="M68:M131" si="5">1- (H68/K68)</f>
        <v>-9.2435792350878287E-2</v>
      </c>
    </row>
    <row r="69" spans="1:13" x14ac:dyDescent="0.45">
      <c r="A69" s="2">
        <v>45869</v>
      </c>
      <c r="B69" s="3">
        <v>1948.2</v>
      </c>
      <c r="D69" s="2">
        <v>45869</v>
      </c>
      <c r="E69" s="3">
        <v>880.75</v>
      </c>
      <c r="G69" s="3">
        <v>1597100000</v>
      </c>
      <c r="H69" s="3">
        <f t="shared" si="3"/>
        <v>3111470220000</v>
      </c>
      <c r="J69" s="3">
        <v>3193661300</v>
      </c>
      <c r="K69" s="3">
        <f t="shared" si="4"/>
        <v>2812817189975</v>
      </c>
      <c r="M69" s="4">
        <f t="shared" si="5"/>
        <v>-0.10617576964809938</v>
      </c>
    </row>
    <row r="70" spans="1:13" x14ac:dyDescent="0.45">
      <c r="A70" s="2">
        <v>45868</v>
      </c>
      <c r="B70" s="3">
        <v>1959.45</v>
      </c>
      <c r="D70" s="2">
        <v>45868</v>
      </c>
      <c r="E70" s="3">
        <v>885</v>
      </c>
      <c r="G70" s="3">
        <v>1597100000</v>
      </c>
      <c r="H70" s="3">
        <f t="shared" si="3"/>
        <v>3129437595000</v>
      </c>
      <c r="J70" s="3">
        <v>3193661300</v>
      </c>
      <c r="K70" s="3">
        <f t="shared" si="4"/>
        <v>2826390250500</v>
      </c>
      <c r="M70" s="4">
        <f t="shared" si="5"/>
        <v>-0.10722063043006513</v>
      </c>
    </row>
    <row r="71" spans="1:13" x14ac:dyDescent="0.45">
      <c r="A71" s="2">
        <v>45867</v>
      </c>
      <c r="B71" s="3">
        <v>1973.8</v>
      </c>
      <c r="D71" s="2">
        <v>45867</v>
      </c>
      <c r="E71" s="3">
        <v>886.7</v>
      </c>
      <c r="G71" s="3">
        <v>1597100000</v>
      </c>
      <c r="H71" s="3">
        <f t="shared" si="3"/>
        <v>3152355980000</v>
      </c>
      <c r="J71" s="3">
        <v>3193661300</v>
      </c>
      <c r="K71" s="3">
        <f t="shared" si="4"/>
        <v>2831819474710</v>
      </c>
      <c r="M71" s="4">
        <f t="shared" si="5"/>
        <v>-0.11319100957974215</v>
      </c>
    </row>
    <row r="72" spans="1:13" x14ac:dyDescent="0.45">
      <c r="A72" s="2">
        <v>45866</v>
      </c>
      <c r="B72" s="3">
        <v>1976.8</v>
      </c>
      <c r="D72" s="2">
        <v>45866</v>
      </c>
      <c r="E72" s="3">
        <v>880.4</v>
      </c>
      <c r="G72" s="3">
        <v>1597100000</v>
      </c>
      <c r="H72" s="3">
        <f t="shared" si="3"/>
        <v>3157147280000</v>
      </c>
      <c r="J72" s="3">
        <v>3193661300</v>
      </c>
      <c r="K72" s="3">
        <f t="shared" si="4"/>
        <v>2811699408520</v>
      </c>
      <c r="M72" s="4">
        <f t="shared" si="5"/>
        <v>-0.1228608827932407</v>
      </c>
    </row>
    <row r="73" spans="1:13" x14ac:dyDescent="0.45">
      <c r="A73" s="2">
        <v>45863</v>
      </c>
      <c r="B73" s="3">
        <v>1985.55</v>
      </c>
      <c r="D73" s="2">
        <v>45863</v>
      </c>
      <c r="E73" s="3">
        <v>913.65</v>
      </c>
      <c r="G73" s="3">
        <v>1597100000</v>
      </c>
      <c r="H73" s="3">
        <f t="shared" si="3"/>
        <v>3171121905000</v>
      </c>
      <c r="J73" s="3">
        <v>3193661300</v>
      </c>
      <c r="K73" s="3">
        <f t="shared" si="4"/>
        <v>2917888646745</v>
      </c>
      <c r="M73" s="4">
        <f t="shared" si="5"/>
        <v>-8.6786470942779026E-2</v>
      </c>
    </row>
    <row r="74" spans="1:13" x14ac:dyDescent="0.45">
      <c r="A74" s="2">
        <v>45862</v>
      </c>
      <c r="B74" s="3">
        <v>2032.05</v>
      </c>
      <c r="D74" s="2">
        <v>45862</v>
      </c>
      <c r="E74" s="3">
        <v>959</v>
      </c>
      <c r="G74" s="3">
        <v>1597100000</v>
      </c>
      <c r="H74" s="3">
        <f t="shared" si="3"/>
        <v>3245387055000</v>
      </c>
      <c r="J74" s="3">
        <v>3193661300</v>
      </c>
      <c r="K74" s="3">
        <f t="shared" si="4"/>
        <v>3062721186700</v>
      </c>
      <c r="M74" s="4">
        <f t="shared" si="5"/>
        <v>-5.9641690237176803E-2</v>
      </c>
    </row>
    <row r="75" spans="1:13" x14ac:dyDescent="0.45">
      <c r="A75" s="2">
        <v>45861</v>
      </c>
      <c r="B75" s="3">
        <v>2060.9499999999998</v>
      </c>
      <c r="D75" s="2">
        <v>45861</v>
      </c>
      <c r="E75" s="3">
        <v>968.2</v>
      </c>
      <c r="G75" s="3">
        <v>1597100000</v>
      </c>
      <c r="H75" s="3">
        <f t="shared" si="3"/>
        <v>3291543244999.9995</v>
      </c>
      <c r="J75" s="3">
        <v>3193661300</v>
      </c>
      <c r="K75" s="3">
        <f t="shared" si="4"/>
        <v>3092102870660</v>
      </c>
      <c r="M75" s="4">
        <f t="shared" si="5"/>
        <v>-6.4499915650422679E-2</v>
      </c>
    </row>
    <row r="76" spans="1:13" x14ac:dyDescent="0.45">
      <c r="A76" s="2">
        <v>45860</v>
      </c>
      <c r="B76" s="3">
        <v>2039.2</v>
      </c>
      <c r="D76" s="2">
        <v>45860</v>
      </c>
      <c r="E76" s="3">
        <v>952.4</v>
      </c>
      <c r="G76" s="3">
        <v>1597100000</v>
      </c>
      <c r="H76" s="3">
        <f t="shared" si="3"/>
        <v>3256806320000</v>
      </c>
      <c r="J76" s="3">
        <v>3193661300</v>
      </c>
      <c r="K76" s="3">
        <f t="shared" si="4"/>
        <v>3041643022120</v>
      </c>
      <c r="M76" s="4">
        <f t="shared" si="5"/>
        <v>-7.0739168375529182E-2</v>
      </c>
    </row>
    <row r="77" spans="1:13" x14ac:dyDescent="0.45">
      <c r="A77" s="2">
        <v>45859</v>
      </c>
      <c r="B77" s="3">
        <v>2053.6999999999998</v>
      </c>
      <c r="D77" s="2">
        <v>45859</v>
      </c>
      <c r="E77" s="3">
        <v>948.95</v>
      </c>
      <c r="G77" s="3">
        <v>1597100000</v>
      </c>
      <c r="H77" s="3">
        <f t="shared" si="3"/>
        <v>3279964269999.9995</v>
      </c>
      <c r="J77" s="3">
        <v>3193661300</v>
      </c>
      <c r="K77" s="3">
        <f t="shared" si="4"/>
        <v>3030624890635</v>
      </c>
      <c r="M77" s="4">
        <f t="shared" si="5"/>
        <v>-8.2273256626212099E-2</v>
      </c>
    </row>
    <row r="78" spans="1:13" x14ac:dyDescent="0.45">
      <c r="A78" s="2">
        <v>45856</v>
      </c>
      <c r="B78" s="3">
        <v>2029.4</v>
      </c>
      <c r="D78" s="2">
        <v>45856</v>
      </c>
      <c r="E78" s="3">
        <v>941.85</v>
      </c>
      <c r="G78" s="3">
        <v>1597100000</v>
      </c>
      <c r="H78" s="3">
        <f t="shared" si="3"/>
        <v>3241154740000</v>
      </c>
      <c r="J78" s="3">
        <v>3193661300</v>
      </c>
      <c r="K78" s="3">
        <f t="shared" si="4"/>
        <v>3007949895405</v>
      </c>
      <c r="M78" s="4">
        <f t="shared" si="5"/>
        <v>-7.7529497732408359E-2</v>
      </c>
    </row>
    <row r="79" spans="1:13" x14ac:dyDescent="0.45">
      <c r="A79" s="2">
        <v>45855</v>
      </c>
      <c r="B79" s="3">
        <v>2026.65</v>
      </c>
      <c r="D79" s="2">
        <v>45855</v>
      </c>
      <c r="E79" s="3">
        <v>923.9</v>
      </c>
      <c r="G79" s="3">
        <v>1597100000</v>
      </c>
      <c r="H79" s="3">
        <f t="shared" si="3"/>
        <v>3236762715000</v>
      </c>
      <c r="J79" s="3">
        <v>3193661300</v>
      </c>
      <c r="K79" s="3">
        <f t="shared" si="4"/>
        <v>2950623675070</v>
      </c>
      <c r="M79" s="4">
        <f t="shared" si="5"/>
        <v>-9.6975782560007939E-2</v>
      </c>
    </row>
    <row r="80" spans="1:13" x14ac:dyDescent="0.45">
      <c r="A80" s="2">
        <v>45854</v>
      </c>
      <c r="B80" s="3">
        <v>2035.35</v>
      </c>
      <c r="D80" s="2">
        <v>45854</v>
      </c>
      <c r="E80" s="3">
        <v>921.65</v>
      </c>
      <c r="G80" s="3">
        <v>1597100000</v>
      </c>
      <c r="H80" s="3">
        <f t="shared" si="3"/>
        <v>3250657485000</v>
      </c>
      <c r="J80" s="3">
        <v>3193661300</v>
      </c>
      <c r="K80" s="3">
        <f t="shared" si="4"/>
        <v>2943437937145</v>
      </c>
      <c r="M80" s="4">
        <f t="shared" si="5"/>
        <v>-0.10437439294303208</v>
      </c>
    </row>
    <row r="81" spans="1:13" x14ac:dyDescent="0.45">
      <c r="A81" s="2">
        <v>45853</v>
      </c>
      <c r="B81" s="3">
        <v>2037.45</v>
      </c>
      <c r="D81" s="2">
        <v>45853</v>
      </c>
      <c r="E81" s="3">
        <v>928.2</v>
      </c>
      <c r="G81" s="3">
        <v>1597100000</v>
      </c>
      <c r="H81" s="3">
        <f t="shared" si="3"/>
        <v>3254011395000</v>
      </c>
      <c r="J81" s="3">
        <v>3193661300</v>
      </c>
      <c r="K81" s="3">
        <f t="shared" si="4"/>
        <v>2964356418660</v>
      </c>
      <c r="M81" s="4">
        <f t="shared" si="5"/>
        <v>-9.7712601128758569E-2</v>
      </c>
    </row>
    <row r="82" spans="1:13" x14ac:dyDescent="0.45">
      <c r="A82" s="2">
        <v>45852</v>
      </c>
      <c r="B82" s="3">
        <v>2003.65</v>
      </c>
      <c r="D82" s="2">
        <v>45852</v>
      </c>
      <c r="E82" s="3">
        <v>918.95</v>
      </c>
      <c r="G82" s="3">
        <v>1597100000</v>
      </c>
      <c r="H82" s="3">
        <f t="shared" si="3"/>
        <v>3200029415000</v>
      </c>
      <c r="J82" s="3">
        <v>3193661300</v>
      </c>
      <c r="K82" s="3">
        <f t="shared" si="4"/>
        <v>2934815051635</v>
      </c>
      <c r="M82" s="4">
        <f t="shared" si="5"/>
        <v>-9.0368339639408601E-2</v>
      </c>
    </row>
    <row r="83" spans="1:13" x14ac:dyDescent="0.45">
      <c r="A83" s="2">
        <v>45849</v>
      </c>
      <c r="B83" s="3">
        <v>2016.45</v>
      </c>
      <c r="D83" s="2">
        <v>45849</v>
      </c>
      <c r="E83" s="3">
        <v>933.35</v>
      </c>
      <c r="G83" s="3">
        <v>1597100000</v>
      </c>
      <c r="H83" s="3">
        <f t="shared" si="3"/>
        <v>3220472295000</v>
      </c>
      <c r="J83" s="3">
        <v>3193661300</v>
      </c>
      <c r="K83" s="3">
        <f t="shared" si="4"/>
        <v>2980803774355</v>
      </c>
      <c r="M83" s="4">
        <f t="shared" si="5"/>
        <v>-8.0403991268046759E-2</v>
      </c>
    </row>
    <row r="84" spans="1:13" x14ac:dyDescent="0.45">
      <c r="A84" s="2">
        <v>45848</v>
      </c>
      <c r="B84" s="3">
        <v>2039.1</v>
      </c>
      <c r="D84" s="2">
        <v>45848</v>
      </c>
      <c r="E84" s="3">
        <v>947.15</v>
      </c>
      <c r="G84" s="3">
        <v>1597100000</v>
      </c>
      <c r="H84" s="3">
        <f t="shared" si="3"/>
        <v>3256646610000</v>
      </c>
      <c r="J84" s="3">
        <v>3193661300</v>
      </c>
      <c r="K84" s="3">
        <f t="shared" si="4"/>
        <v>3024876300295</v>
      </c>
      <c r="M84" s="4">
        <f t="shared" si="5"/>
        <v>-7.6621417438589745E-2</v>
      </c>
    </row>
    <row r="85" spans="1:13" x14ac:dyDescent="0.45">
      <c r="A85" s="2">
        <v>45847</v>
      </c>
      <c r="B85" s="3">
        <v>2025.95</v>
      </c>
      <c r="D85" s="2">
        <v>45847</v>
      </c>
      <c r="E85" s="3">
        <v>940.4</v>
      </c>
      <c r="G85" s="3">
        <v>1597100000</v>
      </c>
      <c r="H85" s="3">
        <f t="shared" si="3"/>
        <v>3235644745000</v>
      </c>
      <c r="J85" s="3">
        <v>3193661300</v>
      </c>
      <c r="K85" s="3">
        <f t="shared" si="4"/>
        <v>3003319086520</v>
      </c>
      <c r="M85" s="4">
        <f t="shared" si="5"/>
        <v>-7.7356302073516847E-2</v>
      </c>
    </row>
    <row r="86" spans="1:13" x14ac:dyDescent="0.45">
      <c r="A86" s="2">
        <v>45846</v>
      </c>
      <c r="B86" s="3">
        <v>2017.5</v>
      </c>
      <c r="D86" s="2">
        <v>45846</v>
      </c>
      <c r="E86" s="3">
        <v>927.4</v>
      </c>
      <c r="G86" s="3">
        <v>1597100000</v>
      </c>
      <c r="H86" s="3">
        <f t="shared" si="3"/>
        <v>3222149250000</v>
      </c>
      <c r="J86" s="3">
        <v>3193661300</v>
      </c>
      <c r="K86" s="3">
        <f t="shared" si="4"/>
        <v>2961801489620</v>
      </c>
      <c r="M86" s="4">
        <f t="shared" si="5"/>
        <v>-8.7901826402755567E-2</v>
      </c>
    </row>
    <row r="87" spans="1:13" x14ac:dyDescent="0.45">
      <c r="A87" s="2">
        <v>45845</v>
      </c>
      <c r="B87" s="3">
        <v>2006.7</v>
      </c>
      <c r="D87" s="2">
        <v>45845</v>
      </c>
      <c r="E87" s="3">
        <v>924.55</v>
      </c>
      <c r="G87" s="3">
        <v>1597100000</v>
      </c>
      <c r="H87" s="3">
        <f t="shared" si="3"/>
        <v>3204900570000</v>
      </c>
      <c r="J87" s="3">
        <v>3193661300</v>
      </c>
      <c r="K87" s="3">
        <f t="shared" si="4"/>
        <v>2952699554915</v>
      </c>
      <c r="M87" s="4">
        <f t="shared" si="5"/>
        <v>-8.5413707149849305E-2</v>
      </c>
    </row>
    <row r="88" spans="1:13" x14ac:dyDescent="0.45">
      <c r="A88" s="2">
        <v>45842</v>
      </c>
      <c r="B88" s="3">
        <v>1993.8</v>
      </c>
      <c r="D88" s="2">
        <v>45842</v>
      </c>
      <c r="E88" s="3">
        <v>925.25</v>
      </c>
      <c r="G88" s="3">
        <v>1597100000</v>
      </c>
      <c r="H88" s="3">
        <f t="shared" si="3"/>
        <v>3184297980000</v>
      </c>
      <c r="J88" s="3">
        <v>3193661300</v>
      </c>
      <c r="K88" s="3">
        <f t="shared" si="4"/>
        <v>2954935117825</v>
      </c>
      <c r="M88" s="4">
        <f t="shared" si="5"/>
        <v>-7.7620270168173411E-2</v>
      </c>
    </row>
    <row r="89" spans="1:13" x14ac:dyDescent="0.45">
      <c r="A89" s="2">
        <v>45841</v>
      </c>
      <c r="B89" s="3">
        <v>1980.35</v>
      </c>
      <c r="D89" s="2">
        <v>45841</v>
      </c>
      <c r="E89" s="3">
        <v>910.7</v>
      </c>
      <c r="G89" s="3">
        <v>1597100000</v>
      </c>
      <c r="H89" s="3">
        <f t="shared" si="3"/>
        <v>3162816985000</v>
      </c>
      <c r="J89" s="3">
        <v>3193661300</v>
      </c>
      <c r="K89" s="3">
        <f t="shared" si="4"/>
        <v>2908467345910</v>
      </c>
      <c r="M89" s="4">
        <f t="shared" si="5"/>
        <v>-8.7451433638296328E-2</v>
      </c>
    </row>
    <row r="90" spans="1:13" x14ac:dyDescent="0.45">
      <c r="A90" s="2">
        <v>45840</v>
      </c>
      <c r="B90" s="3">
        <v>2008.1</v>
      </c>
      <c r="D90" s="2">
        <v>45840</v>
      </c>
      <c r="E90" s="3">
        <v>922.65</v>
      </c>
      <c r="G90" s="3">
        <v>1597100000</v>
      </c>
      <c r="H90" s="3">
        <f t="shared" si="3"/>
        <v>3207136510000</v>
      </c>
      <c r="J90" s="3">
        <v>3193661300</v>
      </c>
      <c r="K90" s="3">
        <f t="shared" si="4"/>
        <v>2946631598445</v>
      </c>
      <c r="M90" s="4">
        <f t="shared" si="5"/>
        <v>-8.8407696331117114E-2</v>
      </c>
    </row>
    <row r="91" spans="1:13" x14ac:dyDescent="0.45">
      <c r="A91" s="2">
        <v>45839</v>
      </c>
      <c r="B91" s="3">
        <v>2053.15</v>
      </c>
      <c r="D91" s="2">
        <v>45839</v>
      </c>
      <c r="E91" s="3">
        <v>936.55</v>
      </c>
      <c r="G91" s="3">
        <v>1597100000</v>
      </c>
      <c r="H91" s="3">
        <f t="shared" si="3"/>
        <v>3279085865000</v>
      </c>
      <c r="J91" s="3">
        <v>3193661300</v>
      </c>
      <c r="K91" s="3">
        <f t="shared" si="4"/>
        <v>2991023490515</v>
      </c>
      <c r="M91" s="4">
        <f t="shared" si="5"/>
        <v>-9.6308964272092901E-2</v>
      </c>
    </row>
    <row r="92" spans="1:13" x14ac:dyDescent="0.45">
      <c r="A92" s="2">
        <v>45838</v>
      </c>
      <c r="B92" s="3">
        <v>2054.35</v>
      </c>
      <c r="D92" s="2">
        <v>45838</v>
      </c>
      <c r="E92" s="3">
        <v>936.2</v>
      </c>
      <c r="G92" s="3">
        <v>1597100000</v>
      </c>
      <c r="H92" s="3">
        <f t="shared" si="3"/>
        <v>3281002385000</v>
      </c>
      <c r="J92" s="3">
        <v>3193661300</v>
      </c>
      <c r="K92" s="3">
        <f t="shared" si="4"/>
        <v>2989905709060</v>
      </c>
      <c r="M92" s="4">
        <f t="shared" si="5"/>
        <v>-9.735981808988825E-2</v>
      </c>
    </row>
    <row r="93" spans="1:13" x14ac:dyDescent="0.45">
      <c r="A93" s="2">
        <v>45835</v>
      </c>
      <c r="B93" s="3">
        <v>2042.9</v>
      </c>
      <c r="D93" s="2">
        <v>45835</v>
      </c>
      <c r="E93" s="3">
        <v>946.55</v>
      </c>
      <c r="G93" s="3">
        <v>1597100000</v>
      </c>
      <c r="H93" s="3">
        <f t="shared" si="3"/>
        <v>3262715590000</v>
      </c>
      <c r="J93" s="3">
        <v>3193661300</v>
      </c>
      <c r="K93" s="3">
        <f t="shared" si="4"/>
        <v>3022960103515</v>
      </c>
      <c r="M93" s="4">
        <f t="shared" si="5"/>
        <v>-7.931149544653926E-2</v>
      </c>
    </row>
    <row r="94" spans="1:13" x14ac:dyDescent="0.45">
      <c r="A94" s="2">
        <v>45834</v>
      </c>
      <c r="B94" s="3">
        <v>2052.4</v>
      </c>
      <c r="D94" s="2">
        <v>45834</v>
      </c>
      <c r="E94" s="3">
        <v>951.45</v>
      </c>
      <c r="G94" s="3">
        <v>1597100000</v>
      </c>
      <c r="H94" s="3">
        <f t="shared" si="3"/>
        <v>3277888040000</v>
      </c>
      <c r="J94" s="3">
        <v>3193661300</v>
      </c>
      <c r="K94" s="3">
        <f t="shared" si="4"/>
        <v>3038609043885</v>
      </c>
      <c r="M94" s="4">
        <f t="shared" si="5"/>
        <v>-7.8746226533003005E-2</v>
      </c>
    </row>
    <row r="95" spans="1:13" x14ac:dyDescent="0.45">
      <c r="A95" s="2">
        <v>45833</v>
      </c>
      <c r="B95" s="3">
        <v>2010.95</v>
      </c>
      <c r="D95" s="2">
        <v>45833</v>
      </c>
      <c r="E95" s="3">
        <v>928.2</v>
      </c>
      <c r="G95" s="3">
        <v>1597100000</v>
      </c>
      <c r="H95" s="3">
        <f t="shared" si="3"/>
        <v>3211688245000</v>
      </c>
      <c r="J95" s="3">
        <v>3193661300</v>
      </c>
      <c r="K95" s="3">
        <f t="shared" si="4"/>
        <v>2964356418660</v>
      </c>
      <c r="M95" s="4">
        <f t="shared" si="5"/>
        <v>-8.3435252516565805E-2</v>
      </c>
    </row>
    <row r="96" spans="1:13" x14ac:dyDescent="0.45">
      <c r="A96" s="2">
        <v>45832</v>
      </c>
      <c r="B96" s="3">
        <v>2008.5</v>
      </c>
      <c r="D96" s="2">
        <v>45832</v>
      </c>
      <c r="E96" s="3">
        <v>916.05</v>
      </c>
      <c r="G96" s="3">
        <v>1597100000</v>
      </c>
      <c r="H96" s="3">
        <f t="shared" si="3"/>
        <v>3207775350000</v>
      </c>
      <c r="J96" s="3">
        <v>3193661300</v>
      </c>
      <c r="K96" s="3">
        <f t="shared" si="4"/>
        <v>2925553433865</v>
      </c>
      <c r="M96" s="4">
        <f t="shared" si="5"/>
        <v>-9.6467872665771726E-2</v>
      </c>
    </row>
    <row r="97" spans="1:13" x14ac:dyDescent="0.45">
      <c r="A97" s="2">
        <v>45831</v>
      </c>
      <c r="B97" s="3">
        <v>1997.5</v>
      </c>
      <c r="D97" s="2">
        <v>45831</v>
      </c>
      <c r="E97" s="3">
        <v>915.5</v>
      </c>
      <c r="G97" s="3">
        <v>1597100000</v>
      </c>
      <c r="H97" s="3">
        <f t="shared" si="3"/>
        <v>3190207250000</v>
      </c>
      <c r="J97" s="3">
        <v>3193661300</v>
      </c>
      <c r="K97" s="3">
        <f t="shared" si="4"/>
        <v>2923796920150</v>
      </c>
      <c r="M97" s="4">
        <f t="shared" si="5"/>
        <v>-9.1117932307122285E-2</v>
      </c>
    </row>
    <row r="98" spans="1:13" x14ac:dyDescent="0.45">
      <c r="A98" s="2">
        <v>45828</v>
      </c>
      <c r="B98" s="3">
        <v>1983.35</v>
      </c>
      <c r="D98" s="2">
        <v>45828</v>
      </c>
      <c r="E98" s="3">
        <v>904.65</v>
      </c>
      <c r="G98" s="3">
        <v>1597100000</v>
      </c>
      <c r="H98" s="3">
        <f t="shared" si="3"/>
        <v>3167608285000</v>
      </c>
      <c r="J98" s="3">
        <v>3193661300</v>
      </c>
      <c r="K98" s="3">
        <f t="shared" si="4"/>
        <v>2889145695045</v>
      </c>
      <c r="M98" s="4">
        <f t="shared" si="5"/>
        <v>-9.6382328669881279E-2</v>
      </c>
    </row>
    <row r="99" spans="1:13" x14ac:dyDescent="0.45">
      <c r="A99" s="2">
        <v>45827</v>
      </c>
      <c r="B99" s="3">
        <v>1966.6</v>
      </c>
      <c r="D99" s="2">
        <v>45827</v>
      </c>
      <c r="E99" s="3">
        <v>899.7</v>
      </c>
      <c r="G99" s="3">
        <v>1597100000</v>
      </c>
      <c r="H99" s="3">
        <f t="shared" si="3"/>
        <v>3140856860000</v>
      </c>
      <c r="J99" s="3">
        <v>3193661300</v>
      </c>
      <c r="K99" s="3">
        <f t="shared" si="4"/>
        <v>2873337071610</v>
      </c>
      <c r="M99" s="4">
        <f t="shared" si="5"/>
        <v>-9.3104213575646355E-2</v>
      </c>
    </row>
    <row r="100" spans="1:13" x14ac:dyDescent="0.45">
      <c r="A100" s="2">
        <v>45826</v>
      </c>
      <c r="B100" s="3">
        <v>1980.45</v>
      </c>
      <c r="D100" s="2">
        <v>45826</v>
      </c>
      <c r="E100" s="3">
        <v>918.8</v>
      </c>
      <c r="G100" s="3">
        <v>1597100000</v>
      </c>
      <c r="H100" s="3">
        <f t="shared" si="3"/>
        <v>3162976695000</v>
      </c>
      <c r="J100" s="3">
        <v>3193661300</v>
      </c>
      <c r="K100" s="3">
        <f t="shared" si="4"/>
        <v>2934336002440</v>
      </c>
      <c r="M100" s="4">
        <f t="shared" si="5"/>
        <v>-7.7919056430441946E-2</v>
      </c>
    </row>
    <row r="101" spans="1:13" x14ac:dyDescent="0.45">
      <c r="A101" s="2">
        <v>45825</v>
      </c>
      <c r="B101" s="3">
        <v>2003.6</v>
      </c>
      <c r="D101" s="2">
        <v>45825</v>
      </c>
      <c r="E101" s="3">
        <v>922.9</v>
      </c>
      <c r="G101" s="3">
        <v>1597100000</v>
      </c>
      <c r="H101" s="3">
        <f t="shared" si="3"/>
        <v>3199949560000</v>
      </c>
      <c r="J101" s="3">
        <v>3193661300</v>
      </c>
      <c r="K101" s="3">
        <f t="shared" si="4"/>
        <v>2947430013770</v>
      </c>
      <c r="M101" s="4">
        <f t="shared" si="5"/>
        <v>-8.5674484228722037E-2</v>
      </c>
    </row>
    <row r="102" spans="1:13" x14ac:dyDescent="0.45">
      <c r="A102" s="2">
        <v>45824</v>
      </c>
      <c r="B102" s="3">
        <v>2028.15</v>
      </c>
      <c r="D102" s="2">
        <v>45824</v>
      </c>
      <c r="E102" s="3">
        <v>937.75</v>
      </c>
      <c r="G102" s="3">
        <v>1597100000</v>
      </c>
      <c r="H102" s="3">
        <f t="shared" si="3"/>
        <v>3239158365000</v>
      </c>
      <c r="J102" s="3">
        <v>3193661300</v>
      </c>
      <c r="K102" s="3">
        <f t="shared" si="4"/>
        <v>2994855884075</v>
      </c>
      <c r="M102" s="4">
        <f t="shared" si="5"/>
        <v>-8.1574035740439532E-2</v>
      </c>
    </row>
    <row r="103" spans="1:13" x14ac:dyDescent="0.45">
      <c r="A103" s="2">
        <v>45821</v>
      </c>
      <c r="B103" s="3">
        <v>2010.9</v>
      </c>
      <c r="D103" s="2">
        <v>45821</v>
      </c>
      <c r="E103" s="3">
        <v>9334.15</v>
      </c>
      <c r="G103" s="3">
        <v>1597100000</v>
      </c>
      <c r="H103" s="3">
        <f t="shared" si="3"/>
        <v>3211608390000</v>
      </c>
      <c r="J103" s="3">
        <v>319366130</v>
      </c>
      <c r="K103" s="3">
        <f t="shared" si="4"/>
        <v>2981011362339.5</v>
      </c>
      <c r="M103" s="4">
        <f t="shared" si="5"/>
        <v>-7.7355299806548539E-2</v>
      </c>
    </row>
    <row r="104" spans="1:13" x14ac:dyDescent="0.45">
      <c r="A104" s="2">
        <v>45820</v>
      </c>
      <c r="B104" s="3">
        <v>2027</v>
      </c>
      <c r="D104" s="2">
        <v>45820</v>
      </c>
      <c r="E104" s="3">
        <v>9364.2000000000007</v>
      </c>
      <c r="G104" s="3">
        <v>1597100000</v>
      </c>
      <c r="H104" s="3">
        <f t="shared" si="3"/>
        <v>3237321700000</v>
      </c>
      <c r="J104" s="3">
        <v>319366130</v>
      </c>
      <c r="K104" s="3">
        <f t="shared" si="4"/>
        <v>2990608314546</v>
      </c>
      <c r="M104" s="4">
        <f t="shared" si="5"/>
        <v>-8.2496054148586628E-2</v>
      </c>
    </row>
    <row r="105" spans="1:13" x14ac:dyDescent="0.45">
      <c r="A105" s="2">
        <v>45819</v>
      </c>
      <c r="B105" s="3">
        <v>2012.4</v>
      </c>
      <c r="D105" s="2">
        <v>45819</v>
      </c>
      <c r="E105" s="3">
        <v>9424.4</v>
      </c>
      <c r="G105" s="3">
        <v>1597100000</v>
      </c>
      <c r="H105" s="3">
        <f t="shared" si="3"/>
        <v>3214004040000</v>
      </c>
      <c r="J105" s="3">
        <v>319366130</v>
      </c>
      <c r="K105" s="3">
        <f t="shared" si="4"/>
        <v>3009834155572</v>
      </c>
      <c r="M105" s="4">
        <f t="shared" si="5"/>
        <v>-6.7834263907872616E-2</v>
      </c>
    </row>
    <row r="106" spans="1:13" x14ac:dyDescent="0.45">
      <c r="A106" s="2">
        <v>45818</v>
      </c>
      <c r="B106" s="3">
        <v>1998.35</v>
      </c>
      <c r="D106" s="2">
        <v>45818</v>
      </c>
      <c r="E106" s="3">
        <v>9497.0499999999993</v>
      </c>
      <c r="G106" s="3">
        <v>1597100000</v>
      </c>
      <c r="H106" s="3">
        <f t="shared" si="3"/>
        <v>3191564785000</v>
      </c>
      <c r="J106" s="3">
        <v>319366130</v>
      </c>
      <c r="K106" s="3">
        <f t="shared" si="4"/>
        <v>3033036104916.5</v>
      </c>
      <c r="M106" s="4">
        <f t="shared" si="5"/>
        <v>-5.2267323763976137E-2</v>
      </c>
    </row>
    <row r="107" spans="1:13" x14ac:dyDescent="0.45">
      <c r="A107" s="2">
        <v>45817</v>
      </c>
      <c r="B107" s="3">
        <v>2017</v>
      </c>
      <c r="D107" s="2">
        <v>45817</v>
      </c>
      <c r="E107" s="3">
        <v>9608.2999999999993</v>
      </c>
      <c r="G107" s="3">
        <v>1597100000</v>
      </c>
      <c r="H107" s="3">
        <f t="shared" si="3"/>
        <v>3221350700000</v>
      </c>
      <c r="J107" s="3">
        <v>319366130</v>
      </c>
      <c r="K107" s="3">
        <f t="shared" si="4"/>
        <v>3068565586879</v>
      </c>
      <c r="M107" s="4">
        <f t="shared" si="5"/>
        <v>-4.9790401669855155E-2</v>
      </c>
    </row>
    <row r="108" spans="1:13" x14ac:dyDescent="0.45">
      <c r="A108" s="2">
        <v>45814</v>
      </c>
      <c r="B108" s="3">
        <v>1989.4</v>
      </c>
      <c r="D108" s="2">
        <v>45814</v>
      </c>
      <c r="E108" s="3">
        <v>9373.0499999999993</v>
      </c>
      <c r="G108" s="3">
        <v>1597100000</v>
      </c>
      <c r="H108" s="3">
        <f t="shared" si="3"/>
        <v>3177270740000</v>
      </c>
      <c r="J108" s="3">
        <v>319366130</v>
      </c>
      <c r="K108" s="3">
        <f t="shared" si="4"/>
        <v>2993434704796.5</v>
      </c>
      <c r="M108" s="4">
        <f t="shared" si="5"/>
        <v>-6.1413076727189653E-2</v>
      </c>
    </row>
    <row r="109" spans="1:13" x14ac:dyDescent="0.45">
      <c r="A109" s="2">
        <v>45813</v>
      </c>
      <c r="B109" s="3">
        <v>1943.5</v>
      </c>
      <c r="D109" s="2">
        <v>45813</v>
      </c>
      <c r="E109" s="3">
        <v>8932.4500000000007</v>
      </c>
      <c r="G109" s="3">
        <v>1597100000</v>
      </c>
      <c r="H109" s="3">
        <f t="shared" si="3"/>
        <v>3103963850000</v>
      </c>
      <c r="J109" s="3">
        <v>319366130</v>
      </c>
      <c r="K109" s="3">
        <f t="shared" si="4"/>
        <v>2852721987918.5</v>
      </c>
      <c r="M109" s="4">
        <f t="shared" si="5"/>
        <v>-8.8070924242014792E-2</v>
      </c>
    </row>
    <row r="110" spans="1:13" x14ac:dyDescent="0.45">
      <c r="A110" s="2">
        <v>45812</v>
      </c>
      <c r="B110" s="3">
        <v>1955.75</v>
      </c>
      <c r="D110" s="2">
        <v>45812</v>
      </c>
      <c r="E110" s="3">
        <v>8984.2999999999993</v>
      </c>
      <c r="G110" s="3">
        <v>1597100000</v>
      </c>
      <c r="H110" s="3">
        <f t="shared" si="3"/>
        <v>3123528325000</v>
      </c>
      <c r="J110" s="3">
        <v>319366130</v>
      </c>
      <c r="K110" s="3">
        <f t="shared" si="4"/>
        <v>2869281121759</v>
      </c>
      <c r="M110" s="4">
        <f t="shared" si="5"/>
        <v>-8.8610070764043813E-2</v>
      </c>
    </row>
    <row r="111" spans="1:13" x14ac:dyDescent="0.45">
      <c r="A111" s="2">
        <v>45811</v>
      </c>
      <c r="B111" s="3">
        <v>1991.4</v>
      </c>
      <c r="D111" s="2">
        <v>45811</v>
      </c>
      <c r="E111" s="3">
        <v>8977.25</v>
      </c>
      <c r="G111" s="3">
        <v>1597100000</v>
      </c>
      <c r="H111" s="3">
        <f t="shared" si="3"/>
        <v>3180464940000</v>
      </c>
      <c r="J111" s="3">
        <v>319366130</v>
      </c>
      <c r="K111" s="3">
        <f t="shared" si="4"/>
        <v>2867029590542.5</v>
      </c>
      <c r="M111" s="4">
        <f t="shared" si="5"/>
        <v>-0.10932407202612504</v>
      </c>
    </row>
    <row r="112" spans="1:13" x14ac:dyDescent="0.45">
      <c r="A112" s="2">
        <v>45810</v>
      </c>
      <c r="B112" s="3">
        <v>2029.3</v>
      </c>
      <c r="D112" s="2">
        <v>45810</v>
      </c>
      <c r="E112" s="3">
        <v>9131.9500000000007</v>
      </c>
      <c r="G112" s="3">
        <v>1597100000</v>
      </c>
      <c r="H112" s="3">
        <f t="shared" si="3"/>
        <v>3240995030000</v>
      </c>
      <c r="J112" s="3">
        <v>319366130</v>
      </c>
      <c r="K112" s="3">
        <f t="shared" si="4"/>
        <v>2916435530853.5</v>
      </c>
      <c r="M112" s="4">
        <f t="shared" si="5"/>
        <v>-0.11128636162635042</v>
      </c>
    </row>
    <row r="113" spans="1:13" x14ac:dyDescent="0.45">
      <c r="A113" s="2">
        <v>45807</v>
      </c>
      <c r="B113" s="3">
        <v>2015.8</v>
      </c>
      <c r="D113" s="2">
        <v>45807</v>
      </c>
      <c r="E113" s="3">
        <v>9174.75</v>
      </c>
      <c r="G113" s="3">
        <v>1597100000</v>
      </c>
      <c r="H113" s="3">
        <f t="shared" si="3"/>
        <v>3219434180000</v>
      </c>
      <c r="J113" s="3">
        <v>319366130</v>
      </c>
      <c r="K113" s="3">
        <f t="shared" si="4"/>
        <v>2930104401217.5</v>
      </c>
      <c r="M113" s="4">
        <f t="shared" si="5"/>
        <v>-9.8743846349733877E-2</v>
      </c>
    </row>
    <row r="114" spans="1:13" x14ac:dyDescent="0.45">
      <c r="A114" s="2">
        <v>45806</v>
      </c>
      <c r="B114" s="3">
        <v>2010.8</v>
      </c>
      <c r="D114" s="2">
        <v>45806</v>
      </c>
      <c r="E114" s="3">
        <v>9203.9</v>
      </c>
      <c r="G114" s="3">
        <v>1597100000</v>
      </c>
      <c r="H114" s="3">
        <f t="shared" si="3"/>
        <v>3211448680000</v>
      </c>
      <c r="J114" s="3">
        <v>319366130</v>
      </c>
      <c r="K114" s="3">
        <f t="shared" si="4"/>
        <v>2939413923907</v>
      </c>
      <c r="M114" s="4">
        <f t="shared" si="5"/>
        <v>-9.2547277496535019E-2</v>
      </c>
    </row>
    <row r="115" spans="1:13" x14ac:dyDescent="0.45">
      <c r="A115" s="2">
        <v>45805</v>
      </c>
      <c r="B115" s="3">
        <v>2021.1</v>
      </c>
      <c r="D115" s="2">
        <v>45805</v>
      </c>
      <c r="E115" s="3">
        <v>9270.7999999999993</v>
      </c>
      <c r="G115" s="3">
        <v>1597100000</v>
      </c>
      <c r="H115" s="3">
        <f t="shared" si="3"/>
        <v>3227898810000</v>
      </c>
      <c r="J115" s="3">
        <v>319366130</v>
      </c>
      <c r="K115" s="3">
        <f t="shared" si="4"/>
        <v>2960779518004</v>
      </c>
      <c r="M115" s="4">
        <f t="shared" si="5"/>
        <v>-9.0219244753515948E-2</v>
      </c>
    </row>
    <row r="116" spans="1:13" x14ac:dyDescent="0.45">
      <c r="A116" s="2">
        <v>45804</v>
      </c>
      <c r="B116" s="3">
        <v>2030.15</v>
      </c>
      <c r="D116" s="2">
        <v>45804</v>
      </c>
      <c r="E116" s="3">
        <v>9173</v>
      </c>
      <c r="G116" s="3">
        <v>1597100000</v>
      </c>
      <c r="H116" s="3">
        <f t="shared" si="3"/>
        <v>3242352565000</v>
      </c>
      <c r="J116" s="3">
        <v>319366130</v>
      </c>
      <c r="K116" s="3">
        <f t="shared" si="4"/>
        <v>2929545510490</v>
      </c>
      <c r="M116" s="4">
        <f t="shared" si="5"/>
        <v>-0.10677664961677946</v>
      </c>
    </row>
    <row r="117" spans="1:13" x14ac:dyDescent="0.45">
      <c r="A117" s="2">
        <v>45803</v>
      </c>
      <c r="B117" s="3">
        <v>2050.4499999999998</v>
      </c>
      <c r="D117" s="2">
        <v>45803</v>
      </c>
      <c r="E117" s="3">
        <v>9265.6</v>
      </c>
      <c r="G117" s="3">
        <v>1597100000</v>
      </c>
      <c r="H117" s="3">
        <f t="shared" si="3"/>
        <v>3274773694999.9995</v>
      </c>
      <c r="J117" s="3">
        <v>319366130</v>
      </c>
      <c r="K117" s="3">
        <f t="shared" si="4"/>
        <v>2959118814128</v>
      </c>
      <c r="M117" s="4">
        <f t="shared" si="5"/>
        <v>-0.10667191846604429</v>
      </c>
    </row>
    <row r="118" spans="1:13" x14ac:dyDescent="0.45">
      <c r="A118" s="2">
        <v>45800</v>
      </c>
      <c r="B118" s="3">
        <v>2036.75</v>
      </c>
      <c r="D118" s="2">
        <v>45800</v>
      </c>
      <c r="E118" s="3">
        <v>9240.1</v>
      </c>
      <c r="G118" s="3">
        <v>1597100000</v>
      </c>
      <c r="H118" s="3">
        <f t="shared" si="3"/>
        <v>3252893425000</v>
      </c>
      <c r="J118" s="3">
        <v>319366130</v>
      </c>
      <c r="K118" s="3">
        <f t="shared" si="4"/>
        <v>2950974977813</v>
      </c>
      <c r="M118" s="4">
        <f t="shared" si="5"/>
        <v>-0.10231142231194212</v>
      </c>
    </row>
    <row r="119" spans="1:13" x14ac:dyDescent="0.45">
      <c r="A119" s="2">
        <v>45799</v>
      </c>
      <c r="B119" s="3">
        <v>2000</v>
      </c>
      <c r="D119" s="2">
        <v>45799</v>
      </c>
      <c r="E119" s="3">
        <v>9140.35</v>
      </c>
      <c r="G119" s="3">
        <v>1597100000</v>
      </c>
      <c r="H119" s="3">
        <f t="shared" si="3"/>
        <v>3194200000000</v>
      </c>
      <c r="J119" s="3">
        <v>319366130</v>
      </c>
      <c r="K119" s="3">
        <f t="shared" si="4"/>
        <v>2919118206345.5</v>
      </c>
      <c r="M119" s="4">
        <f t="shared" si="5"/>
        <v>-9.4234551056046501E-2</v>
      </c>
    </row>
    <row r="120" spans="1:13" x14ac:dyDescent="0.45">
      <c r="A120" s="2">
        <v>45798</v>
      </c>
      <c r="B120" s="3">
        <v>2036.65</v>
      </c>
      <c r="D120" s="2">
        <v>45798</v>
      </c>
      <c r="E120" s="3">
        <v>9199.4500000000007</v>
      </c>
      <c r="G120" s="3">
        <v>1597100000</v>
      </c>
      <c r="H120" s="3">
        <f t="shared" si="3"/>
        <v>3252733715000</v>
      </c>
      <c r="J120" s="3">
        <v>319366130</v>
      </c>
      <c r="K120" s="3">
        <f t="shared" si="4"/>
        <v>2937992744628.5</v>
      </c>
      <c r="M120" s="4">
        <f t="shared" si="5"/>
        <v>-0.10712789231591446</v>
      </c>
    </row>
    <row r="121" spans="1:13" x14ac:dyDescent="0.45">
      <c r="A121" s="2">
        <v>45797</v>
      </c>
      <c r="B121" s="3">
        <v>2002.3</v>
      </c>
      <c r="D121" s="2">
        <v>45797</v>
      </c>
      <c r="E121" s="3">
        <v>9080.15</v>
      </c>
      <c r="G121" s="3">
        <v>1597100000</v>
      </c>
      <c r="H121" s="3">
        <f t="shared" si="3"/>
        <v>3197873330000</v>
      </c>
      <c r="J121" s="3">
        <v>319366130</v>
      </c>
      <c r="K121" s="3">
        <f t="shared" si="4"/>
        <v>2899892365319.5</v>
      </c>
      <c r="M121" s="4">
        <f t="shared" si="5"/>
        <v>-0.10275587061234592</v>
      </c>
    </row>
    <row r="122" spans="1:13" x14ac:dyDescent="0.45">
      <c r="A122" s="2">
        <v>45796</v>
      </c>
      <c r="B122" s="3">
        <v>2037.85</v>
      </c>
      <c r="D122" s="2">
        <v>45796</v>
      </c>
      <c r="E122" s="3">
        <v>9254.4</v>
      </c>
      <c r="G122" s="3">
        <v>1597100000</v>
      </c>
      <c r="H122" s="3">
        <f t="shared" si="3"/>
        <v>3254650235000</v>
      </c>
      <c r="J122" s="3">
        <v>319366130</v>
      </c>
      <c r="K122" s="3">
        <f t="shared" si="4"/>
        <v>2955541913472</v>
      </c>
      <c r="M122" s="4">
        <f t="shared" si="5"/>
        <v>-0.10120253079971553</v>
      </c>
    </row>
    <row r="123" spans="1:13" x14ac:dyDescent="0.45">
      <c r="A123" s="2">
        <v>45793</v>
      </c>
      <c r="B123" s="3">
        <v>2033.7</v>
      </c>
      <c r="D123" s="2">
        <v>45793</v>
      </c>
      <c r="E123" s="3">
        <v>9166.9</v>
      </c>
      <c r="G123" s="3">
        <v>1597100000</v>
      </c>
      <c r="H123" s="3">
        <f t="shared" si="3"/>
        <v>3248022270000</v>
      </c>
      <c r="J123" s="3">
        <v>319366130</v>
      </c>
      <c r="K123" s="3">
        <f t="shared" si="4"/>
        <v>2927597377097</v>
      </c>
      <c r="M123" s="4">
        <f t="shared" si="5"/>
        <v>-0.10944978138378181</v>
      </c>
    </row>
    <row r="124" spans="1:13" x14ac:dyDescent="0.45">
      <c r="A124" s="2">
        <v>45792</v>
      </c>
      <c r="B124" s="3">
        <v>2042.3</v>
      </c>
      <c r="D124" s="2">
        <v>45792</v>
      </c>
      <c r="E124" s="3">
        <v>9187.5</v>
      </c>
      <c r="G124" s="3">
        <v>1597100000</v>
      </c>
      <c r="H124" s="3">
        <f t="shared" si="3"/>
        <v>3261757330000</v>
      </c>
      <c r="J124" s="3">
        <v>319366130</v>
      </c>
      <c r="K124" s="3">
        <f t="shared" si="4"/>
        <v>2934176319375</v>
      </c>
      <c r="M124" s="4">
        <f t="shared" si="5"/>
        <v>-0.11164326031190153</v>
      </c>
    </row>
    <row r="125" spans="1:13" x14ac:dyDescent="0.45">
      <c r="A125" s="2">
        <v>45791</v>
      </c>
      <c r="B125" s="3">
        <v>2019.6</v>
      </c>
      <c r="D125" s="2">
        <v>45791</v>
      </c>
      <c r="E125" s="3">
        <v>9080.85</v>
      </c>
      <c r="G125" s="3">
        <v>1597100000</v>
      </c>
      <c r="H125" s="3">
        <f t="shared" si="3"/>
        <v>3225503160000</v>
      </c>
      <c r="J125" s="3">
        <v>319366130</v>
      </c>
      <c r="K125" s="3">
        <f t="shared" si="4"/>
        <v>2900115921610.5</v>
      </c>
      <c r="M125" s="4">
        <f t="shared" si="5"/>
        <v>-0.11219801110874394</v>
      </c>
    </row>
    <row r="126" spans="1:13" x14ac:dyDescent="0.45">
      <c r="A126" s="2">
        <v>45790</v>
      </c>
      <c r="B126" s="3">
        <v>2018.15</v>
      </c>
      <c r="D126" s="2">
        <v>45790</v>
      </c>
      <c r="E126" s="3">
        <v>9042.5499999999993</v>
      </c>
      <c r="G126" s="3">
        <v>1597100000</v>
      </c>
      <c r="H126" s="3">
        <f t="shared" si="3"/>
        <v>3223187365000</v>
      </c>
      <c r="J126" s="3">
        <v>319366130</v>
      </c>
      <c r="K126" s="3">
        <f t="shared" si="4"/>
        <v>2887884198831.5</v>
      </c>
      <c r="M126" s="4">
        <f t="shared" si="5"/>
        <v>-0.11610685993024616</v>
      </c>
    </row>
    <row r="127" spans="1:13" x14ac:dyDescent="0.45">
      <c r="A127" s="2">
        <v>45789</v>
      </c>
      <c r="B127" s="3">
        <v>2050.6</v>
      </c>
      <c r="D127" s="2">
        <v>45789</v>
      </c>
      <c r="E127" s="3">
        <v>9016.75</v>
      </c>
      <c r="G127" s="3">
        <v>1597100000</v>
      </c>
      <c r="H127" s="3">
        <f t="shared" si="3"/>
        <v>3275013260000</v>
      </c>
      <c r="J127" s="3">
        <v>319366130</v>
      </c>
      <c r="K127" s="3">
        <f t="shared" si="4"/>
        <v>2879644552677.5</v>
      </c>
      <c r="M127" s="4">
        <f t="shared" si="5"/>
        <v>-0.13729774633292346</v>
      </c>
    </row>
    <row r="128" spans="1:13" x14ac:dyDescent="0.45">
      <c r="A128" s="2">
        <v>45786</v>
      </c>
      <c r="B128" s="3">
        <v>1970.3</v>
      </c>
      <c r="D128" s="2">
        <v>45786</v>
      </c>
      <c r="E128" s="3">
        <v>8640.2000000000007</v>
      </c>
      <c r="G128" s="3">
        <v>1597100000</v>
      </c>
      <c r="H128" s="3">
        <f t="shared" si="3"/>
        <v>3146766130000</v>
      </c>
      <c r="J128" s="3">
        <v>319366130</v>
      </c>
      <c r="K128" s="3">
        <f t="shared" si="4"/>
        <v>2759387236426</v>
      </c>
      <c r="M128" s="4">
        <f t="shared" si="5"/>
        <v>-0.14038583945750904</v>
      </c>
    </row>
    <row r="129" spans="1:13" x14ac:dyDescent="0.45">
      <c r="A129" s="2">
        <v>45785</v>
      </c>
      <c r="B129" s="3">
        <v>2005.65</v>
      </c>
      <c r="D129" s="2">
        <v>45785</v>
      </c>
      <c r="E129" s="3">
        <v>8818</v>
      </c>
      <c r="G129" s="3">
        <v>1597100000</v>
      </c>
      <c r="H129" s="3">
        <f t="shared" si="3"/>
        <v>3203223615000</v>
      </c>
      <c r="J129" s="3">
        <v>319366130</v>
      </c>
      <c r="K129" s="3">
        <f t="shared" si="4"/>
        <v>2816170534340</v>
      </c>
      <c r="M129" s="4">
        <f t="shared" si="5"/>
        <v>-0.13743950373044789</v>
      </c>
    </row>
    <row r="130" spans="1:13" x14ac:dyDescent="0.45">
      <c r="A130" s="2">
        <v>45784</v>
      </c>
      <c r="B130" s="3">
        <v>2028.85</v>
      </c>
      <c r="D130" s="2">
        <v>45784</v>
      </c>
      <c r="E130" s="3">
        <v>8985.5</v>
      </c>
      <c r="G130" s="3">
        <v>1597100000</v>
      </c>
      <c r="H130" s="3">
        <f t="shared" si="3"/>
        <v>3240276335000</v>
      </c>
      <c r="J130" s="3">
        <v>319366130</v>
      </c>
      <c r="K130" s="3">
        <f t="shared" si="4"/>
        <v>2869664361115</v>
      </c>
      <c r="M130" s="4">
        <f t="shared" si="5"/>
        <v>-0.12914819548478484</v>
      </c>
    </row>
    <row r="131" spans="1:13" x14ac:dyDescent="0.45">
      <c r="A131" s="2">
        <v>45783</v>
      </c>
      <c r="B131" s="3">
        <v>2032.45</v>
      </c>
      <c r="D131" s="2">
        <v>45783</v>
      </c>
      <c r="E131" s="3">
        <v>8797.1</v>
      </c>
      <c r="G131" s="3">
        <v>1597100000</v>
      </c>
      <c r="H131" s="3">
        <f t="shared" si="3"/>
        <v>3246025895000</v>
      </c>
      <c r="J131" s="3">
        <v>319366130</v>
      </c>
      <c r="K131" s="3">
        <f t="shared" si="4"/>
        <v>2809495782223</v>
      </c>
      <c r="M131" s="4">
        <f t="shared" si="5"/>
        <v>-0.15537667489630391</v>
      </c>
    </row>
    <row r="132" spans="1:13" x14ac:dyDescent="0.45">
      <c r="A132" s="2">
        <v>45782</v>
      </c>
      <c r="B132" s="3">
        <v>2025.4</v>
      </c>
      <c r="D132" s="2">
        <v>45782</v>
      </c>
      <c r="E132" s="3">
        <v>8932.5</v>
      </c>
      <c r="G132" s="3">
        <v>1597100000</v>
      </c>
      <c r="H132" s="3">
        <f t="shared" ref="H132:H195" si="6">+G132*B132</f>
        <v>3234766340000</v>
      </c>
      <c r="J132" s="3">
        <v>319366130</v>
      </c>
      <c r="K132" s="3">
        <f t="shared" ref="K132:K195" si="7">+J132*E132</f>
        <v>2852737956225</v>
      </c>
      <c r="M132" s="4">
        <f t="shared" ref="M132:M195" si="8">1- (H132/K132)</f>
        <v>-0.13391639527961918</v>
      </c>
    </row>
    <row r="133" spans="1:13" x14ac:dyDescent="0.45">
      <c r="A133" s="2">
        <v>45779</v>
      </c>
      <c r="B133" s="3">
        <v>1957</v>
      </c>
      <c r="D133" s="2">
        <v>45779</v>
      </c>
      <c r="E133" s="3">
        <v>8862.25</v>
      </c>
      <c r="G133" s="3">
        <v>1597100000</v>
      </c>
      <c r="H133" s="3">
        <f t="shared" si="6"/>
        <v>3125524700000</v>
      </c>
      <c r="J133" s="3">
        <v>319366130</v>
      </c>
      <c r="K133" s="3">
        <f t="shared" si="7"/>
        <v>2830302485592.5</v>
      </c>
      <c r="M133" s="4">
        <f t="shared" si="8"/>
        <v>-0.10430765471546333</v>
      </c>
    </row>
    <row r="134" spans="1:13" x14ac:dyDescent="0.45">
      <c r="A134" s="2">
        <v>45777</v>
      </c>
      <c r="B134" s="3">
        <v>1952.4</v>
      </c>
      <c r="D134" s="2">
        <v>45777</v>
      </c>
      <c r="E134" s="3">
        <v>8635.7000000000007</v>
      </c>
      <c r="G134" s="3">
        <v>1597100000</v>
      </c>
      <c r="H134" s="3">
        <f t="shared" si="6"/>
        <v>3118178040000</v>
      </c>
      <c r="J134" s="3">
        <v>319366130</v>
      </c>
      <c r="K134" s="3">
        <f t="shared" si="7"/>
        <v>2757950088841</v>
      </c>
      <c r="M134" s="4">
        <f t="shared" si="8"/>
        <v>-0.13061438371075895</v>
      </c>
    </row>
    <row r="135" spans="1:13" x14ac:dyDescent="0.45">
      <c r="A135" s="2">
        <v>45776</v>
      </c>
      <c r="B135" s="3">
        <v>2065</v>
      </c>
      <c r="D135" s="2">
        <v>45776</v>
      </c>
      <c r="E135" s="3">
        <v>9089.2999999999993</v>
      </c>
      <c r="G135" s="3">
        <v>1597100000</v>
      </c>
      <c r="H135" s="3">
        <f t="shared" si="6"/>
        <v>3298011500000</v>
      </c>
      <c r="J135" s="3">
        <v>319366130</v>
      </c>
      <c r="K135" s="3">
        <f t="shared" si="7"/>
        <v>2902814565409</v>
      </c>
      <c r="M135" s="4">
        <f t="shared" si="8"/>
        <v>-0.1361426731491262</v>
      </c>
    </row>
    <row r="136" spans="1:13" x14ac:dyDescent="0.45">
      <c r="A136" s="2">
        <v>45775</v>
      </c>
      <c r="B136" s="3">
        <v>2048.75</v>
      </c>
      <c r="D136" s="2">
        <v>45775</v>
      </c>
      <c r="E136" s="3">
        <v>9092</v>
      </c>
      <c r="G136" s="3">
        <v>1597100000</v>
      </c>
      <c r="H136" s="3">
        <f t="shared" si="6"/>
        <v>3272058625000</v>
      </c>
      <c r="J136" s="3">
        <v>319366130</v>
      </c>
      <c r="K136" s="3">
        <f t="shared" si="7"/>
        <v>2903676853960</v>
      </c>
      <c r="M136" s="4">
        <f t="shared" si="8"/>
        <v>-0.12686734425616453</v>
      </c>
    </row>
    <row r="137" spans="1:13" x14ac:dyDescent="0.45">
      <c r="A137" s="2">
        <v>45772</v>
      </c>
      <c r="B137" s="3">
        <v>2045.35</v>
      </c>
      <c r="D137" s="2">
        <v>45772</v>
      </c>
      <c r="E137" s="3">
        <v>9111.2000000000007</v>
      </c>
      <c r="G137" s="3">
        <v>1597100000</v>
      </c>
      <c r="H137" s="3">
        <f t="shared" si="6"/>
        <v>3266628485000</v>
      </c>
      <c r="J137" s="3">
        <v>319366130</v>
      </c>
      <c r="K137" s="3">
        <f t="shared" si="7"/>
        <v>2909808683656</v>
      </c>
      <c r="M137" s="4">
        <f t="shared" si="8"/>
        <v>-0.1226265504492472</v>
      </c>
    </row>
    <row r="138" spans="1:13" x14ac:dyDescent="0.45">
      <c r="A138" s="2">
        <v>45771</v>
      </c>
      <c r="B138" s="3">
        <v>2105.4</v>
      </c>
      <c r="D138" s="2">
        <v>45771</v>
      </c>
      <c r="E138" s="3">
        <v>9298.1</v>
      </c>
      <c r="G138" s="3">
        <v>1597100000</v>
      </c>
      <c r="H138" s="3">
        <f t="shared" si="6"/>
        <v>3362534340000</v>
      </c>
      <c r="J138" s="3">
        <v>319366130</v>
      </c>
      <c r="K138" s="3">
        <f t="shared" si="7"/>
        <v>2969498213353</v>
      </c>
      <c r="M138" s="4">
        <f t="shared" si="8"/>
        <v>-0.13235775825007301</v>
      </c>
    </row>
    <row r="139" spans="1:13" x14ac:dyDescent="0.45">
      <c r="A139" s="2">
        <v>45770</v>
      </c>
      <c r="B139" s="3">
        <v>2100</v>
      </c>
      <c r="D139" s="2">
        <v>45770</v>
      </c>
      <c r="E139" s="3">
        <v>9326.25</v>
      </c>
      <c r="G139" s="3">
        <v>1597100000</v>
      </c>
      <c r="H139" s="3">
        <f t="shared" si="6"/>
        <v>3353910000000</v>
      </c>
      <c r="J139" s="3">
        <v>319366130</v>
      </c>
      <c r="K139" s="3">
        <f t="shared" si="7"/>
        <v>2978488369912.5</v>
      </c>
      <c r="M139" s="4">
        <f t="shared" si="8"/>
        <v>-0.1260443498386159</v>
      </c>
    </row>
    <row r="140" spans="1:13" x14ac:dyDescent="0.45">
      <c r="A140" s="2">
        <v>45769</v>
      </c>
      <c r="B140" s="3">
        <v>2077.9</v>
      </c>
      <c r="D140" s="2">
        <v>45769</v>
      </c>
      <c r="E140" s="3">
        <v>9266.5</v>
      </c>
      <c r="G140" s="3">
        <v>1597100000</v>
      </c>
      <c r="H140" s="3">
        <f t="shared" si="6"/>
        <v>3318614090000</v>
      </c>
      <c r="J140" s="3">
        <v>319366130</v>
      </c>
      <c r="K140" s="3">
        <f t="shared" si="7"/>
        <v>2959406243645</v>
      </c>
      <c r="M140" s="4">
        <f t="shared" si="8"/>
        <v>-0.12137834983837026</v>
      </c>
    </row>
    <row r="141" spans="1:13" x14ac:dyDescent="0.45">
      <c r="A141" s="2">
        <v>45768</v>
      </c>
      <c r="B141" s="3">
        <v>2104.25</v>
      </c>
      <c r="D141" s="2">
        <v>45768</v>
      </c>
      <c r="E141" s="3">
        <v>9270.5</v>
      </c>
      <c r="G141" s="3">
        <v>1597100000</v>
      </c>
      <c r="H141" s="3">
        <f t="shared" si="6"/>
        <v>3360697675000</v>
      </c>
      <c r="J141" s="3">
        <v>319366130</v>
      </c>
      <c r="K141" s="3">
        <f t="shared" si="7"/>
        <v>2960683708165</v>
      </c>
      <c r="M141" s="4">
        <f t="shared" si="8"/>
        <v>-0.13510864592926208</v>
      </c>
    </row>
    <row r="142" spans="1:13" x14ac:dyDescent="0.45">
      <c r="A142" s="2">
        <v>45764</v>
      </c>
      <c r="B142" s="3">
        <v>2033.75</v>
      </c>
      <c r="D142" s="2">
        <v>45764</v>
      </c>
      <c r="E142" s="3">
        <v>9164.0499999999993</v>
      </c>
      <c r="G142" s="3">
        <v>1597100000</v>
      </c>
      <c r="H142" s="3">
        <f t="shared" si="6"/>
        <v>3248102125000</v>
      </c>
      <c r="J142" s="3">
        <v>319366130</v>
      </c>
      <c r="K142" s="3">
        <f t="shared" si="7"/>
        <v>2926687183626.5</v>
      </c>
      <c r="M142" s="4">
        <f t="shared" si="8"/>
        <v>-0.10982210301520179</v>
      </c>
    </row>
    <row r="143" spans="1:13" x14ac:dyDescent="0.45">
      <c r="A143" s="2">
        <v>45763</v>
      </c>
      <c r="B143" s="3">
        <v>1969.9</v>
      </c>
      <c r="D143" s="2">
        <v>45763</v>
      </c>
      <c r="E143" s="3">
        <v>9054.85</v>
      </c>
      <c r="G143" s="3">
        <v>1597100000</v>
      </c>
      <c r="H143" s="3">
        <f t="shared" si="6"/>
        <v>3146127290000</v>
      </c>
      <c r="J143" s="3">
        <v>319366130</v>
      </c>
      <c r="K143" s="3">
        <f t="shared" si="7"/>
        <v>2891812402230.5</v>
      </c>
      <c r="M143" s="4">
        <f t="shared" si="8"/>
        <v>-8.7943079424288806E-2</v>
      </c>
    </row>
    <row r="144" spans="1:13" x14ac:dyDescent="0.45">
      <c r="A144" s="2">
        <v>45762</v>
      </c>
      <c r="B144" s="3">
        <v>1967.85</v>
      </c>
      <c r="D144" s="2">
        <v>45762</v>
      </c>
      <c r="E144" s="3">
        <v>9142.2000000000007</v>
      </c>
      <c r="G144" s="3">
        <v>1597100000</v>
      </c>
      <c r="H144" s="3">
        <f t="shared" si="6"/>
        <v>3142853235000</v>
      </c>
      <c r="J144" s="3">
        <v>319366130</v>
      </c>
      <c r="K144" s="3">
        <f t="shared" si="7"/>
        <v>2919709033686</v>
      </c>
      <c r="M144" s="4">
        <f t="shared" si="8"/>
        <v>-7.6426862656341576E-2</v>
      </c>
    </row>
    <row r="145" spans="1:13" x14ac:dyDescent="0.45">
      <c r="A145" s="2">
        <v>45758</v>
      </c>
      <c r="B145" s="3">
        <v>1945.65</v>
      </c>
      <c r="D145" s="2">
        <v>45758</v>
      </c>
      <c r="E145" s="3">
        <v>8926.7000000000007</v>
      </c>
      <c r="G145" s="3">
        <v>1597100000</v>
      </c>
      <c r="H145" s="3">
        <f t="shared" si="6"/>
        <v>3107397615000</v>
      </c>
      <c r="J145" s="3">
        <v>319366130</v>
      </c>
      <c r="K145" s="3">
        <f t="shared" si="7"/>
        <v>2850885632671</v>
      </c>
      <c r="M145" s="4">
        <f t="shared" si="8"/>
        <v>-8.9976244360484348E-2</v>
      </c>
    </row>
    <row r="146" spans="1:13" x14ac:dyDescent="0.45">
      <c r="A146" s="2">
        <v>45756</v>
      </c>
      <c r="B146" s="3">
        <v>1896.4</v>
      </c>
      <c r="D146" s="2">
        <v>45756</v>
      </c>
      <c r="E146" s="3">
        <v>8727.0499999999993</v>
      </c>
      <c r="G146" s="3">
        <v>1597100000</v>
      </c>
      <c r="H146" s="3">
        <f t="shared" si="6"/>
        <v>3028740440000</v>
      </c>
      <c r="J146" s="3">
        <v>319366130</v>
      </c>
      <c r="K146" s="3">
        <f t="shared" si="7"/>
        <v>2787124184816.5</v>
      </c>
      <c r="M146" s="4">
        <f t="shared" si="8"/>
        <v>-8.6690164901786604E-2</v>
      </c>
    </row>
    <row r="147" spans="1:13" x14ac:dyDescent="0.45">
      <c r="A147" s="2">
        <v>45755</v>
      </c>
      <c r="B147" s="3">
        <v>1902.95</v>
      </c>
      <c r="D147" s="2">
        <v>45755</v>
      </c>
      <c r="E147" s="3">
        <v>8820.6</v>
      </c>
      <c r="G147" s="3">
        <v>1597100000</v>
      </c>
      <c r="H147" s="3">
        <f t="shared" si="6"/>
        <v>3039201445000</v>
      </c>
      <c r="J147" s="3">
        <v>319366130</v>
      </c>
      <c r="K147" s="3">
        <f t="shared" si="7"/>
        <v>2817000886278</v>
      </c>
      <c r="M147" s="4">
        <f t="shared" si="8"/>
        <v>-7.8878412784450846E-2</v>
      </c>
    </row>
    <row r="148" spans="1:13" x14ac:dyDescent="0.45">
      <c r="A148" s="2">
        <v>45754</v>
      </c>
      <c r="B148" s="3">
        <v>1852.15</v>
      </c>
      <c r="D148" s="2">
        <v>45754</v>
      </c>
      <c r="E148" s="3">
        <v>8567.1</v>
      </c>
      <c r="G148" s="3">
        <v>1597100000</v>
      </c>
      <c r="H148" s="3">
        <f t="shared" si="6"/>
        <v>2958068765000</v>
      </c>
      <c r="J148" s="3">
        <v>319366130</v>
      </c>
      <c r="K148" s="3">
        <f t="shared" si="7"/>
        <v>2736041572323</v>
      </c>
      <c r="M148" s="4">
        <f t="shared" si="8"/>
        <v>-8.1149056696711908E-2</v>
      </c>
    </row>
    <row r="149" spans="1:13" x14ac:dyDescent="0.45">
      <c r="A149" s="2">
        <v>45751</v>
      </c>
      <c r="B149" s="3">
        <v>1912.15</v>
      </c>
      <c r="D149" s="2">
        <v>45751</v>
      </c>
      <c r="E149" s="3">
        <v>8720.85</v>
      </c>
      <c r="G149" s="3">
        <v>1597100000</v>
      </c>
      <c r="H149" s="3">
        <f t="shared" si="6"/>
        <v>3053894765000</v>
      </c>
      <c r="J149" s="3">
        <v>319366130</v>
      </c>
      <c r="K149" s="3">
        <f t="shared" si="7"/>
        <v>2785144114810.5</v>
      </c>
      <c r="M149" s="4">
        <f t="shared" si="8"/>
        <v>-9.6494342522661869E-2</v>
      </c>
    </row>
    <row r="150" spans="1:13" x14ac:dyDescent="0.45">
      <c r="A150" s="2">
        <v>45750</v>
      </c>
      <c r="B150" s="3">
        <v>1920.85</v>
      </c>
      <c r="D150" s="2">
        <v>45750</v>
      </c>
      <c r="E150" s="3">
        <v>8598.1</v>
      </c>
      <c r="G150" s="3">
        <v>1597100000</v>
      </c>
      <c r="H150" s="3">
        <f t="shared" si="6"/>
        <v>3067789535000</v>
      </c>
      <c r="J150" s="3">
        <v>319366130</v>
      </c>
      <c r="K150" s="3">
        <f t="shared" si="7"/>
        <v>2745941922353</v>
      </c>
      <c r="M150" s="4">
        <f t="shared" si="8"/>
        <v>-0.11720845587703055</v>
      </c>
    </row>
    <row r="151" spans="1:13" x14ac:dyDescent="0.45">
      <c r="A151" s="2">
        <v>45749</v>
      </c>
      <c r="B151" s="3">
        <v>1927.6</v>
      </c>
      <c r="D151" s="2">
        <v>45749</v>
      </c>
      <c r="E151" s="3">
        <v>8667.9500000000007</v>
      </c>
      <c r="G151" s="3">
        <v>1597100000</v>
      </c>
      <c r="H151" s="3">
        <f t="shared" si="6"/>
        <v>3078569960000</v>
      </c>
      <c r="J151" s="3">
        <v>319366130</v>
      </c>
      <c r="K151" s="3">
        <f t="shared" si="7"/>
        <v>2768249646533.5</v>
      </c>
      <c r="M151" s="4">
        <f t="shared" si="8"/>
        <v>-0.11209982952769226</v>
      </c>
    </row>
    <row r="152" spans="1:13" x14ac:dyDescent="0.45">
      <c r="A152" s="2">
        <v>45748</v>
      </c>
      <c r="B152" s="3">
        <v>1936.5</v>
      </c>
      <c r="D152" s="2">
        <v>45748</v>
      </c>
      <c r="E152" s="3">
        <v>8696.9</v>
      </c>
      <c r="G152" s="3">
        <v>1597100000</v>
      </c>
      <c r="H152" s="3">
        <f t="shared" si="6"/>
        <v>3092784150000</v>
      </c>
      <c r="J152" s="3">
        <v>319366130</v>
      </c>
      <c r="K152" s="3">
        <f t="shared" si="7"/>
        <v>2777495295997</v>
      </c>
      <c r="M152" s="4">
        <f t="shared" si="8"/>
        <v>-0.1135155312260665</v>
      </c>
    </row>
    <row r="153" spans="1:13" x14ac:dyDescent="0.45">
      <c r="A153" s="2">
        <v>45744</v>
      </c>
      <c r="B153" s="3">
        <v>2005.95</v>
      </c>
      <c r="D153" s="2">
        <v>45744</v>
      </c>
      <c r="E153" s="3">
        <v>8948.75</v>
      </c>
      <c r="G153" s="3">
        <v>1597100000</v>
      </c>
      <c r="H153" s="3">
        <f t="shared" si="6"/>
        <v>3203702745000</v>
      </c>
      <c r="J153" s="3">
        <v>319366130</v>
      </c>
      <c r="K153" s="3">
        <f t="shared" si="7"/>
        <v>2857927655837.5</v>
      </c>
      <c r="M153" s="4">
        <f t="shared" si="8"/>
        <v>-0.12098804826505405</v>
      </c>
    </row>
    <row r="154" spans="1:13" x14ac:dyDescent="0.45">
      <c r="A154" s="2">
        <v>45743</v>
      </c>
      <c r="B154" s="3">
        <v>2005.4</v>
      </c>
      <c r="D154" s="2">
        <v>45743</v>
      </c>
      <c r="E154" s="3">
        <v>8986</v>
      </c>
      <c r="G154" s="3">
        <v>1597100000</v>
      </c>
      <c r="H154" s="3">
        <f t="shared" si="6"/>
        <v>3202824340000</v>
      </c>
      <c r="J154" s="3">
        <v>319366130</v>
      </c>
      <c r="K154" s="3">
        <f t="shared" si="7"/>
        <v>2869824044180</v>
      </c>
      <c r="M154" s="4">
        <f t="shared" si="8"/>
        <v>-0.11603509159222636</v>
      </c>
    </row>
    <row r="155" spans="1:13" x14ac:dyDescent="0.45">
      <c r="A155" s="2">
        <v>45742</v>
      </c>
      <c r="B155" s="3">
        <v>1942.7</v>
      </c>
      <c r="D155" s="2">
        <v>45742</v>
      </c>
      <c r="E155" s="3">
        <v>8864.9500000000007</v>
      </c>
      <c r="G155" s="3">
        <v>1597100000</v>
      </c>
      <c r="H155" s="3">
        <f t="shared" si="6"/>
        <v>3102686170000</v>
      </c>
      <c r="J155" s="3">
        <v>319366130</v>
      </c>
      <c r="K155" s="3">
        <f t="shared" si="7"/>
        <v>2831164774143.5</v>
      </c>
      <c r="M155" s="4">
        <f t="shared" si="8"/>
        <v>-9.5904483672675678E-2</v>
      </c>
    </row>
    <row r="156" spans="1:13" x14ac:dyDescent="0.45">
      <c r="A156" s="2">
        <v>45741</v>
      </c>
      <c r="B156" s="3">
        <v>1946.1</v>
      </c>
      <c r="D156" s="2">
        <v>45741</v>
      </c>
      <c r="E156" s="3">
        <v>9071.6</v>
      </c>
      <c r="G156" s="3">
        <v>1597100000</v>
      </c>
      <c r="H156" s="3">
        <f t="shared" si="6"/>
        <v>3108116310000</v>
      </c>
      <c r="J156" s="3">
        <v>319366130</v>
      </c>
      <c r="K156" s="3">
        <f t="shared" si="7"/>
        <v>2897161784908</v>
      </c>
      <c r="M156" s="4">
        <f t="shared" si="8"/>
        <v>-7.2814202572639264E-2</v>
      </c>
    </row>
    <row r="157" spans="1:13" x14ac:dyDescent="0.45">
      <c r="A157" s="2">
        <v>45740</v>
      </c>
      <c r="B157" s="3">
        <v>1894.8</v>
      </c>
      <c r="D157" s="2">
        <v>45740</v>
      </c>
      <c r="E157" s="3">
        <v>9094.9</v>
      </c>
      <c r="G157" s="3">
        <v>1597100000</v>
      </c>
      <c r="H157" s="3">
        <f t="shared" si="6"/>
        <v>3026185080000</v>
      </c>
      <c r="J157" s="3">
        <v>319366130</v>
      </c>
      <c r="K157" s="3">
        <f t="shared" si="7"/>
        <v>2904603015737</v>
      </c>
      <c r="M157" s="4">
        <f t="shared" si="8"/>
        <v>-4.1858410118103651E-2</v>
      </c>
    </row>
    <row r="158" spans="1:13" x14ac:dyDescent="0.45">
      <c r="A158" s="2">
        <v>45737</v>
      </c>
      <c r="B158" s="3">
        <v>1845.65</v>
      </c>
      <c r="D158" s="2">
        <v>45737</v>
      </c>
      <c r="E158" s="3">
        <v>8918.6</v>
      </c>
      <c r="G158" s="3">
        <v>1597100000</v>
      </c>
      <c r="H158" s="3">
        <f t="shared" si="6"/>
        <v>2947687615000</v>
      </c>
      <c r="J158" s="3">
        <v>319366130</v>
      </c>
      <c r="K158" s="3">
        <f t="shared" si="7"/>
        <v>2848298767018</v>
      </c>
      <c r="M158" s="4">
        <f t="shared" si="8"/>
        <v>-3.4894109119758543E-2</v>
      </c>
    </row>
    <row r="159" spans="1:13" x14ac:dyDescent="0.45">
      <c r="A159" s="2">
        <v>45736</v>
      </c>
      <c r="B159" s="3">
        <v>1851.3</v>
      </c>
      <c r="D159" s="2">
        <v>45736</v>
      </c>
      <c r="E159" s="3">
        <v>8679.7999999999993</v>
      </c>
      <c r="G159" s="3">
        <v>1597100000</v>
      </c>
      <c r="H159" s="3">
        <f t="shared" si="6"/>
        <v>2956711230000</v>
      </c>
      <c r="J159" s="3">
        <v>319366130</v>
      </c>
      <c r="K159" s="3">
        <f t="shared" si="7"/>
        <v>2772034135174</v>
      </c>
      <c r="M159" s="4">
        <f t="shared" si="8"/>
        <v>-6.662150818514645E-2</v>
      </c>
    </row>
    <row r="160" spans="1:13" x14ac:dyDescent="0.45">
      <c r="A160" s="2">
        <v>45735</v>
      </c>
      <c r="B160" s="3">
        <v>1841.7</v>
      </c>
      <c r="D160" s="2">
        <v>45735</v>
      </c>
      <c r="E160" s="3">
        <v>8737.15</v>
      </c>
      <c r="G160" s="3">
        <v>1597100000</v>
      </c>
      <c r="H160" s="3">
        <f t="shared" si="6"/>
        <v>2941379070000</v>
      </c>
      <c r="J160" s="3">
        <v>319366130</v>
      </c>
      <c r="K160" s="3">
        <f t="shared" si="7"/>
        <v>2790349782729.5</v>
      </c>
      <c r="M160" s="4">
        <f t="shared" si="8"/>
        <v>-5.41255752971459E-2</v>
      </c>
    </row>
    <row r="161" spans="1:13" x14ac:dyDescent="0.45">
      <c r="A161" s="2">
        <v>45734</v>
      </c>
      <c r="B161" s="3">
        <v>1845</v>
      </c>
      <c r="D161" s="2">
        <v>45734</v>
      </c>
      <c r="E161" s="3">
        <v>8679.75</v>
      </c>
      <c r="G161" s="3">
        <v>1597100000</v>
      </c>
      <c r="H161" s="3">
        <f t="shared" si="6"/>
        <v>2946649500000</v>
      </c>
      <c r="J161" s="3">
        <v>319366130</v>
      </c>
      <c r="K161" s="3">
        <f t="shared" si="7"/>
        <v>2772018166867.5</v>
      </c>
      <c r="M161" s="4">
        <f t="shared" si="8"/>
        <v>-6.2997903556252899E-2</v>
      </c>
    </row>
    <row r="162" spans="1:13" x14ac:dyDescent="0.45">
      <c r="A162" s="2">
        <v>45733</v>
      </c>
      <c r="B162" s="3">
        <v>1871.85</v>
      </c>
      <c r="D162" s="2">
        <v>45733</v>
      </c>
      <c r="E162" s="3">
        <v>8580</v>
      </c>
      <c r="G162" s="3">
        <v>1597100000</v>
      </c>
      <c r="H162" s="3">
        <f t="shared" si="6"/>
        <v>2989531635000</v>
      </c>
      <c r="J162" s="3">
        <v>319366130</v>
      </c>
      <c r="K162" s="3">
        <f t="shared" si="7"/>
        <v>2740161395400</v>
      </c>
      <c r="M162" s="4">
        <f t="shared" si="8"/>
        <v>-9.1005675803850883E-2</v>
      </c>
    </row>
    <row r="163" spans="1:13" x14ac:dyDescent="0.45">
      <c r="A163" s="2">
        <v>45729</v>
      </c>
      <c r="B163" s="3">
        <v>1806.95</v>
      </c>
      <c r="D163" s="2">
        <v>45729</v>
      </c>
      <c r="E163" s="3">
        <v>8419.25</v>
      </c>
      <c r="G163" s="3">
        <v>1597100000</v>
      </c>
      <c r="H163" s="3">
        <f t="shared" si="6"/>
        <v>2885879845000</v>
      </c>
      <c r="J163" s="3">
        <v>319366130</v>
      </c>
      <c r="K163" s="3">
        <f t="shared" si="7"/>
        <v>2688823290002.5</v>
      </c>
      <c r="M163" s="4">
        <f t="shared" si="8"/>
        <v>-7.3287283597322839E-2</v>
      </c>
    </row>
    <row r="164" spans="1:13" x14ac:dyDescent="0.45">
      <c r="A164" s="2">
        <v>45728</v>
      </c>
      <c r="B164" s="3">
        <v>1818.9</v>
      </c>
      <c r="D164" s="2">
        <v>45728</v>
      </c>
      <c r="E164" s="3">
        <v>8490.0499999999993</v>
      </c>
      <c r="G164" s="3">
        <v>1597100000</v>
      </c>
      <c r="H164" s="3">
        <f t="shared" si="6"/>
        <v>2904965190000</v>
      </c>
      <c r="J164" s="3">
        <v>319366130</v>
      </c>
      <c r="K164" s="3">
        <f t="shared" si="7"/>
        <v>2711434412006.5</v>
      </c>
      <c r="M164" s="4">
        <f t="shared" si="8"/>
        <v>-7.1375791771516317E-2</v>
      </c>
    </row>
    <row r="165" spans="1:13" x14ac:dyDescent="0.45">
      <c r="A165" s="2">
        <v>45727</v>
      </c>
      <c r="B165" s="3">
        <v>1805.5</v>
      </c>
      <c r="D165" s="2">
        <v>45727</v>
      </c>
      <c r="E165" s="3">
        <v>8342.4</v>
      </c>
      <c r="G165" s="3">
        <v>1597100000</v>
      </c>
      <c r="H165" s="3">
        <f t="shared" si="6"/>
        <v>2883564050000</v>
      </c>
      <c r="J165" s="3">
        <v>319366130</v>
      </c>
      <c r="K165" s="3">
        <f t="shared" si="7"/>
        <v>2664280002912</v>
      </c>
      <c r="M165" s="4">
        <f t="shared" si="8"/>
        <v>-8.2305180704853598E-2</v>
      </c>
    </row>
    <row r="166" spans="1:13" x14ac:dyDescent="0.45">
      <c r="A166" s="2">
        <v>45726</v>
      </c>
      <c r="B166" s="3">
        <v>1838.85</v>
      </c>
      <c r="D166" s="2">
        <v>45726</v>
      </c>
      <c r="E166" s="3">
        <v>8343.65</v>
      </c>
      <c r="G166" s="3">
        <v>1597100000</v>
      </c>
      <c r="H166" s="3">
        <f t="shared" si="6"/>
        <v>2936827335000</v>
      </c>
      <c r="J166" s="3">
        <v>319366130</v>
      </c>
      <c r="K166" s="3">
        <f t="shared" si="7"/>
        <v>2664679210574.5</v>
      </c>
      <c r="M166" s="4">
        <f t="shared" si="8"/>
        <v>-0.10213166498447879</v>
      </c>
    </row>
    <row r="167" spans="1:13" x14ac:dyDescent="0.45">
      <c r="A167" s="2">
        <v>45723</v>
      </c>
      <c r="B167" s="3">
        <v>1846.85</v>
      </c>
      <c r="D167" s="2">
        <v>45723</v>
      </c>
      <c r="E167" s="3">
        <v>8404.5499999999993</v>
      </c>
      <c r="G167" s="3">
        <v>1597100000</v>
      </c>
      <c r="H167" s="3">
        <f t="shared" si="6"/>
        <v>2949604135000</v>
      </c>
      <c r="J167" s="3">
        <v>319366130</v>
      </c>
      <c r="K167" s="3">
        <f t="shared" si="7"/>
        <v>2684128607891.5</v>
      </c>
      <c r="M167" s="4">
        <f t="shared" si="8"/>
        <v>-9.8905665819434274E-2</v>
      </c>
    </row>
    <row r="168" spans="1:13" x14ac:dyDescent="0.45">
      <c r="A168" s="2">
        <v>45722</v>
      </c>
      <c r="B168" s="3">
        <v>1845.15</v>
      </c>
      <c r="D168" s="2">
        <v>45722</v>
      </c>
      <c r="E168" s="3">
        <v>8403.6</v>
      </c>
      <c r="G168" s="3">
        <v>1597100000</v>
      </c>
      <c r="H168" s="3">
        <f t="shared" si="6"/>
        <v>2946889065000</v>
      </c>
      <c r="J168" s="3">
        <v>319366130</v>
      </c>
      <c r="K168" s="3">
        <f t="shared" si="7"/>
        <v>2683825210068</v>
      </c>
      <c r="M168" s="4">
        <f t="shared" si="8"/>
        <v>-9.8018251689846458E-2</v>
      </c>
    </row>
    <row r="169" spans="1:13" x14ac:dyDescent="0.45">
      <c r="A169" s="2">
        <v>45721</v>
      </c>
      <c r="B169" s="3">
        <v>1802</v>
      </c>
      <c r="D169" s="2">
        <v>45721</v>
      </c>
      <c r="E169" s="3">
        <v>8309</v>
      </c>
      <c r="G169" s="3">
        <v>1597100000</v>
      </c>
      <c r="H169" s="3">
        <f t="shared" si="6"/>
        <v>2877974200000</v>
      </c>
      <c r="J169" s="3">
        <v>319366130</v>
      </c>
      <c r="K169" s="3">
        <f t="shared" si="7"/>
        <v>2653613174170</v>
      </c>
      <c r="M169" s="4">
        <f t="shared" si="8"/>
        <v>-8.454925835231264E-2</v>
      </c>
    </row>
    <row r="170" spans="1:13" x14ac:dyDescent="0.45">
      <c r="A170" s="2">
        <v>45720</v>
      </c>
      <c r="B170" s="3">
        <v>1790.3</v>
      </c>
      <c r="D170" s="2">
        <v>45720</v>
      </c>
      <c r="E170" s="3">
        <v>8588.5</v>
      </c>
      <c r="G170" s="3">
        <v>1597100000</v>
      </c>
      <c r="H170" s="3">
        <f t="shared" si="6"/>
        <v>2859288130000</v>
      </c>
      <c r="J170" s="3">
        <v>319366130</v>
      </c>
      <c r="K170" s="3">
        <f t="shared" si="7"/>
        <v>2742876007505</v>
      </c>
      <c r="M170" s="4">
        <f t="shared" si="8"/>
        <v>-4.2441627757315858E-2</v>
      </c>
    </row>
    <row r="171" spans="1:13" x14ac:dyDescent="0.45">
      <c r="A171" s="2">
        <v>45719</v>
      </c>
      <c r="B171" s="3">
        <v>1838.2</v>
      </c>
      <c r="D171" s="2">
        <v>45719</v>
      </c>
      <c r="E171" s="3">
        <v>8627.7999999999993</v>
      </c>
      <c r="G171" s="3">
        <v>1597100000</v>
      </c>
      <c r="H171" s="3">
        <f t="shared" si="6"/>
        <v>2935789220000</v>
      </c>
      <c r="J171" s="3">
        <v>319366130</v>
      </c>
      <c r="K171" s="3">
        <f t="shared" si="7"/>
        <v>2755427096414</v>
      </c>
      <c r="M171" s="4">
        <f t="shared" si="8"/>
        <v>-6.5457047954826653E-2</v>
      </c>
    </row>
    <row r="172" spans="1:13" x14ac:dyDescent="0.45">
      <c r="A172" s="2">
        <v>45716</v>
      </c>
      <c r="B172" s="3">
        <v>1873</v>
      </c>
      <c r="D172" s="2">
        <v>45716</v>
      </c>
      <c r="E172" s="3">
        <v>8542.25</v>
      </c>
      <c r="G172" s="3">
        <v>1597100000</v>
      </c>
      <c r="H172" s="3">
        <f t="shared" si="6"/>
        <v>2991368300000</v>
      </c>
      <c r="J172" s="3">
        <v>319366130</v>
      </c>
      <c r="K172" s="3">
        <f t="shared" si="7"/>
        <v>2728105323992.5</v>
      </c>
      <c r="M172" s="4">
        <f t="shared" si="8"/>
        <v>-9.650029773125568E-2</v>
      </c>
    </row>
    <row r="173" spans="1:13" x14ac:dyDescent="0.45">
      <c r="A173" s="2">
        <v>45715</v>
      </c>
      <c r="B173" s="3">
        <v>1924.55</v>
      </c>
      <c r="D173" s="2">
        <v>45715</v>
      </c>
      <c r="E173" s="3">
        <v>8695.5</v>
      </c>
      <c r="G173" s="3">
        <v>1597100000</v>
      </c>
      <c r="H173" s="3">
        <f t="shared" si="6"/>
        <v>3073698805000</v>
      </c>
      <c r="J173" s="3">
        <v>319366130</v>
      </c>
      <c r="K173" s="3">
        <f t="shared" si="7"/>
        <v>2777048183415</v>
      </c>
      <c r="M173" s="4">
        <f t="shared" si="8"/>
        <v>-0.10682228106687086</v>
      </c>
    </row>
    <row r="174" spans="1:13" x14ac:dyDescent="0.45">
      <c r="A174" s="2">
        <v>45713</v>
      </c>
      <c r="B174" s="3">
        <v>1875.95</v>
      </c>
      <c r="D174" s="2">
        <v>45713</v>
      </c>
      <c r="E174" s="3">
        <v>8492.4</v>
      </c>
      <c r="G174" s="3">
        <v>1597100000</v>
      </c>
      <c r="H174" s="3">
        <f t="shared" si="6"/>
        <v>2996079745000</v>
      </c>
      <c r="J174" s="3">
        <v>319366130</v>
      </c>
      <c r="K174" s="3">
        <f t="shared" si="7"/>
        <v>2712184922412</v>
      </c>
      <c r="M174" s="4">
        <f t="shared" si="8"/>
        <v>-0.10467384441305971</v>
      </c>
    </row>
    <row r="175" spans="1:13" x14ac:dyDescent="0.45">
      <c r="A175" s="2">
        <v>45712</v>
      </c>
      <c r="B175" s="3">
        <v>1857.55</v>
      </c>
      <c r="D175" s="2">
        <v>45712</v>
      </c>
      <c r="E175" s="3">
        <v>8354.9</v>
      </c>
      <c r="G175" s="3">
        <v>1597100000</v>
      </c>
      <c r="H175" s="3">
        <f t="shared" si="6"/>
        <v>2966693105000</v>
      </c>
      <c r="J175" s="3">
        <v>319366130</v>
      </c>
      <c r="K175" s="3">
        <f t="shared" si="7"/>
        <v>2668272079537</v>
      </c>
      <c r="M175" s="4">
        <f t="shared" si="8"/>
        <v>-0.11184055319980035</v>
      </c>
    </row>
    <row r="176" spans="1:13" x14ac:dyDescent="0.45">
      <c r="A176" s="2">
        <v>45709</v>
      </c>
      <c r="B176" s="3">
        <v>1878.45</v>
      </c>
      <c r="D176" s="2">
        <v>45709</v>
      </c>
      <c r="E176" s="3">
        <v>8396.25</v>
      </c>
      <c r="G176" s="3">
        <v>1597100000</v>
      </c>
      <c r="H176" s="3">
        <f t="shared" si="6"/>
        <v>3000072495000</v>
      </c>
      <c r="J176" s="3">
        <v>319366130</v>
      </c>
      <c r="K176" s="3">
        <f t="shared" si="7"/>
        <v>2681477869012.5</v>
      </c>
      <c r="M176" s="4">
        <f t="shared" si="8"/>
        <v>-0.11881307307034672</v>
      </c>
    </row>
    <row r="177" spans="1:13" x14ac:dyDescent="0.45">
      <c r="A177" s="2">
        <v>45708</v>
      </c>
      <c r="B177" s="3">
        <v>1880.85</v>
      </c>
      <c r="D177" s="2">
        <v>45708</v>
      </c>
      <c r="E177" s="3">
        <v>8398.0499999999993</v>
      </c>
      <c r="G177" s="3">
        <v>1597100000</v>
      </c>
      <c r="H177" s="3">
        <f t="shared" si="6"/>
        <v>3003905535000</v>
      </c>
      <c r="J177" s="3">
        <v>319366130</v>
      </c>
      <c r="K177" s="3">
        <f t="shared" si="7"/>
        <v>2682052728046.5</v>
      </c>
      <c r="M177" s="4">
        <f t="shared" si="8"/>
        <v>-0.12000241590623939</v>
      </c>
    </row>
    <row r="178" spans="1:13" x14ac:dyDescent="0.45">
      <c r="A178" s="2">
        <v>45707</v>
      </c>
      <c r="B178" s="3">
        <v>1874.65</v>
      </c>
      <c r="D178" s="2">
        <v>45707</v>
      </c>
      <c r="E178" s="3">
        <v>8440.4500000000007</v>
      </c>
      <c r="G178" s="3">
        <v>1597100000</v>
      </c>
      <c r="H178" s="3">
        <f t="shared" si="6"/>
        <v>2994003515000</v>
      </c>
      <c r="J178" s="3">
        <v>319366130</v>
      </c>
      <c r="K178" s="3">
        <f t="shared" si="7"/>
        <v>2695593851958.5</v>
      </c>
      <c r="M178" s="4">
        <f t="shared" si="8"/>
        <v>-0.11070275398672869</v>
      </c>
    </row>
    <row r="179" spans="1:13" x14ac:dyDescent="0.45">
      <c r="A179" s="2">
        <v>45706</v>
      </c>
      <c r="B179" s="3">
        <v>1893.4</v>
      </c>
      <c r="D179" s="2">
        <v>45706</v>
      </c>
      <c r="E179" s="3">
        <v>8461.2000000000007</v>
      </c>
      <c r="G179" s="3">
        <v>1597100000</v>
      </c>
      <c r="H179" s="3">
        <f t="shared" si="6"/>
        <v>3023949140000</v>
      </c>
      <c r="J179" s="3">
        <v>319366130</v>
      </c>
      <c r="K179" s="3">
        <f t="shared" si="7"/>
        <v>2702220699156</v>
      </c>
      <c r="M179" s="4">
        <f t="shared" si="8"/>
        <v>-0.11906075656384663</v>
      </c>
    </row>
    <row r="180" spans="1:13" x14ac:dyDescent="0.45">
      <c r="A180" s="2">
        <v>45705</v>
      </c>
      <c r="B180" s="3">
        <v>1892.55</v>
      </c>
      <c r="D180" s="2">
        <v>45705</v>
      </c>
      <c r="E180" s="3">
        <v>8425.7000000000007</v>
      </c>
      <c r="G180" s="3">
        <v>1597100000</v>
      </c>
      <c r="H180" s="3">
        <f t="shared" si="6"/>
        <v>3022591605000</v>
      </c>
      <c r="J180" s="3">
        <v>319366130</v>
      </c>
      <c r="K180" s="3">
        <f t="shared" si="7"/>
        <v>2690883201541</v>
      </c>
      <c r="M180" s="4">
        <f t="shared" si="8"/>
        <v>-0.1232712007972101</v>
      </c>
    </row>
    <row r="181" spans="1:13" x14ac:dyDescent="0.45">
      <c r="A181" s="2">
        <v>45702</v>
      </c>
      <c r="B181" s="3">
        <v>1840.45</v>
      </c>
      <c r="D181" s="2">
        <v>45702</v>
      </c>
      <c r="E181" s="3">
        <v>8390.0499999999993</v>
      </c>
      <c r="G181" s="3">
        <v>1597100000</v>
      </c>
      <c r="H181" s="3">
        <f t="shared" si="6"/>
        <v>2939382695000</v>
      </c>
      <c r="J181" s="3">
        <v>319366130</v>
      </c>
      <c r="K181" s="3">
        <f t="shared" si="7"/>
        <v>2679497799006.5</v>
      </c>
      <c r="M181" s="4">
        <f t="shared" si="8"/>
        <v>-9.6990150949129328E-2</v>
      </c>
    </row>
    <row r="182" spans="1:13" x14ac:dyDescent="0.45">
      <c r="A182" s="2">
        <v>45701</v>
      </c>
      <c r="B182" s="3">
        <v>1849.2</v>
      </c>
      <c r="D182" s="2">
        <v>45701</v>
      </c>
      <c r="E182" s="3">
        <v>8405.65</v>
      </c>
      <c r="G182" s="3">
        <v>1597100000</v>
      </c>
      <c r="H182" s="3">
        <f t="shared" si="6"/>
        <v>2953357320000</v>
      </c>
      <c r="J182" s="3">
        <v>319366130</v>
      </c>
      <c r="K182" s="3">
        <f t="shared" si="7"/>
        <v>2684479910634.5</v>
      </c>
      <c r="M182" s="4">
        <f t="shared" si="8"/>
        <v>-0.10015996331369403</v>
      </c>
    </row>
    <row r="183" spans="1:13" x14ac:dyDescent="0.45">
      <c r="A183" s="2">
        <v>45700</v>
      </c>
      <c r="B183" s="3">
        <v>1787.55</v>
      </c>
      <c r="D183" s="2">
        <v>45700</v>
      </c>
      <c r="E183" s="3">
        <v>8219</v>
      </c>
      <c r="G183" s="3">
        <v>1597100000</v>
      </c>
      <c r="H183" s="3">
        <f t="shared" si="6"/>
        <v>2854896105000</v>
      </c>
      <c r="J183" s="3">
        <v>319366130</v>
      </c>
      <c r="K183" s="3">
        <f t="shared" si="7"/>
        <v>2624870222470</v>
      </c>
      <c r="M183" s="4">
        <f t="shared" si="8"/>
        <v>-8.7633240135409851E-2</v>
      </c>
    </row>
    <row r="184" spans="1:13" x14ac:dyDescent="0.45">
      <c r="A184" s="2">
        <v>45699</v>
      </c>
      <c r="B184" s="3">
        <v>1744.5</v>
      </c>
      <c r="D184" s="2">
        <v>45699</v>
      </c>
      <c r="E184" s="3">
        <v>8187.9</v>
      </c>
      <c r="G184" s="3">
        <v>1597100000</v>
      </c>
      <c r="H184" s="3">
        <f t="shared" si="6"/>
        <v>2786140950000</v>
      </c>
      <c r="J184" s="3">
        <v>319366130</v>
      </c>
      <c r="K184" s="3">
        <f t="shared" si="7"/>
        <v>2614937935827</v>
      </c>
      <c r="M184" s="4">
        <f t="shared" si="8"/>
        <v>-6.5471157776773481E-2</v>
      </c>
    </row>
    <row r="185" spans="1:13" x14ac:dyDescent="0.45">
      <c r="A185" s="2">
        <v>45698</v>
      </c>
      <c r="B185" s="3">
        <v>1792.85</v>
      </c>
      <c r="D185" s="2">
        <v>45698</v>
      </c>
      <c r="E185" s="3">
        <v>8286.1</v>
      </c>
      <c r="G185" s="3">
        <v>1597100000</v>
      </c>
      <c r="H185" s="3">
        <f t="shared" si="6"/>
        <v>2863360735000</v>
      </c>
      <c r="J185" s="3">
        <v>319366130</v>
      </c>
      <c r="K185" s="3">
        <f t="shared" si="7"/>
        <v>2646299689793</v>
      </c>
      <c r="M185" s="4">
        <f t="shared" si="8"/>
        <v>-8.2024362563402287E-2</v>
      </c>
    </row>
    <row r="186" spans="1:13" x14ac:dyDescent="0.45">
      <c r="A186" s="2">
        <v>45695</v>
      </c>
      <c r="B186" s="3">
        <v>1797.55</v>
      </c>
      <c r="D186" s="2">
        <v>45695</v>
      </c>
      <c r="E186" s="3">
        <v>8470.35</v>
      </c>
      <c r="G186" s="3">
        <v>1597100000</v>
      </c>
      <c r="H186" s="3">
        <f t="shared" si="6"/>
        <v>2870867105000</v>
      </c>
      <c r="J186" s="3">
        <v>319366130</v>
      </c>
      <c r="K186" s="3">
        <f t="shared" si="7"/>
        <v>2705142899245.5</v>
      </c>
      <c r="M186" s="4">
        <f t="shared" si="8"/>
        <v>-6.1262643759308455E-2</v>
      </c>
    </row>
    <row r="187" spans="1:13" x14ac:dyDescent="0.45">
      <c r="A187" s="2">
        <v>45694</v>
      </c>
      <c r="B187" s="3">
        <v>1787.35</v>
      </c>
      <c r="D187" s="2">
        <v>45694</v>
      </c>
      <c r="E187" s="3">
        <v>8507.7999999999993</v>
      </c>
      <c r="G187" s="3">
        <v>1597100000</v>
      </c>
      <c r="H187" s="3">
        <f t="shared" si="6"/>
        <v>2854576685000</v>
      </c>
      <c r="J187" s="3">
        <v>319366130</v>
      </c>
      <c r="K187" s="3">
        <f t="shared" si="7"/>
        <v>2717103160814</v>
      </c>
      <c r="M187" s="4">
        <f t="shared" si="8"/>
        <v>-5.0595621899322873E-2</v>
      </c>
    </row>
    <row r="188" spans="1:13" x14ac:dyDescent="0.45">
      <c r="A188" s="2">
        <v>45693</v>
      </c>
      <c r="B188" s="3">
        <v>1796.35</v>
      </c>
      <c r="D188" s="2">
        <v>45693</v>
      </c>
      <c r="E188" s="3">
        <v>8509.85</v>
      </c>
      <c r="G188" s="3">
        <v>1597100000</v>
      </c>
      <c r="H188" s="3">
        <f t="shared" si="6"/>
        <v>2868950585000</v>
      </c>
      <c r="J188" s="3">
        <v>319366130</v>
      </c>
      <c r="K188" s="3">
        <f t="shared" si="7"/>
        <v>2717757861380.5</v>
      </c>
      <c r="M188" s="4">
        <f t="shared" si="8"/>
        <v>-5.5631418003773359E-2</v>
      </c>
    </row>
    <row r="189" spans="1:13" x14ac:dyDescent="0.45">
      <c r="A189" s="2">
        <v>45692</v>
      </c>
      <c r="B189" s="3">
        <v>1814.1</v>
      </c>
      <c r="D189" s="2">
        <v>45692</v>
      </c>
      <c r="E189" s="3">
        <v>8479.9</v>
      </c>
      <c r="G189" s="3">
        <v>1597100000</v>
      </c>
      <c r="H189" s="3">
        <f t="shared" si="6"/>
        <v>2897299110000</v>
      </c>
      <c r="J189" s="3">
        <v>319366130</v>
      </c>
      <c r="K189" s="3">
        <f t="shared" si="7"/>
        <v>2708192845787</v>
      </c>
      <c r="M189" s="4">
        <f t="shared" si="8"/>
        <v>-6.9827473515109206E-2</v>
      </c>
    </row>
    <row r="190" spans="1:13" x14ac:dyDescent="0.45">
      <c r="A190" s="2">
        <v>45691</v>
      </c>
      <c r="B190" s="3">
        <v>1794.45</v>
      </c>
      <c r="D190" s="2">
        <v>45691</v>
      </c>
      <c r="E190" s="3">
        <v>8423.7999999999993</v>
      </c>
      <c r="G190" s="3">
        <v>1597100000</v>
      </c>
      <c r="H190" s="3">
        <f t="shared" si="6"/>
        <v>2865916095000</v>
      </c>
      <c r="J190" s="3">
        <v>319366130</v>
      </c>
      <c r="K190" s="3">
        <f t="shared" si="7"/>
        <v>2690276405894</v>
      </c>
      <c r="M190" s="4">
        <f t="shared" si="8"/>
        <v>-6.5286856295211582E-2</v>
      </c>
    </row>
    <row r="191" spans="1:13" x14ac:dyDescent="0.45">
      <c r="A191" s="2">
        <v>45689</v>
      </c>
      <c r="B191" s="3">
        <v>1754.15</v>
      </c>
      <c r="D191" s="2">
        <v>45689</v>
      </c>
      <c r="E191" s="3">
        <v>8001.35</v>
      </c>
      <c r="G191" s="3">
        <v>1597100000</v>
      </c>
      <c r="H191" s="3">
        <f t="shared" si="6"/>
        <v>2801552965000</v>
      </c>
      <c r="J191" s="3">
        <v>319366130</v>
      </c>
      <c r="K191" s="3">
        <f t="shared" si="7"/>
        <v>2555360184275.5</v>
      </c>
      <c r="M191" s="4">
        <f t="shared" si="8"/>
        <v>-9.6343670939015302E-2</v>
      </c>
    </row>
    <row r="192" spans="1:13" x14ac:dyDescent="0.45">
      <c r="A192" s="2">
        <v>45688</v>
      </c>
      <c r="B192" s="3">
        <v>1737.15</v>
      </c>
      <c r="D192" s="2">
        <v>45688</v>
      </c>
      <c r="E192" s="3">
        <v>7885.55</v>
      </c>
      <c r="G192" s="3">
        <v>1597100000</v>
      </c>
      <c r="H192" s="3">
        <f t="shared" si="6"/>
        <v>2774402265000</v>
      </c>
      <c r="J192" s="3">
        <v>319366130</v>
      </c>
      <c r="K192" s="3">
        <f t="shared" si="7"/>
        <v>2518377586421.5</v>
      </c>
      <c r="M192" s="4">
        <f t="shared" si="8"/>
        <v>-0.1016625465374712</v>
      </c>
    </row>
    <row r="193" spans="1:13" x14ac:dyDescent="0.45">
      <c r="A193" s="2">
        <v>45687</v>
      </c>
      <c r="B193" s="3">
        <v>1744.7</v>
      </c>
      <c r="D193" s="2">
        <v>45687</v>
      </c>
      <c r="E193" s="3">
        <v>7899.3</v>
      </c>
      <c r="G193" s="3">
        <v>1597100000</v>
      </c>
      <c r="H193" s="3">
        <f t="shared" si="6"/>
        <v>2786460370000</v>
      </c>
      <c r="J193" s="3">
        <v>319366130</v>
      </c>
      <c r="K193" s="3">
        <f t="shared" si="7"/>
        <v>2522768870709</v>
      </c>
      <c r="M193" s="4">
        <f t="shared" si="8"/>
        <v>-0.10452463654226563</v>
      </c>
    </row>
    <row r="194" spans="1:13" x14ac:dyDescent="0.45">
      <c r="A194" s="2">
        <v>45686</v>
      </c>
      <c r="B194" s="3">
        <v>1789.4</v>
      </c>
      <c r="D194" s="2">
        <v>45686</v>
      </c>
      <c r="E194" s="3">
        <v>7758.1</v>
      </c>
      <c r="G194" s="3">
        <v>1597100000</v>
      </c>
      <c r="H194" s="3">
        <f t="shared" si="6"/>
        <v>2857850740000</v>
      </c>
      <c r="J194" s="3">
        <v>319366130</v>
      </c>
      <c r="K194" s="3">
        <f t="shared" si="7"/>
        <v>2477674373153</v>
      </c>
      <c r="M194" s="4">
        <f t="shared" si="8"/>
        <v>-0.15344081166049328</v>
      </c>
    </row>
    <row r="195" spans="1:13" x14ac:dyDescent="0.45">
      <c r="A195" s="2">
        <v>45685</v>
      </c>
      <c r="B195" s="3">
        <v>1767.9</v>
      </c>
      <c r="D195" s="2">
        <v>45685</v>
      </c>
      <c r="E195" s="3">
        <v>7604.7</v>
      </c>
      <c r="G195" s="3">
        <v>1597100000</v>
      </c>
      <c r="H195" s="3">
        <f t="shared" si="6"/>
        <v>2823513090000</v>
      </c>
      <c r="J195" s="3">
        <v>319366130</v>
      </c>
      <c r="K195" s="3">
        <f t="shared" si="7"/>
        <v>2428683608811</v>
      </c>
      <c r="M195" s="4">
        <f t="shared" si="8"/>
        <v>-0.16256933581492516</v>
      </c>
    </row>
    <row r="196" spans="1:13" x14ac:dyDescent="0.45">
      <c r="A196" s="2">
        <v>45684</v>
      </c>
      <c r="B196" s="3">
        <v>1711.7</v>
      </c>
      <c r="D196" s="2">
        <v>45684</v>
      </c>
      <c r="E196" s="3">
        <v>7293.3</v>
      </c>
      <c r="G196" s="3">
        <v>1597100000</v>
      </c>
      <c r="H196" s="3">
        <f t="shared" ref="H196:H259" si="9">+G196*B196</f>
        <v>2733756070000</v>
      </c>
      <c r="J196" s="3">
        <v>319366130</v>
      </c>
      <c r="K196" s="3">
        <f t="shared" ref="K196:K259" si="10">+J196*E196</f>
        <v>2329232995929</v>
      </c>
      <c r="M196" s="4">
        <f t="shared" ref="M196:M259" si="11">1- (H196/K196)</f>
        <v>-0.17367222376551417</v>
      </c>
    </row>
    <row r="197" spans="1:13" x14ac:dyDescent="0.45">
      <c r="A197" s="2">
        <v>45681</v>
      </c>
      <c r="B197" s="3">
        <v>1728.5</v>
      </c>
      <c r="D197" s="2">
        <v>45681</v>
      </c>
      <c r="E197" s="3">
        <v>7439.25</v>
      </c>
      <c r="G197" s="3">
        <v>1597100000</v>
      </c>
      <c r="H197" s="3">
        <f t="shared" si="9"/>
        <v>2760587350000</v>
      </c>
      <c r="J197" s="3">
        <v>319366130</v>
      </c>
      <c r="K197" s="3">
        <f t="shared" si="10"/>
        <v>2375844482602.5</v>
      </c>
      <c r="M197" s="4">
        <f t="shared" si="11"/>
        <v>-0.16193941573821058</v>
      </c>
    </row>
    <row r="198" spans="1:13" x14ac:dyDescent="0.45">
      <c r="A198" s="2">
        <v>45680</v>
      </c>
      <c r="B198" s="3">
        <v>1745.75</v>
      </c>
      <c r="D198" s="2">
        <v>45680</v>
      </c>
      <c r="E198" s="3">
        <v>7444.65</v>
      </c>
      <c r="G198" s="3">
        <v>1597100000</v>
      </c>
      <c r="H198" s="3">
        <f t="shared" si="9"/>
        <v>2788137325000</v>
      </c>
      <c r="J198" s="3">
        <v>319366130</v>
      </c>
      <c r="K198" s="3">
        <f t="shared" si="10"/>
        <v>2377569059704.5</v>
      </c>
      <c r="M198" s="4">
        <f t="shared" si="11"/>
        <v>-0.17268405458915592</v>
      </c>
    </row>
    <row r="199" spans="1:13" x14ac:dyDescent="0.45">
      <c r="A199" s="2">
        <v>45679</v>
      </c>
      <c r="B199" s="3">
        <v>1743.45</v>
      </c>
      <c r="D199" s="2">
        <v>45679</v>
      </c>
      <c r="E199" s="3">
        <v>7391.5</v>
      </c>
      <c r="G199" s="3">
        <v>1597100000</v>
      </c>
      <c r="H199" s="3">
        <f t="shared" si="9"/>
        <v>2784463995000</v>
      </c>
      <c r="J199" s="3">
        <v>319366130</v>
      </c>
      <c r="K199" s="3">
        <f t="shared" si="10"/>
        <v>2360594749895</v>
      </c>
      <c r="M199" s="4">
        <f t="shared" si="11"/>
        <v>-0.17956036084713567</v>
      </c>
    </row>
    <row r="200" spans="1:13" x14ac:dyDescent="0.45">
      <c r="A200" s="2">
        <v>45678</v>
      </c>
      <c r="B200" s="3">
        <v>1715.55</v>
      </c>
      <c r="D200" s="2">
        <v>45678</v>
      </c>
      <c r="E200" s="3">
        <v>7287.05</v>
      </c>
      <c r="G200" s="3">
        <v>1597100000</v>
      </c>
      <c r="H200" s="3">
        <f t="shared" si="9"/>
        <v>2739904905000</v>
      </c>
      <c r="J200" s="3">
        <v>319366130</v>
      </c>
      <c r="K200" s="3">
        <f t="shared" si="10"/>
        <v>2327236957616.5</v>
      </c>
      <c r="M200" s="4">
        <f t="shared" si="11"/>
        <v>-0.17732098402482599</v>
      </c>
    </row>
    <row r="201" spans="1:13" x14ac:dyDescent="0.45">
      <c r="A201" s="2">
        <v>45677</v>
      </c>
      <c r="B201" s="3">
        <v>1734.6</v>
      </c>
      <c r="D201" s="2">
        <v>45677</v>
      </c>
      <c r="E201" s="3">
        <v>7437.7</v>
      </c>
      <c r="G201" s="3">
        <v>1597100000</v>
      </c>
      <c r="H201" s="3">
        <f t="shared" si="9"/>
        <v>2770329660000</v>
      </c>
      <c r="J201" s="3">
        <v>319366130</v>
      </c>
      <c r="K201" s="3">
        <f t="shared" si="10"/>
        <v>2375349465101</v>
      </c>
      <c r="M201" s="4">
        <f t="shared" si="11"/>
        <v>-0.16628298307348444</v>
      </c>
    </row>
    <row r="202" spans="1:13" x14ac:dyDescent="0.45">
      <c r="A202" s="2">
        <v>45674</v>
      </c>
      <c r="B202" s="3">
        <v>1681.1</v>
      </c>
      <c r="D202" s="2">
        <v>45674</v>
      </c>
      <c r="E202" s="3">
        <v>7180.6</v>
      </c>
      <c r="G202" s="3">
        <v>1597100000</v>
      </c>
      <c r="H202" s="3">
        <f t="shared" si="9"/>
        <v>2684884810000</v>
      </c>
      <c r="J202" s="3">
        <v>319366130</v>
      </c>
      <c r="K202" s="3">
        <f t="shared" si="10"/>
        <v>2293240433078</v>
      </c>
      <c r="M202" s="4">
        <f t="shared" si="11"/>
        <v>-0.17078208253825911</v>
      </c>
    </row>
    <row r="203" spans="1:13" x14ac:dyDescent="0.45">
      <c r="A203" s="2">
        <v>45673</v>
      </c>
      <c r="B203" s="3">
        <v>1696.6</v>
      </c>
      <c r="D203" s="2">
        <v>45673</v>
      </c>
      <c r="E203" s="3">
        <v>7261.05</v>
      </c>
      <c r="G203" s="3">
        <v>1597100000</v>
      </c>
      <c r="H203" s="3">
        <f t="shared" si="9"/>
        <v>2709639860000</v>
      </c>
      <c r="J203" s="3">
        <v>319366130</v>
      </c>
      <c r="K203" s="3">
        <f t="shared" si="10"/>
        <v>2318933438236.5</v>
      </c>
      <c r="M203" s="4">
        <f t="shared" si="11"/>
        <v>-0.16848539734742185</v>
      </c>
    </row>
    <row r="204" spans="1:13" x14ac:dyDescent="0.45">
      <c r="A204" s="2">
        <v>45672</v>
      </c>
      <c r="B204" s="3">
        <v>1672.1</v>
      </c>
      <c r="D204" s="2">
        <v>45672</v>
      </c>
      <c r="E204" s="3">
        <v>7176.05</v>
      </c>
      <c r="G204" s="3">
        <v>1597100000</v>
      </c>
      <c r="H204" s="3">
        <f t="shared" si="9"/>
        <v>2670510910000</v>
      </c>
      <c r="J204" s="3">
        <v>319366130</v>
      </c>
      <c r="K204" s="3">
        <f t="shared" si="10"/>
        <v>2291787317186.5</v>
      </c>
      <c r="M204" s="4">
        <f t="shared" si="11"/>
        <v>-0.16525250400566738</v>
      </c>
    </row>
    <row r="205" spans="1:13" x14ac:dyDescent="0.45">
      <c r="A205" s="2">
        <v>45671</v>
      </c>
      <c r="B205" s="3">
        <v>1712.25</v>
      </c>
      <c r="D205" s="2">
        <v>45671</v>
      </c>
      <c r="E205" s="3">
        <v>7334.35</v>
      </c>
      <c r="G205" s="3">
        <v>1597100000</v>
      </c>
      <c r="H205" s="3">
        <f t="shared" si="9"/>
        <v>2734634475000</v>
      </c>
      <c r="J205" s="3">
        <v>319366130</v>
      </c>
      <c r="K205" s="3">
        <f t="shared" si="10"/>
        <v>2342342975565.5</v>
      </c>
      <c r="M205" s="4">
        <f t="shared" si="11"/>
        <v>-0.16747824871367989</v>
      </c>
    </row>
    <row r="206" spans="1:13" x14ac:dyDescent="0.45">
      <c r="A206" s="2">
        <v>45670</v>
      </c>
      <c r="B206" s="3">
        <v>1674.6</v>
      </c>
      <c r="D206" s="2">
        <v>45670</v>
      </c>
      <c r="E206" s="3">
        <v>7147.1</v>
      </c>
      <c r="G206" s="3">
        <v>1597100000</v>
      </c>
      <c r="H206" s="3">
        <f t="shared" si="9"/>
        <v>2674503660000</v>
      </c>
      <c r="J206" s="3">
        <v>319366130</v>
      </c>
      <c r="K206" s="3">
        <f t="shared" si="10"/>
        <v>2282541667723</v>
      </c>
      <c r="M206" s="4">
        <f t="shared" si="11"/>
        <v>-0.17172172487348725</v>
      </c>
    </row>
    <row r="207" spans="1:13" x14ac:dyDescent="0.45">
      <c r="A207" s="2">
        <v>45667</v>
      </c>
      <c r="B207" s="3">
        <v>1699.85</v>
      </c>
      <c r="D207" s="2">
        <v>45667</v>
      </c>
      <c r="E207" s="3">
        <v>7277.45</v>
      </c>
      <c r="G207" s="3">
        <v>1597100000</v>
      </c>
      <c r="H207" s="3">
        <f t="shared" si="9"/>
        <v>2714830435000</v>
      </c>
      <c r="J207" s="3">
        <v>319366130</v>
      </c>
      <c r="K207" s="3">
        <f t="shared" si="10"/>
        <v>2324171042768.5</v>
      </c>
      <c r="M207" s="4">
        <f t="shared" si="11"/>
        <v>-0.1680854743660154</v>
      </c>
    </row>
    <row r="208" spans="1:13" x14ac:dyDescent="0.45">
      <c r="A208" s="2">
        <v>45666</v>
      </c>
      <c r="B208" s="3">
        <v>1690.55</v>
      </c>
      <c r="D208" s="2">
        <v>45666</v>
      </c>
      <c r="E208" s="3">
        <v>7277.75</v>
      </c>
      <c r="G208" s="3">
        <v>1597100000</v>
      </c>
      <c r="H208" s="3">
        <f t="shared" si="9"/>
        <v>2699977405000</v>
      </c>
      <c r="J208" s="3">
        <v>319366130</v>
      </c>
      <c r="K208" s="3">
        <f t="shared" si="10"/>
        <v>2324266852607.5</v>
      </c>
      <c r="M208" s="4">
        <f t="shared" si="11"/>
        <v>-0.16164690899025036</v>
      </c>
    </row>
    <row r="209" spans="1:13" x14ac:dyDescent="0.45">
      <c r="A209" s="2">
        <v>45665</v>
      </c>
      <c r="B209" s="3">
        <v>1696.35</v>
      </c>
      <c r="D209" s="2">
        <v>45665</v>
      </c>
      <c r="E209" s="3">
        <v>7353.3</v>
      </c>
      <c r="G209" s="3">
        <v>1597100000</v>
      </c>
      <c r="H209" s="3">
        <f t="shared" si="9"/>
        <v>2709240585000</v>
      </c>
      <c r="J209" s="3">
        <v>319366130</v>
      </c>
      <c r="K209" s="3">
        <f t="shared" si="10"/>
        <v>2348394963729</v>
      </c>
      <c r="M209" s="4">
        <f t="shared" si="11"/>
        <v>-0.1536562745382557</v>
      </c>
    </row>
    <row r="210" spans="1:13" x14ac:dyDescent="0.45">
      <c r="A210" s="2">
        <v>45664</v>
      </c>
      <c r="B210" s="3">
        <v>1684.6</v>
      </c>
      <c r="D210" s="2">
        <v>45664</v>
      </c>
      <c r="E210" s="3">
        <v>7359.7</v>
      </c>
      <c r="G210" s="3">
        <v>1597100000</v>
      </c>
      <c r="H210" s="3">
        <f t="shared" si="9"/>
        <v>2690474660000</v>
      </c>
      <c r="J210" s="3">
        <v>319366130</v>
      </c>
      <c r="K210" s="3">
        <f t="shared" si="10"/>
        <v>2350438906961</v>
      </c>
      <c r="M210" s="4">
        <f t="shared" si="11"/>
        <v>-0.1446690454416657</v>
      </c>
    </row>
    <row r="211" spans="1:13" x14ac:dyDescent="0.45">
      <c r="A211" s="2">
        <v>45663</v>
      </c>
      <c r="B211" s="3">
        <v>1684.45</v>
      </c>
      <c r="D211" s="2">
        <v>45663</v>
      </c>
      <c r="E211" s="3">
        <v>7347.05</v>
      </c>
      <c r="G211" s="3">
        <v>1597100000</v>
      </c>
      <c r="H211" s="3">
        <f t="shared" si="9"/>
        <v>2690235095000</v>
      </c>
      <c r="J211" s="3">
        <v>319366130</v>
      </c>
      <c r="K211" s="3">
        <f t="shared" si="10"/>
        <v>2346398925416.5</v>
      </c>
      <c r="M211" s="4">
        <f t="shared" si="11"/>
        <v>-0.1465378141197653</v>
      </c>
    </row>
    <row r="212" spans="1:13" x14ac:dyDescent="0.45">
      <c r="A212" s="2">
        <v>45660</v>
      </c>
      <c r="B212" s="3">
        <v>1700.5</v>
      </c>
      <c r="D212" s="2">
        <v>45660</v>
      </c>
      <c r="E212" s="3">
        <v>7411.5</v>
      </c>
      <c r="G212" s="3">
        <v>1597100000</v>
      </c>
      <c r="H212" s="3">
        <f t="shared" si="9"/>
        <v>2715868550000</v>
      </c>
      <c r="J212" s="3">
        <v>319366130</v>
      </c>
      <c r="K212" s="3">
        <f t="shared" si="10"/>
        <v>2366982072495</v>
      </c>
      <c r="M212" s="4">
        <f t="shared" si="11"/>
        <v>-0.14739717784902528</v>
      </c>
    </row>
    <row r="213" spans="1:13" x14ac:dyDescent="0.45">
      <c r="A213" s="2">
        <v>45659</v>
      </c>
      <c r="B213" s="3">
        <v>1700.6</v>
      </c>
      <c r="D213" s="2">
        <v>45659</v>
      </c>
      <c r="E213" s="3">
        <v>7387.7</v>
      </c>
      <c r="G213" s="3">
        <v>1597100000</v>
      </c>
      <c r="H213" s="3">
        <f t="shared" si="9"/>
        <v>2716028260000</v>
      </c>
      <c r="J213" s="3">
        <v>319366130</v>
      </c>
      <c r="K213" s="3">
        <f t="shared" si="10"/>
        <v>2359381158601</v>
      </c>
      <c r="M213" s="4">
        <f t="shared" si="11"/>
        <v>-0.15116129078968932</v>
      </c>
    </row>
    <row r="214" spans="1:13" x14ac:dyDescent="0.45">
      <c r="A214" s="2">
        <v>45658</v>
      </c>
      <c r="B214" s="3">
        <v>1576.7</v>
      </c>
      <c r="D214" s="2">
        <v>45658</v>
      </c>
      <c r="E214" s="3">
        <v>6936.65</v>
      </c>
      <c r="G214" s="3">
        <v>1597100000</v>
      </c>
      <c r="H214" s="3">
        <f t="shared" si="9"/>
        <v>2518147570000</v>
      </c>
      <c r="J214" s="3">
        <v>319366130</v>
      </c>
      <c r="K214" s="3">
        <f t="shared" si="10"/>
        <v>2215331065664.5</v>
      </c>
      <c r="M214" s="4">
        <f t="shared" si="11"/>
        <v>-0.13669130949719643</v>
      </c>
    </row>
    <row r="215" spans="1:13" x14ac:dyDescent="0.45">
      <c r="A215" s="2">
        <v>45657</v>
      </c>
      <c r="B215" s="3">
        <v>1568</v>
      </c>
      <c r="D215" s="2">
        <v>45657</v>
      </c>
      <c r="E215" s="3">
        <v>6821.4</v>
      </c>
      <c r="G215" s="3">
        <v>1597100000</v>
      </c>
      <c r="H215" s="3">
        <f t="shared" si="9"/>
        <v>2504252800000</v>
      </c>
      <c r="J215" s="3">
        <v>319366130</v>
      </c>
      <c r="K215" s="3">
        <f t="shared" si="10"/>
        <v>2178524119182</v>
      </c>
      <c r="M215" s="4">
        <f t="shared" si="11"/>
        <v>-0.14951805121180195</v>
      </c>
    </row>
    <row r="216" spans="1:13" x14ac:dyDescent="0.45">
      <c r="A216" s="2">
        <v>45656</v>
      </c>
      <c r="B216" s="3">
        <v>1575.95</v>
      </c>
      <c r="D216" s="2">
        <v>45656</v>
      </c>
      <c r="E216" s="3">
        <v>6887.5</v>
      </c>
      <c r="G216" s="3">
        <v>1597100000</v>
      </c>
      <c r="H216" s="3">
        <f t="shared" si="9"/>
        <v>2516949745000</v>
      </c>
      <c r="J216" s="3">
        <v>319366130</v>
      </c>
      <c r="K216" s="3">
        <f t="shared" si="10"/>
        <v>2199634220375</v>
      </c>
      <c r="M216" s="4">
        <f t="shared" si="11"/>
        <v>-0.1442583142623155</v>
      </c>
    </row>
    <row r="217" spans="1:13" x14ac:dyDescent="0.45">
      <c r="A217" s="2">
        <v>45653</v>
      </c>
      <c r="B217" s="3">
        <v>1578.6</v>
      </c>
      <c r="D217" s="2">
        <v>45653</v>
      </c>
      <c r="E217" s="3">
        <v>6910.1</v>
      </c>
      <c r="G217" s="3">
        <v>1597100000</v>
      </c>
      <c r="H217" s="3">
        <f t="shared" si="9"/>
        <v>2521182060000</v>
      </c>
      <c r="J217" s="3">
        <v>319366130</v>
      </c>
      <c r="K217" s="3">
        <f t="shared" si="10"/>
        <v>2206851894913</v>
      </c>
      <c r="M217" s="4">
        <f t="shared" si="11"/>
        <v>-0.14243373821848238</v>
      </c>
    </row>
    <row r="218" spans="1:13" x14ac:dyDescent="0.45">
      <c r="A218" s="2">
        <v>45652</v>
      </c>
      <c r="B218" s="3">
        <v>1559.8</v>
      </c>
      <c r="D218" s="2">
        <v>45652</v>
      </c>
      <c r="E218" s="3">
        <v>6816.7</v>
      </c>
      <c r="G218" s="3">
        <v>1597100000</v>
      </c>
      <c r="H218" s="3">
        <f t="shared" si="9"/>
        <v>2491156580000</v>
      </c>
      <c r="J218" s="3">
        <v>319366130</v>
      </c>
      <c r="K218" s="3">
        <f t="shared" si="10"/>
        <v>2177023098371</v>
      </c>
      <c r="M218" s="4">
        <f t="shared" si="11"/>
        <v>-0.14429496952239806</v>
      </c>
    </row>
    <row r="219" spans="1:13" x14ac:dyDescent="0.45">
      <c r="A219" s="2">
        <v>45650</v>
      </c>
      <c r="B219" s="3">
        <v>1564.3</v>
      </c>
      <c r="D219" s="2">
        <v>45650</v>
      </c>
      <c r="E219" s="3">
        <v>6805.95</v>
      </c>
      <c r="G219" s="3">
        <v>1597100000</v>
      </c>
      <c r="H219" s="3">
        <f t="shared" si="9"/>
        <v>2498343530000</v>
      </c>
      <c r="J219" s="3">
        <v>319366130</v>
      </c>
      <c r="K219" s="3">
        <f t="shared" si="10"/>
        <v>2173589912473.5</v>
      </c>
      <c r="M219" s="4">
        <f t="shared" si="11"/>
        <v>-0.14940887223613264</v>
      </c>
    </row>
    <row r="220" spans="1:13" x14ac:dyDescent="0.45">
      <c r="A220" s="2">
        <v>45649</v>
      </c>
      <c r="B220" s="3">
        <v>1564.1</v>
      </c>
      <c r="D220" s="2">
        <v>45649</v>
      </c>
      <c r="E220" s="3">
        <v>6866.25</v>
      </c>
      <c r="G220" s="3">
        <v>1597100000</v>
      </c>
      <c r="H220" s="3">
        <f t="shared" si="9"/>
        <v>2498024110000</v>
      </c>
      <c r="J220" s="3">
        <v>319366130</v>
      </c>
      <c r="K220" s="3">
        <f t="shared" si="10"/>
        <v>2192847690112.5</v>
      </c>
      <c r="M220" s="4">
        <f t="shared" si="11"/>
        <v>-0.13916899986421005</v>
      </c>
    </row>
    <row r="221" spans="1:13" x14ac:dyDescent="0.45">
      <c r="A221" s="2">
        <v>45646</v>
      </c>
      <c r="B221" s="3">
        <v>1569.1</v>
      </c>
      <c r="D221" s="2">
        <v>45646</v>
      </c>
      <c r="E221" s="3">
        <v>6836.6</v>
      </c>
      <c r="G221" s="3">
        <v>1597100000</v>
      </c>
      <c r="H221" s="3">
        <f t="shared" si="9"/>
        <v>2506009610000</v>
      </c>
      <c r="J221" s="3">
        <v>319366130</v>
      </c>
      <c r="K221" s="3">
        <f t="shared" si="10"/>
        <v>2183378484358</v>
      </c>
      <c r="M221" s="4">
        <f t="shared" si="11"/>
        <v>-0.14776692541094927</v>
      </c>
    </row>
    <row r="222" spans="1:13" x14ac:dyDescent="0.45">
      <c r="A222" s="2">
        <v>45645</v>
      </c>
      <c r="B222" s="3">
        <v>1590.2</v>
      </c>
      <c r="D222" s="2">
        <v>45645</v>
      </c>
      <c r="E222" s="3">
        <v>6915.45</v>
      </c>
      <c r="G222" s="3">
        <v>1597100000</v>
      </c>
      <c r="H222" s="3">
        <f t="shared" si="9"/>
        <v>2539708420000</v>
      </c>
      <c r="J222" s="3">
        <v>319366130</v>
      </c>
      <c r="K222" s="3">
        <f t="shared" si="10"/>
        <v>2208560503708.5</v>
      </c>
      <c r="M222" s="4">
        <f t="shared" si="11"/>
        <v>-0.1499383493164228</v>
      </c>
    </row>
    <row r="223" spans="1:13" x14ac:dyDescent="0.45">
      <c r="A223" s="2">
        <v>45644</v>
      </c>
      <c r="B223" s="3">
        <v>1630.7</v>
      </c>
      <c r="D223" s="2">
        <v>45644</v>
      </c>
      <c r="E223" s="3">
        <v>7073</v>
      </c>
      <c r="G223" s="3">
        <v>1597100000</v>
      </c>
      <c r="H223" s="3">
        <f t="shared" si="9"/>
        <v>2604390970000</v>
      </c>
      <c r="J223" s="3">
        <v>319366130</v>
      </c>
      <c r="K223" s="3">
        <f t="shared" si="10"/>
        <v>2258876637490</v>
      </c>
      <c r="M223" s="4">
        <f t="shared" si="11"/>
        <v>-0.15295847802203388</v>
      </c>
    </row>
    <row r="224" spans="1:13" x14ac:dyDescent="0.45">
      <c r="A224" s="2">
        <v>45643</v>
      </c>
      <c r="B224" s="3">
        <v>1641.95</v>
      </c>
      <c r="D224" s="2">
        <v>45643</v>
      </c>
      <c r="E224" s="3">
        <v>7148.1</v>
      </c>
      <c r="G224" s="3">
        <v>1597100000</v>
      </c>
      <c r="H224" s="3">
        <f t="shared" si="9"/>
        <v>2622358345000</v>
      </c>
      <c r="J224" s="3">
        <v>319366130</v>
      </c>
      <c r="K224" s="3">
        <f t="shared" si="10"/>
        <v>2282861033853</v>
      </c>
      <c r="M224" s="4">
        <f t="shared" si="11"/>
        <v>-0.14871571511034931</v>
      </c>
    </row>
    <row r="225" spans="1:13" x14ac:dyDescent="0.45">
      <c r="A225" s="2">
        <v>45642</v>
      </c>
      <c r="B225" s="3">
        <v>1672.55</v>
      </c>
      <c r="D225" s="2">
        <v>45642</v>
      </c>
      <c r="E225" s="3">
        <v>7207.9</v>
      </c>
      <c r="G225" s="3">
        <v>1597100000</v>
      </c>
      <c r="H225" s="3">
        <f t="shared" si="9"/>
        <v>2671229605000</v>
      </c>
      <c r="J225" s="3">
        <v>319366130</v>
      </c>
      <c r="K225" s="3">
        <f t="shared" si="10"/>
        <v>2301959128427</v>
      </c>
      <c r="M225" s="4">
        <f t="shared" si="11"/>
        <v>-0.16041573979870516</v>
      </c>
    </row>
    <row r="226" spans="1:13" x14ac:dyDescent="0.45">
      <c r="A226" s="2">
        <v>45639</v>
      </c>
      <c r="B226" s="3">
        <v>1679.55</v>
      </c>
      <c r="D226" s="2">
        <v>45639</v>
      </c>
      <c r="E226" s="3">
        <v>7186.3</v>
      </c>
      <c r="G226" s="3">
        <v>1597100000</v>
      </c>
      <c r="H226" s="3">
        <f t="shared" si="9"/>
        <v>2682409305000</v>
      </c>
      <c r="J226" s="3">
        <v>319366130</v>
      </c>
      <c r="K226" s="3">
        <f t="shared" si="10"/>
        <v>2295060820019</v>
      </c>
      <c r="M226" s="4">
        <f t="shared" si="11"/>
        <v>-0.16877482356994489</v>
      </c>
    </row>
    <row r="227" spans="1:13" x14ac:dyDescent="0.45">
      <c r="A227" s="2">
        <v>45638</v>
      </c>
      <c r="B227" s="3">
        <v>1679.15</v>
      </c>
      <c r="D227" s="2">
        <v>45638</v>
      </c>
      <c r="E227" s="3">
        <v>7123.05</v>
      </c>
      <c r="G227" s="3">
        <v>1597100000</v>
      </c>
      <c r="H227" s="3">
        <f t="shared" si="9"/>
        <v>2681770465000</v>
      </c>
      <c r="J227" s="3">
        <v>319366130</v>
      </c>
      <c r="K227" s="3">
        <f t="shared" si="10"/>
        <v>2274860912296.5</v>
      </c>
      <c r="M227" s="4">
        <f t="shared" si="11"/>
        <v>-0.17887227764299651</v>
      </c>
    </row>
    <row r="228" spans="1:13" x14ac:dyDescent="0.45">
      <c r="A228" s="2">
        <v>45637</v>
      </c>
      <c r="B228" s="3">
        <v>1684.6</v>
      </c>
      <c r="D228" s="2">
        <v>45637</v>
      </c>
      <c r="E228" s="3">
        <v>7115.75</v>
      </c>
      <c r="G228" s="3">
        <v>1597100000</v>
      </c>
      <c r="H228" s="3">
        <f t="shared" si="9"/>
        <v>2690474660000</v>
      </c>
      <c r="J228" s="3">
        <v>319366130</v>
      </c>
      <c r="K228" s="3">
        <f t="shared" si="10"/>
        <v>2272529539547.5</v>
      </c>
      <c r="M228" s="4">
        <f t="shared" si="11"/>
        <v>-0.18391185380838659</v>
      </c>
    </row>
    <row r="229" spans="1:13" x14ac:dyDescent="0.45">
      <c r="A229" s="2">
        <v>45636</v>
      </c>
      <c r="B229" s="3">
        <v>1664.05</v>
      </c>
      <c r="D229" s="2">
        <v>45636</v>
      </c>
      <c r="E229" s="3">
        <v>6934.9</v>
      </c>
      <c r="G229" s="3">
        <v>1597100000</v>
      </c>
      <c r="H229" s="3">
        <f t="shared" si="9"/>
        <v>2657654255000</v>
      </c>
      <c r="J229" s="3">
        <v>319366130</v>
      </c>
      <c r="K229" s="3">
        <f t="shared" si="10"/>
        <v>2214772174937</v>
      </c>
      <c r="M229" s="4">
        <f t="shared" si="11"/>
        <v>-0.19996733075969675</v>
      </c>
    </row>
    <row r="230" spans="1:13" x14ac:dyDescent="0.45">
      <c r="A230" s="2">
        <v>45635</v>
      </c>
      <c r="B230" s="3">
        <v>1638.05</v>
      </c>
      <c r="D230" s="2">
        <v>45635</v>
      </c>
      <c r="E230" s="3">
        <v>6869.5</v>
      </c>
      <c r="G230" s="3">
        <v>1597100000</v>
      </c>
      <c r="H230" s="3">
        <f t="shared" si="9"/>
        <v>2616129655000</v>
      </c>
      <c r="J230" s="3">
        <v>319366130</v>
      </c>
      <c r="K230" s="3">
        <f t="shared" si="10"/>
        <v>2193885630035</v>
      </c>
      <c r="M230" s="4">
        <f t="shared" si="11"/>
        <v>-0.19246400960211574</v>
      </c>
    </row>
    <row r="231" spans="1:13" x14ac:dyDescent="0.45">
      <c r="A231" s="2">
        <v>45632</v>
      </c>
      <c r="B231" s="3">
        <v>1635.85</v>
      </c>
      <c r="D231" s="2">
        <v>45632</v>
      </c>
      <c r="E231" s="3">
        <v>6858.45</v>
      </c>
      <c r="G231" s="3">
        <v>1597100000</v>
      </c>
      <c r="H231" s="3">
        <f t="shared" si="9"/>
        <v>2612616035000</v>
      </c>
      <c r="J231" s="3">
        <v>319366130</v>
      </c>
      <c r="K231" s="3">
        <f t="shared" si="10"/>
        <v>2190356634298.5</v>
      </c>
      <c r="M231" s="4">
        <f t="shared" si="11"/>
        <v>-0.1927811179647172</v>
      </c>
    </row>
    <row r="232" spans="1:13" x14ac:dyDescent="0.45">
      <c r="A232" s="2">
        <v>45631</v>
      </c>
      <c r="B232" s="3">
        <v>1644</v>
      </c>
      <c r="D232" s="2">
        <v>45631</v>
      </c>
      <c r="E232" s="3">
        <v>6845.15</v>
      </c>
      <c r="G232" s="3">
        <v>1597100000</v>
      </c>
      <c r="H232" s="3">
        <f t="shared" si="9"/>
        <v>2625632400000</v>
      </c>
      <c r="J232" s="3">
        <v>319366130</v>
      </c>
      <c r="K232" s="3">
        <f t="shared" si="10"/>
        <v>2186109064769.5</v>
      </c>
      <c r="M232" s="4">
        <f t="shared" si="11"/>
        <v>-0.20105279389472841</v>
      </c>
    </row>
    <row r="233" spans="1:13" x14ac:dyDescent="0.45">
      <c r="A233" s="2">
        <v>45630</v>
      </c>
      <c r="B233" s="3">
        <v>1628.6</v>
      </c>
      <c r="D233" s="2">
        <v>45630</v>
      </c>
      <c r="E233" s="3">
        <v>6732.05</v>
      </c>
      <c r="G233" s="3">
        <v>1597100000</v>
      </c>
      <c r="H233" s="3">
        <f t="shared" si="9"/>
        <v>2601037060000</v>
      </c>
      <c r="J233" s="3">
        <v>319366130</v>
      </c>
      <c r="K233" s="3">
        <f t="shared" si="10"/>
        <v>2149988755466.5</v>
      </c>
      <c r="M233" s="4">
        <f t="shared" si="11"/>
        <v>-0.20979100629558056</v>
      </c>
    </row>
    <row r="234" spans="1:13" x14ac:dyDescent="0.45">
      <c r="A234" s="2">
        <v>45629</v>
      </c>
      <c r="B234" s="3">
        <v>1607.35</v>
      </c>
      <c r="D234" s="2">
        <v>45629</v>
      </c>
      <c r="E234" s="3">
        <v>6672.55</v>
      </c>
      <c r="G234" s="3">
        <v>1597100000</v>
      </c>
      <c r="H234" s="3">
        <f t="shared" si="9"/>
        <v>2567098685000</v>
      </c>
      <c r="J234" s="3">
        <v>319366130</v>
      </c>
      <c r="K234" s="3">
        <f t="shared" si="10"/>
        <v>2130986470731.5</v>
      </c>
      <c r="M234" s="4">
        <f t="shared" si="11"/>
        <v>-0.2046527372455802</v>
      </c>
    </row>
    <row r="235" spans="1:13" x14ac:dyDescent="0.45">
      <c r="A235" s="2">
        <v>45628</v>
      </c>
      <c r="B235" s="3">
        <v>1596.7</v>
      </c>
      <c r="D235" s="2">
        <v>45628</v>
      </c>
      <c r="E235" s="3">
        <v>6651.1</v>
      </c>
      <c r="G235" s="3">
        <v>1597100000</v>
      </c>
      <c r="H235" s="3">
        <f t="shared" si="9"/>
        <v>2550089570000</v>
      </c>
      <c r="J235" s="3">
        <v>319366130</v>
      </c>
      <c r="K235" s="3">
        <f t="shared" si="10"/>
        <v>2124136067243</v>
      </c>
      <c r="M235" s="4">
        <f t="shared" si="11"/>
        <v>-0.20053023406822601</v>
      </c>
    </row>
    <row r="236" spans="1:13" x14ac:dyDescent="0.45">
      <c r="A236" s="2">
        <v>45625</v>
      </c>
      <c r="B236" s="3">
        <v>1580.05</v>
      </c>
      <c r="D236" s="2">
        <v>45625</v>
      </c>
      <c r="E236" s="3">
        <v>6577.45</v>
      </c>
      <c r="G236" s="3">
        <v>1597100000</v>
      </c>
      <c r="H236" s="3">
        <f t="shared" si="9"/>
        <v>2523497855000</v>
      </c>
      <c r="J236" s="3">
        <v>317816130</v>
      </c>
      <c r="K236" s="3">
        <f t="shared" si="10"/>
        <v>2090419704268.5</v>
      </c>
      <c r="M236" s="4">
        <f t="shared" si="11"/>
        <v>-0.20717282268588599</v>
      </c>
    </row>
    <row r="237" spans="1:13" x14ac:dyDescent="0.45">
      <c r="A237" s="2">
        <v>45624</v>
      </c>
      <c r="B237" s="3">
        <v>1574.8</v>
      </c>
      <c r="D237" s="2">
        <v>45624</v>
      </c>
      <c r="E237" s="3">
        <v>6513.95</v>
      </c>
      <c r="G237" s="3">
        <v>1597100000</v>
      </c>
      <c r="H237" s="3">
        <f t="shared" si="9"/>
        <v>2515113080000</v>
      </c>
      <c r="J237" s="3">
        <v>317816130</v>
      </c>
      <c r="K237" s="3">
        <f t="shared" si="10"/>
        <v>2070238380013.5</v>
      </c>
      <c r="M237" s="4">
        <f t="shared" si="11"/>
        <v>-0.21489056732857925</v>
      </c>
    </row>
    <row r="238" spans="1:13" x14ac:dyDescent="0.45">
      <c r="A238" s="2">
        <v>45623</v>
      </c>
      <c r="B238" s="3">
        <v>1600.35</v>
      </c>
      <c r="D238" s="2">
        <v>45623</v>
      </c>
      <c r="E238" s="3">
        <v>6704.15</v>
      </c>
      <c r="G238" s="3">
        <v>1597100000</v>
      </c>
      <c r="H238" s="3">
        <f t="shared" si="9"/>
        <v>2555918985000</v>
      </c>
      <c r="J238" s="3">
        <v>317816130</v>
      </c>
      <c r="K238" s="3">
        <f t="shared" si="10"/>
        <v>2130687007939.5</v>
      </c>
      <c r="M238" s="4">
        <f t="shared" si="11"/>
        <v>-0.19957505512352292</v>
      </c>
    </row>
    <row r="239" spans="1:13" x14ac:dyDescent="0.45">
      <c r="A239" s="2">
        <v>45622</v>
      </c>
      <c r="B239" s="3">
        <v>1594.85</v>
      </c>
      <c r="D239" s="2">
        <v>45622</v>
      </c>
      <c r="E239" s="3">
        <v>6619.1</v>
      </c>
      <c r="G239" s="3">
        <v>1597100000</v>
      </c>
      <c r="H239" s="3">
        <f t="shared" si="9"/>
        <v>2547134935000</v>
      </c>
      <c r="J239" s="3">
        <v>317816130</v>
      </c>
      <c r="K239" s="3">
        <f t="shared" si="10"/>
        <v>2103656746083</v>
      </c>
      <c r="M239" s="4">
        <f t="shared" si="11"/>
        <v>-0.21081299966962508</v>
      </c>
    </row>
    <row r="240" spans="1:13" x14ac:dyDescent="0.45">
      <c r="A240" s="2">
        <v>45621</v>
      </c>
      <c r="B240" s="3">
        <v>1605.35</v>
      </c>
      <c r="D240" s="2">
        <v>45621</v>
      </c>
      <c r="E240" s="3">
        <v>6686.5</v>
      </c>
      <c r="G240" s="3">
        <v>1597100000</v>
      </c>
      <c r="H240" s="3">
        <f t="shared" si="9"/>
        <v>2563904485000</v>
      </c>
      <c r="J240" s="3">
        <v>317816130</v>
      </c>
      <c r="K240" s="3">
        <f t="shared" si="10"/>
        <v>2125077553245</v>
      </c>
      <c r="M240" s="4">
        <f t="shared" si="11"/>
        <v>-0.20649925509067191</v>
      </c>
    </row>
    <row r="241" spans="1:13" x14ac:dyDescent="0.45">
      <c r="A241" s="2">
        <v>45618</v>
      </c>
      <c r="B241" s="3">
        <v>1601.6</v>
      </c>
      <c r="D241" s="2">
        <v>45618</v>
      </c>
      <c r="E241" s="3">
        <v>6685.45</v>
      </c>
      <c r="G241" s="3">
        <v>1597100000</v>
      </c>
      <c r="H241" s="3">
        <f t="shared" si="9"/>
        <v>2557915360000</v>
      </c>
      <c r="J241" s="3">
        <v>317816130</v>
      </c>
      <c r="K241" s="3">
        <f t="shared" si="10"/>
        <v>2124743846308.5</v>
      </c>
      <c r="M241" s="4">
        <f t="shared" si="11"/>
        <v>-0.20386999329076128</v>
      </c>
    </row>
    <row r="242" spans="1:13" x14ac:dyDescent="0.45">
      <c r="A242" s="2">
        <v>45617</v>
      </c>
      <c r="B242" s="3">
        <v>1568.65</v>
      </c>
      <c r="D242" s="2">
        <v>45617</v>
      </c>
      <c r="E242" s="3">
        <v>6464.45</v>
      </c>
      <c r="G242" s="3">
        <v>1597100000</v>
      </c>
      <c r="H242" s="3">
        <f t="shared" si="9"/>
        <v>2505290915000</v>
      </c>
      <c r="J242" s="3">
        <v>317816130</v>
      </c>
      <c r="K242" s="3">
        <f t="shared" si="10"/>
        <v>2054506481578.5</v>
      </c>
      <c r="M242" s="4">
        <f t="shared" si="11"/>
        <v>-0.21941251461769906</v>
      </c>
    </row>
    <row r="243" spans="1:13" x14ac:dyDescent="0.45">
      <c r="A243" s="2">
        <v>45615</v>
      </c>
      <c r="B243" s="3">
        <v>1594.95</v>
      </c>
      <c r="D243" s="2">
        <v>45615</v>
      </c>
      <c r="E243" s="3">
        <v>6601.8</v>
      </c>
      <c r="G243" s="3">
        <v>1597100000</v>
      </c>
      <c r="H243" s="3">
        <f t="shared" si="9"/>
        <v>2547294645000</v>
      </c>
      <c r="J243" s="3">
        <v>317816130</v>
      </c>
      <c r="K243" s="3">
        <f t="shared" si="10"/>
        <v>2098158527034</v>
      </c>
      <c r="M243" s="4">
        <f t="shared" si="11"/>
        <v>-0.21406205116488897</v>
      </c>
    </row>
    <row r="244" spans="1:13" x14ac:dyDescent="0.45">
      <c r="A244" s="2">
        <v>45614</v>
      </c>
      <c r="B244" s="3">
        <v>1615.65</v>
      </c>
      <c r="D244" s="2">
        <v>45614</v>
      </c>
      <c r="E244" s="3">
        <v>6566.65</v>
      </c>
      <c r="G244" s="3">
        <v>1597100000</v>
      </c>
      <c r="H244" s="3">
        <f t="shared" si="9"/>
        <v>2580354615000</v>
      </c>
      <c r="J244" s="3">
        <v>317816130</v>
      </c>
      <c r="K244" s="3">
        <f t="shared" si="10"/>
        <v>2086987290064.5</v>
      </c>
      <c r="M244" s="4">
        <f t="shared" si="11"/>
        <v>-0.23640169122460342</v>
      </c>
    </row>
    <row r="245" spans="1:13" x14ac:dyDescent="0.45">
      <c r="A245" s="2">
        <v>45610</v>
      </c>
      <c r="B245" s="3">
        <v>1639.9</v>
      </c>
      <c r="D245" s="2">
        <v>45610</v>
      </c>
      <c r="E245" s="3">
        <v>6552.9</v>
      </c>
      <c r="G245" s="3">
        <v>1597100000</v>
      </c>
      <c r="H245" s="3">
        <f t="shared" si="9"/>
        <v>2619084290000</v>
      </c>
      <c r="J245" s="3">
        <v>317816130</v>
      </c>
      <c r="K245" s="3">
        <f t="shared" si="10"/>
        <v>2082617318277</v>
      </c>
      <c r="M245" s="4">
        <f t="shared" si="11"/>
        <v>-0.25759267774015826</v>
      </c>
    </row>
    <row r="246" spans="1:13" x14ac:dyDescent="0.45">
      <c r="A246" s="2">
        <v>45609</v>
      </c>
      <c r="B246" s="3">
        <v>1664.6</v>
      </c>
      <c r="D246" s="2">
        <v>45609</v>
      </c>
      <c r="E246" s="3">
        <v>6564.8</v>
      </c>
      <c r="G246" s="3">
        <v>1597100000</v>
      </c>
      <c r="H246" s="3">
        <f t="shared" si="9"/>
        <v>2658532660000</v>
      </c>
      <c r="J246" s="3">
        <v>317816130</v>
      </c>
      <c r="K246" s="3">
        <f t="shared" si="10"/>
        <v>2086399330224</v>
      </c>
      <c r="M246" s="4">
        <f t="shared" si="11"/>
        <v>-0.27422043397347839</v>
      </c>
    </row>
    <row r="247" spans="1:13" x14ac:dyDescent="0.45">
      <c r="A247" s="2">
        <v>45608</v>
      </c>
      <c r="B247" s="3">
        <v>1691.65</v>
      </c>
      <c r="D247" s="2">
        <v>45608</v>
      </c>
      <c r="E247" s="3">
        <v>6645.95</v>
      </c>
      <c r="G247" s="3">
        <v>1597100000</v>
      </c>
      <c r="H247" s="3">
        <f t="shared" si="9"/>
        <v>2701734215000</v>
      </c>
      <c r="J247" s="3">
        <v>317816130</v>
      </c>
      <c r="K247" s="3">
        <f t="shared" si="10"/>
        <v>2112190109173.5</v>
      </c>
      <c r="M247" s="4">
        <f t="shared" si="11"/>
        <v>-0.27911507740995378</v>
      </c>
    </row>
    <row r="248" spans="1:13" x14ac:dyDescent="0.45">
      <c r="A248" s="2">
        <v>45607</v>
      </c>
      <c r="B248" s="3">
        <v>1717.6</v>
      </c>
      <c r="D248" s="2">
        <v>45607</v>
      </c>
      <c r="E248" s="3">
        <v>6780.25</v>
      </c>
      <c r="G248" s="3">
        <v>1597100000</v>
      </c>
      <c r="H248" s="3">
        <f t="shared" si="9"/>
        <v>2743178960000</v>
      </c>
      <c r="J248" s="3">
        <v>317816130</v>
      </c>
      <c r="K248" s="3">
        <f t="shared" si="10"/>
        <v>2154872815432.5</v>
      </c>
      <c r="M248" s="4">
        <f t="shared" si="11"/>
        <v>-0.27301200347150067</v>
      </c>
    </row>
    <row r="249" spans="1:13" x14ac:dyDescent="0.45">
      <c r="A249" s="2">
        <v>45604</v>
      </c>
      <c r="B249" s="3">
        <v>1740.85</v>
      </c>
      <c r="D249" s="2">
        <v>45604</v>
      </c>
      <c r="E249" s="3">
        <v>6899.4</v>
      </c>
      <c r="G249" s="3">
        <v>1597100000</v>
      </c>
      <c r="H249" s="3">
        <f t="shared" si="9"/>
        <v>2780311535000</v>
      </c>
      <c r="J249" s="3">
        <v>317816130</v>
      </c>
      <c r="K249" s="3">
        <f t="shared" si="10"/>
        <v>2192740607322</v>
      </c>
      <c r="M249" s="4">
        <f t="shared" si="11"/>
        <v>-0.26796189467918952</v>
      </c>
    </row>
    <row r="250" spans="1:13" x14ac:dyDescent="0.45">
      <c r="A250" s="2">
        <v>45603</v>
      </c>
      <c r="B250" s="3">
        <v>1730.2</v>
      </c>
      <c r="D250" s="2">
        <v>45603</v>
      </c>
      <c r="E250" s="3">
        <v>6906.75</v>
      </c>
      <c r="G250" s="3">
        <v>1597100000</v>
      </c>
      <c r="H250" s="3">
        <f t="shared" si="9"/>
        <v>2763302420000</v>
      </c>
      <c r="J250" s="3">
        <v>317816130</v>
      </c>
      <c r="K250" s="3">
        <f t="shared" si="10"/>
        <v>2195076555877.5</v>
      </c>
      <c r="M250" s="4">
        <f t="shared" si="11"/>
        <v>-0.25886380254074881</v>
      </c>
    </row>
    <row r="251" spans="1:13" x14ac:dyDescent="0.45">
      <c r="A251" s="2">
        <v>45602</v>
      </c>
      <c r="B251" s="3">
        <v>1747.6</v>
      </c>
      <c r="D251" s="2">
        <v>45602</v>
      </c>
      <c r="E251" s="3">
        <v>7000.85</v>
      </c>
      <c r="G251" s="3">
        <v>1597100000</v>
      </c>
      <c r="H251" s="3">
        <f t="shared" si="9"/>
        <v>2791091960000</v>
      </c>
      <c r="J251" s="3">
        <v>317816130</v>
      </c>
      <c r="K251" s="3">
        <f t="shared" si="10"/>
        <v>2224983053710.5</v>
      </c>
      <c r="M251" s="4">
        <f t="shared" si="11"/>
        <v>-0.25443290695874143</v>
      </c>
    </row>
    <row r="252" spans="1:13" x14ac:dyDescent="0.45">
      <c r="A252" s="2">
        <v>45601</v>
      </c>
      <c r="B252" s="3">
        <v>1734.45</v>
      </c>
      <c r="D252" s="2">
        <v>45601</v>
      </c>
      <c r="E252" s="3">
        <v>6921.85</v>
      </c>
      <c r="G252" s="3">
        <v>1597100000</v>
      </c>
      <c r="H252" s="3">
        <f t="shared" si="9"/>
        <v>2770090095000</v>
      </c>
      <c r="J252" s="3">
        <v>317816130</v>
      </c>
      <c r="K252" s="3">
        <f t="shared" si="10"/>
        <v>2199875579440.5</v>
      </c>
      <c r="M252" s="4">
        <f t="shared" si="11"/>
        <v>-0.25920307534143561</v>
      </c>
    </row>
    <row r="253" spans="1:13" x14ac:dyDescent="0.45">
      <c r="A253" s="2">
        <v>45600</v>
      </c>
      <c r="B253" s="3">
        <v>1712.3</v>
      </c>
      <c r="D253" s="2">
        <v>45600</v>
      </c>
      <c r="E253" s="3">
        <v>6844.45</v>
      </c>
      <c r="G253" s="3">
        <v>1597100000</v>
      </c>
      <c r="H253" s="3">
        <f t="shared" si="9"/>
        <v>2734714330000</v>
      </c>
      <c r="J253" s="3">
        <v>317816130</v>
      </c>
      <c r="K253" s="3">
        <f t="shared" si="10"/>
        <v>2175276610978.5</v>
      </c>
      <c r="M253" s="4">
        <f t="shared" si="11"/>
        <v>-0.25718003687349422</v>
      </c>
    </row>
    <row r="254" spans="1:13" x14ac:dyDescent="0.45">
      <c r="A254" s="2">
        <v>45597</v>
      </c>
      <c r="B254" s="3">
        <v>1755.1</v>
      </c>
      <c r="D254" s="2">
        <v>45597</v>
      </c>
      <c r="E254" s="3">
        <v>6923.8</v>
      </c>
      <c r="G254" s="3">
        <v>1597100000</v>
      </c>
      <c r="H254" s="3">
        <f t="shared" si="9"/>
        <v>2803070210000</v>
      </c>
      <c r="J254" s="3">
        <v>317816130</v>
      </c>
      <c r="K254" s="3">
        <f t="shared" si="10"/>
        <v>2200495320894</v>
      </c>
      <c r="M254" s="4">
        <f t="shared" si="11"/>
        <v>-0.27383602381903294</v>
      </c>
    </row>
    <row r="255" spans="1:13" x14ac:dyDescent="0.45">
      <c r="A255" s="2">
        <v>45596</v>
      </c>
      <c r="B255" s="3">
        <v>1751.7</v>
      </c>
      <c r="D255" s="2">
        <v>45596</v>
      </c>
      <c r="E255" s="3">
        <v>6891.55</v>
      </c>
      <c r="G255" s="3">
        <v>1597100000</v>
      </c>
      <c r="H255" s="3">
        <f t="shared" si="9"/>
        <v>2797640070000</v>
      </c>
      <c r="J255" s="3">
        <v>317816130</v>
      </c>
      <c r="K255" s="3">
        <f t="shared" si="10"/>
        <v>2190245750701.5</v>
      </c>
      <c r="M255" s="4">
        <f t="shared" si="11"/>
        <v>-0.27731788503822519</v>
      </c>
    </row>
    <row r="256" spans="1:13" x14ac:dyDescent="0.45">
      <c r="A256" s="2">
        <v>45595</v>
      </c>
      <c r="B256" s="3">
        <v>1752.1</v>
      </c>
      <c r="D256" s="2">
        <v>45595</v>
      </c>
      <c r="E256" s="3">
        <v>6960.85</v>
      </c>
      <c r="G256" s="3">
        <v>1597100000</v>
      </c>
      <c r="H256" s="3">
        <f t="shared" si="9"/>
        <v>2798278910000</v>
      </c>
      <c r="J256" s="3">
        <v>317816130</v>
      </c>
      <c r="K256" s="3">
        <f t="shared" si="10"/>
        <v>2212270408510.5</v>
      </c>
      <c r="M256" s="4">
        <f t="shared" si="11"/>
        <v>-0.26489008723126828</v>
      </c>
    </row>
    <row r="257" spans="1:13" x14ac:dyDescent="0.45">
      <c r="A257" s="2">
        <v>45594</v>
      </c>
      <c r="B257" s="3">
        <v>1767.85</v>
      </c>
      <c r="D257" s="2">
        <v>45594</v>
      </c>
      <c r="E257" s="3">
        <v>7018.7</v>
      </c>
      <c r="G257" s="3">
        <v>1597100000</v>
      </c>
      <c r="H257" s="3">
        <f t="shared" si="9"/>
        <v>2823433235000</v>
      </c>
      <c r="J257" s="3">
        <v>317816130</v>
      </c>
      <c r="K257" s="3">
        <f t="shared" si="10"/>
        <v>2230656071631</v>
      </c>
      <c r="M257" s="4">
        <f t="shared" si="11"/>
        <v>-0.26574117404642128</v>
      </c>
    </row>
    <row r="258" spans="1:13" x14ac:dyDescent="0.45">
      <c r="A258" s="2">
        <v>45593</v>
      </c>
      <c r="B258" s="3">
        <v>1730.15</v>
      </c>
      <c r="D258" s="2">
        <v>45593</v>
      </c>
      <c r="E258" s="3">
        <v>6907.4</v>
      </c>
      <c r="G258" s="3">
        <v>1597100000</v>
      </c>
      <c r="H258" s="3">
        <f t="shared" si="9"/>
        <v>2763222565000</v>
      </c>
      <c r="J258" s="3">
        <v>317816130</v>
      </c>
      <c r="K258" s="3">
        <f t="shared" si="10"/>
        <v>2195283136362</v>
      </c>
      <c r="M258" s="4">
        <f t="shared" si="11"/>
        <v>-0.25870896524955</v>
      </c>
    </row>
    <row r="259" spans="1:13" x14ac:dyDescent="0.45">
      <c r="A259" s="2">
        <v>45590</v>
      </c>
      <c r="B259" s="3">
        <v>1707.1</v>
      </c>
      <c r="D259" s="2">
        <v>45590</v>
      </c>
      <c r="E259" s="3">
        <v>6907.6</v>
      </c>
      <c r="G259" s="3">
        <v>1597100000</v>
      </c>
      <c r="H259" s="3">
        <f t="shared" si="9"/>
        <v>2726409410000</v>
      </c>
      <c r="J259" s="3">
        <v>317816130</v>
      </c>
      <c r="K259" s="3">
        <f t="shared" si="10"/>
        <v>2195346699588</v>
      </c>
      <c r="M259" s="4">
        <f t="shared" si="11"/>
        <v>-0.24190380066695805</v>
      </c>
    </row>
    <row r="260" spans="1:13" x14ac:dyDescent="0.45">
      <c r="A260" s="2">
        <v>45589</v>
      </c>
      <c r="B260" s="3">
        <v>1741.7</v>
      </c>
      <c r="D260" s="2">
        <v>45589</v>
      </c>
      <c r="E260" s="3">
        <v>7040.6</v>
      </c>
      <c r="G260" s="3">
        <v>1597100000</v>
      </c>
      <c r="H260" s="3">
        <f t="shared" ref="H260:H323" si="12">+G260*B260</f>
        <v>2781669070000</v>
      </c>
      <c r="J260" s="3">
        <v>317816130</v>
      </c>
      <c r="K260" s="3">
        <f t="shared" ref="K260:K323" si="13">+J260*E260</f>
        <v>2237616244878</v>
      </c>
      <c r="M260" s="4">
        <f t="shared" ref="M260:M323" si="14">1- (H260/K260)</f>
        <v>-0.24313946878396164</v>
      </c>
    </row>
    <row r="261" spans="1:13" x14ac:dyDescent="0.45">
      <c r="A261" s="2">
        <v>45588</v>
      </c>
      <c r="B261" s="3">
        <v>1739.95</v>
      </c>
      <c r="D261" s="2">
        <v>45588</v>
      </c>
      <c r="E261" s="3">
        <v>6997.35</v>
      </c>
      <c r="G261" s="3">
        <v>1597100000</v>
      </c>
      <c r="H261" s="3">
        <f t="shared" si="12"/>
        <v>2778874145000</v>
      </c>
      <c r="J261" s="3">
        <v>317816130</v>
      </c>
      <c r="K261" s="3">
        <f t="shared" si="13"/>
        <v>2223870697255.5</v>
      </c>
      <c r="M261" s="4">
        <f t="shared" si="14"/>
        <v>-0.24956641967963122</v>
      </c>
    </row>
    <row r="262" spans="1:13" x14ac:dyDescent="0.45">
      <c r="A262" s="2">
        <v>45587</v>
      </c>
      <c r="B262" s="3">
        <v>1723.2</v>
      </c>
      <c r="D262" s="2">
        <v>45587</v>
      </c>
      <c r="E262" s="3">
        <v>6677.4</v>
      </c>
      <c r="G262" s="3">
        <v>1597100000</v>
      </c>
      <c r="H262" s="3">
        <f t="shared" si="12"/>
        <v>2752122720000</v>
      </c>
      <c r="J262" s="3">
        <v>317816130</v>
      </c>
      <c r="K262" s="3">
        <f t="shared" si="13"/>
        <v>2122185426462</v>
      </c>
      <c r="M262" s="4">
        <f t="shared" si="14"/>
        <v>-0.29683423780183027</v>
      </c>
    </row>
    <row r="263" spans="1:13" x14ac:dyDescent="0.45">
      <c r="A263" s="2">
        <v>45586</v>
      </c>
      <c r="B263" s="3">
        <v>1758.75</v>
      </c>
      <c r="D263" s="2">
        <v>45586</v>
      </c>
      <c r="E263" s="3">
        <v>6784.5</v>
      </c>
      <c r="G263" s="3">
        <v>1597100000</v>
      </c>
      <c r="H263" s="3">
        <f t="shared" si="12"/>
        <v>2808899625000</v>
      </c>
      <c r="J263" s="3">
        <v>317816130</v>
      </c>
      <c r="K263" s="3">
        <f t="shared" si="13"/>
        <v>2156223533985</v>
      </c>
      <c r="M263" s="4">
        <f t="shared" si="14"/>
        <v>-0.30269407634595469</v>
      </c>
    </row>
    <row r="264" spans="1:13" x14ac:dyDescent="0.45">
      <c r="A264" s="2">
        <v>45583</v>
      </c>
      <c r="B264" s="3">
        <v>1819.75</v>
      </c>
      <c r="D264" s="2">
        <v>45583</v>
      </c>
      <c r="E264" s="3">
        <v>6897.25</v>
      </c>
      <c r="G264" s="3">
        <v>1597100000</v>
      </c>
      <c r="H264" s="3">
        <f t="shared" si="12"/>
        <v>2906322725000</v>
      </c>
      <c r="J264" s="3">
        <v>317816130</v>
      </c>
      <c r="K264" s="3">
        <f t="shared" si="13"/>
        <v>2192057302642.5</v>
      </c>
      <c r="M264" s="4">
        <f t="shared" si="14"/>
        <v>-0.32584249576708646</v>
      </c>
    </row>
    <row r="265" spans="1:13" x14ac:dyDescent="0.45">
      <c r="A265" s="2">
        <v>45582</v>
      </c>
      <c r="B265" s="3">
        <v>1815.35</v>
      </c>
      <c r="D265" s="2">
        <v>45582</v>
      </c>
      <c r="E265" s="3">
        <v>6904.35</v>
      </c>
      <c r="G265" s="3">
        <v>1597100000</v>
      </c>
      <c r="H265" s="3">
        <f t="shared" si="12"/>
        <v>2899295485000</v>
      </c>
      <c r="J265" s="3">
        <v>317816130</v>
      </c>
      <c r="K265" s="3">
        <f t="shared" si="13"/>
        <v>2194313797165.5</v>
      </c>
      <c r="M265" s="4">
        <f t="shared" si="14"/>
        <v>-0.32127660535387359</v>
      </c>
    </row>
    <row r="266" spans="1:13" x14ac:dyDescent="0.45">
      <c r="A266" s="2">
        <v>45581</v>
      </c>
      <c r="B266" s="3">
        <v>1857.65</v>
      </c>
      <c r="D266" s="2">
        <v>45581</v>
      </c>
      <c r="E266" s="3">
        <v>6957.25</v>
      </c>
      <c r="G266" s="3">
        <v>1597100000</v>
      </c>
      <c r="H266" s="3">
        <f t="shared" si="12"/>
        <v>2966852815000</v>
      </c>
      <c r="J266" s="3">
        <v>317816130</v>
      </c>
      <c r="K266" s="3">
        <f t="shared" si="13"/>
        <v>2211126270442.5</v>
      </c>
      <c r="M266" s="4">
        <f t="shared" si="14"/>
        <v>-0.34178353116227078</v>
      </c>
    </row>
    <row r="267" spans="1:13" x14ac:dyDescent="0.45">
      <c r="A267" s="2">
        <v>45580</v>
      </c>
      <c r="B267" s="3">
        <v>1854.5</v>
      </c>
      <c r="D267" s="2">
        <v>45580</v>
      </c>
      <c r="E267" s="3">
        <v>7013.1</v>
      </c>
      <c r="G267" s="3">
        <v>1597100000</v>
      </c>
      <c r="H267" s="3">
        <f t="shared" si="12"/>
        <v>2961821950000</v>
      </c>
      <c r="J267" s="3">
        <v>317816130</v>
      </c>
      <c r="K267" s="3">
        <f t="shared" si="13"/>
        <v>2228876301303</v>
      </c>
      <c r="M267" s="4">
        <f t="shared" si="14"/>
        <v>-0.32884088195855488</v>
      </c>
    </row>
    <row r="268" spans="1:13" x14ac:dyDescent="0.45">
      <c r="A268" s="2">
        <v>45579</v>
      </c>
      <c r="B268" s="3">
        <v>1866.8</v>
      </c>
      <c r="D268" s="2">
        <v>45579</v>
      </c>
      <c r="E268" s="3">
        <v>7209.95</v>
      </c>
      <c r="G268" s="3">
        <v>1597100000</v>
      </c>
      <c r="H268" s="3">
        <f t="shared" si="12"/>
        <v>2981466280000</v>
      </c>
      <c r="J268" s="3">
        <v>317816130</v>
      </c>
      <c r="K268" s="3">
        <f t="shared" si="13"/>
        <v>2291438406493.5</v>
      </c>
      <c r="M268" s="4">
        <f t="shared" si="14"/>
        <v>-0.30113306626575365</v>
      </c>
    </row>
    <row r="269" spans="1:13" x14ac:dyDescent="0.45">
      <c r="A269" s="2">
        <v>45576</v>
      </c>
      <c r="B269" s="3">
        <v>1876.35</v>
      </c>
      <c r="D269" s="2">
        <v>45576</v>
      </c>
      <c r="E269" s="3">
        <v>7299.8</v>
      </c>
      <c r="G269" s="3">
        <v>1597100000</v>
      </c>
      <c r="H269" s="3">
        <f t="shared" si="12"/>
        <v>2996718585000</v>
      </c>
      <c r="J269" s="3">
        <v>317816130</v>
      </c>
      <c r="K269" s="3">
        <f t="shared" si="13"/>
        <v>2319994185774</v>
      </c>
      <c r="M269" s="4">
        <f t="shared" si="14"/>
        <v>-0.29169228240985023</v>
      </c>
    </row>
    <row r="270" spans="1:13" x14ac:dyDescent="0.45">
      <c r="A270" s="2">
        <v>45575</v>
      </c>
      <c r="B270" s="3">
        <v>1875.4</v>
      </c>
      <c r="D270" s="2">
        <v>45575</v>
      </c>
      <c r="E270" s="3">
        <v>7319.65</v>
      </c>
      <c r="G270" s="3">
        <v>1597100000</v>
      </c>
      <c r="H270" s="3">
        <f t="shared" si="12"/>
        <v>2995201340000</v>
      </c>
      <c r="J270" s="3">
        <v>317816130</v>
      </c>
      <c r="K270" s="3">
        <f t="shared" si="13"/>
        <v>2326302835954.5</v>
      </c>
      <c r="M270" s="4">
        <f t="shared" si="14"/>
        <v>-0.2875371571178289</v>
      </c>
    </row>
    <row r="271" spans="1:13" x14ac:dyDescent="0.45">
      <c r="A271" s="2">
        <v>45574</v>
      </c>
      <c r="B271" s="3">
        <v>1867.55</v>
      </c>
      <c r="D271" s="2">
        <v>45574</v>
      </c>
      <c r="E271" s="3">
        <v>7308.7</v>
      </c>
      <c r="G271" s="3">
        <v>1597100000</v>
      </c>
      <c r="H271" s="3">
        <f t="shared" si="12"/>
        <v>2982664105000</v>
      </c>
      <c r="J271" s="3">
        <v>317816130</v>
      </c>
      <c r="K271" s="3">
        <f t="shared" si="13"/>
        <v>2322822749331</v>
      </c>
      <c r="M271" s="4">
        <f t="shared" si="14"/>
        <v>-0.28406875034224721</v>
      </c>
    </row>
    <row r="272" spans="1:13" x14ac:dyDescent="0.45">
      <c r="A272" s="2">
        <v>45573</v>
      </c>
      <c r="B272" s="3">
        <v>1837.2</v>
      </c>
      <c r="D272" s="2">
        <v>45573</v>
      </c>
      <c r="E272" s="3">
        <v>7190.8</v>
      </c>
      <c r="G272" s="3">
        <v>1597100000</v>
      </c>
      <c r="H272" s="3">
        <f t="shared" si="12"/>
        <v>2934192120000</v>
      </c>
      <c r="J272" s="3">
        <v>317816130</v>
      </c>
      <c r="K272" s="3">
        <f t="shared" si="13"/>
        <v>2285352227604</v>
      </c>
      <c r="M272" s="4">
        <f t="shared" si="14"/>
        <v>-0.28391242477149969</v>
      </c>
    </row>
    <row r="273" spans="1:13" x14ac:dyDescent="0.45">
      <c r="A273" s="2">
        <v>45572</v>
      </c>
      <c r="B273" s="3">
        <v>1879.9</v>
      </c>
      <c r="D273" s="2">
        <v>45572</v>
      </c>
      <c r="E273" s="3">
        <v>7272.25</v>
      </c>
      <c r="G273" s="3">
        <v>1597100000</v>
      </c>
      <c r="H273" s="3">
        <f t="shared" si="12"/>
        <v>3002388290000</v>
      </c>
      <c r="J273" s="3">
        <v>317816130</v>
      </c>
      <c r="K273" s="3">
        <f t="shared" si="13"/>
        <v>2311238351392.5</v>
      </c>
      <c r="M273" s="4">
        <f t="shared" si="14"/>
        <v>-0.29903879805000999</v>
      </c>
    </row>
    <row r="274" spans="1:13" x14ac:dyDescent="0.45">
      <c r="A274" s="2">
        <v>45569</v>
      </c>
      <c r="B274" s="3">
        <v>1882.85</v>
      </c>
      <c r="D274" s="2">
        <v>45569</v>
      </c>
      <c r="E274" s="3">
        <v>7209.65</v>
      </c>
      <c r="G274" s="3">
        <v>1597100000</v>
      </c>
      <c r="H274" s="3">
        <f t="shared" si="12"/>
        <v>3007099735000</v>
      </c>
      <c r="J274" s="3">
        <v>317816130</v>
      </c>
      <c r="K274" s="3">
        <f t="shared" si="13"/>
        <v>2291343061654.5</v>
      </c>
      <c r="M274" s="4">
        <f t="shared" si="14"/>
        <v>-0.31237429493804236</v>
      </c>
    </row>
    <row r="275" spans="1:13" x14ac:dyDescent="0.45">
      <c r="A275" s="2">
        <v>45568</v>
      </c>
      <c r="B275" s="3">
        <v>1913.2</v>
      </c>
      <c r="D275" s="2">
        <v>45568</v>
      </c>
      <c r="E275" s="3">
        <v>7433.3</v>
      </c>
      <c r="G275" s="3">
        <v>1597100000</v>
      </c>
      <c r="H275" s="3">
        <f t="shared" si="12"/>
        <v>3055571720000</v>
      </c>
      <c r="J275" s="3">
        <v>317816130</v>
      </c>
      <c r="K275" s="3">
        <f t="shared" si="13"/>
        <v>2362422639129</v>
      </c>
      <c r="M275" s="4">
        <f t="shared" si="14"/>
        <v>-0.29340604402883508</v>
      </c>
    </row>
    <row r="276" spans="1:13" x14ac:dyDescent="0.45">
      <c r="A276" s="2">
        <v>45566</v>
      </c>
      <c r="B276" s="3">
        <v>1974.55</v>
      </c>
      <c r="D276" s="2">
        <v>45566</v>
      </c>
      <c r="E276" s="3">
        <v>7702.3</v>
      </c>
      <c r="G276" s="3">
        <v>1597100000</v>
      </c>
      <c r="H276" s="3">
        <f t="shared" si="12"/>
        <v>3153553805000</v>
      </c>
      <c r="J276" s="3">
        <v>317816130</v>
      </c>
      <c r="K276" s="3">
        <f t="shared" si="13"/>
        <v>2447915178099</v>
      </c>
      <c r="M276" s="4">
        <f t="shared" si="14"/>
        <v>-0.28826106117328143</v>
      </c>
    </row>
    <row r="277" spans="1:13" x14ac:dyDescent="0.45">
      <c r="A277" s="2">
        <v>45565</v>
      </c>
      <c r="B277" s="3">
        <v>1972.8</v>
      </c>
      <c r="D277" s="2">
        <v>45565</v>
      </c>
      <c r="E277" s="3">
        <v>7701.9</v>
      </c>
      <c r="G277" s="3">
        <v>1597100000</v>
      </c>
      <c r="H277" s="3">
        <f t="shared" si="12"/>
        <v>3150758880000</v>
      </c>
      <c r="J277" s="3">
        <v>317816130</v>
      </c>
      <c r="K277" s="3">
        <f t="shared" si="13"/>
        <v>2447788051647</v>
      </c>
      <c r="M277" s="4">
        <f t="shared" si="14"/>
        <v>-0.28718615072902431</v>
      </c>
    </row>
    <row r="278" spans="1:13" x14ac:dyDescent="0.45">
      <c r="A278" s="2">
        <v>45562</v>
      </c>
      <c r="B278" s="3">
        <v>2010.7</v>
      </c>
      <c r="D278" s="2">
        <v>45562</v>
      </c>
      <c r="E278" s="3">
        <v>7756.2</v>
      </c>
      <c r="G278" s="3">
        <v>1597100000</v>
      </c>
      <c r="H278" s="3">
        <f t="shared" si="12"/>
        <v>3211288970000</v>
      </c>
      <c r="J278" s="3">
        <v>317816130</v>
      </c>
      <c r="K278" s="3">
        <f t="shared" si="13"/>
        <v>2465045467506</v>
      </c>
      <c r="M278" s="4">
        <f t="shared" si="14"/>
        <v>-0.30273011688056561</v>
      </c>
    </row>
    <row r="279" spans="1:13" x14ac:dyDescent="0.45">
      <c r="A279" s="2">
        <v>45561</v>
      </c>
      <c r="B279" s="3">
        <v>1982.35</v>
      </c>
      <c r="D279" s="2">
        <v>45561</v>
      </c>
      <c r="E279" s="3">
        <v>7768.4</v>
      </c>
      <c r="G279" s="3">
        <v>1597100000</v>
      </c>
      <c r="H279" s="3">
        <f t="shared" si="12"/>
        <v>3166011185000</v>
      </c>
      <c r="J279" s="3">
        <v>317816130</v>
      </c>
      <c r="K279" s="3">
        <f t="shared" si="13"/>
        <v>2468922824292</v>
      </c>
      <c r="M279" s="4">
        <f t="shared" si="14"/>
        <v>-0.28234514009481049</v>
      </c>
    </row>
    <row r="280" spans="1:13" x14ac:dyDescent="0.45">
      <c r="A280" s="2">
        <v>45560</v>
      </c>
      <c r="B280" s="3">
        <v>1926.35</v>
      </c>
      <c r="D280" s="2">
        <v>45560</v>
      </c>
      <c r="E280" s="3">
        <v>7623.8</v>
      </c>
      <c r="G280" s="3">
        <v>1597100000</v>
      </c>
      <c r="H280" s="3">
        <f t="shared" si="12"/>
        <v>3076573585000</v>
      </c>
      <c r="J280" s="3">
        <v>317816130</v>
      </c>
      <c r="K280" s="3">
        <f t="shared" si="13"/>
        <v>2422966611894</v>
      </c>
      <c r="M280" s="4">
        <f t="shared" si="14"/>
        <v>-0.26975484098606062</v>
      </c>
    </row>
    <row r="281" spans="1:13" x14ac:dyDescent="0.45">
      <c r="A281" s="2">
        <v>45559</v>
      </c>
      <c r="B281" s="3">
        <v>1905.45</v>
      </c>
      <c r="D281" s="2">
        <v>45559</v>
      </c>
      <c r="E281" s="3">
        <v>7555.35</v>
      </c>
      <c r="G281" s="3">
        <v>1597100000</v>
      </c>
      <c r="H281" s="3">
        <f t="shared" si="12"/>
        <v>3043194195000</v>
      </c>
      <c r="J281" s="3">
        <v>317816130</v>
      </c>
      <c r="K281" s="3">
        <f t="shared" si="13"/>
        <v>2401212097795.5</v>
      </c>
      <c r="M281" s="4">
        <f t="shared" si="14"/>
        <v>-0.26735751406295583</v>
      </c>
    </row>
    <row r="282" spans="1:13" x14ac:dyDescent="0.45">
      <c r="A282" s="2">
        <v>45558</v>
      </c>
      <c r="B282" s="3">
        <v>1919.95</v>
      </c>
      <c r="D282" s="2">
        <v>45558</v>
      </c>
      <c r="E282" s="3">
        <v>7592.8</v>
      </c>
      <c r="G282" s="3">
        <v>1597100000</v>
      </c>
      <c r="H282" s="3">
        <f t="shared" si="12"/>
        <v>3066352145000</v>
      </c>
      <c r="J282" s="3">
        <v>317816130</v>
      </c>
      <c r="K282" s="3">
        <f t="shared" si="13"/>
        <v>2413114311864</v>
      </c>
      <c r="M282" s="4">
        <f t="shared" si="14"/>
        <v>-0.27070322774365763</v>
      </c>
    </row>
    <row r="283" spans="1:13" x14ac:dyDescent="0.45">
      <c r="A283" s="2">
        <v>45555</v>
      </c>
      <c r="B283" s="3">
        <v>1917.05</v>
      </c>
      <c r="D283" s="2">
        <v>45555</v>
      </c>
      <c r="E283" s="3">
        <v>7582.65</v>
      </c>
      <c r="G283" s="3">
        <v>1597100000</v>
      </c>
      <c r="H283" s="3">
        <f t="shared" si="12"/>
        <v>3061720555000</v>
      </c>
      <c r="J283" s="3">
        <v>317816130</v>
      </c>
      <c r="K283" s="3">
        <f t="shared" si="13"/>
        <v>2409888478144.5</v>
      </c>
      <c r="M283" s="4">
        <f t="shared" si="14"/>
        <v>-0.2704822578999091</v>
      </c>
    </row>
    <row r="284" spans="1:13" x14ac:dyDescent="0.45">
      <c r="A284" s="2">
        <v>45554</v>
      </c>
      <c r="B284" s="3">
        <v>1890.9</v>
      </c>
      <c r="D284" s="2">
        <v>45554</v>
      </c>
      <c r="E284" s="3">
        <v>7587.7</v>
      </c>
      <c r="G284" s="3">
        <v>1597100000</v>
      </c>
      <c r="H284" s="3">
        <f t="shared" si="12"/>
        <v>3019956390000</v>
      </c>
      <c r="J284" s="3">
        <v>317816130</v>
      </c>
      <c r="K284" s="3">
        <f t="shared" si="13"/>
        <v>2411493449601</v>
      </c>
      <c r="M284" s="4">
        <f t="shared" si="14"/>
        <v>-0.25231789059998277</v>
      </c>
    </row>
    <row r="285" spans="1:13" x14ac:dyDescent="0.45">
      <c r="A285" s="2">
        <v>45553</v>
      </c>
      <c r="B285" s="3">
        <v>1887.5</v>
      </c>
      <c r="D285" s="2">
        <v>45553</v>
      </c>
      <c r="E285" s="3">
        <v>7632.25</v>
      </c>
      <c r="G285" s="3">
        <v>1597100000</v>
      </c>
      <c r="H285" s="3">
        <f t="shared" si="12"/>
        <v>3014526250000</v>
      </c>
      <c r="J285" s="3">
        <v>317816130</v>
      </c>
      <c r="K285" s="3">
        <f t="shared" si="13"/>
        <v>2425652158192.5</v>
      </c>
      <c r="M285" s="4">
        <f t="shared" si="14"/>
        <v>-0.24276938876772247</v>
      </c>
    </row>
    <row r="286" spans="1:13" x14ac:dyDescent="0.45">
      <c r="A286" s="2">
        <v>45552</v>
      </c>
      <c r="B286" s="3">
        <v>1848.5</v>
      </c>
      <c r="D286" s="2">
        <v>45552</v>
      </c>
      <c r="E286" s="3">
        <v>7363.75</v>
      </c>
      <c r="G286" s="3">
        <v>1597100000</v>
      </c>
      <c r="H286" s="3">
        <f t="shared" si="12"/>
        <v>2952239350000</v>
      </c>
      <c r="J286" s="3">
        <v>317816130</v>
      </c>
      <c r="K286" s="3">
        <f t="shared" si="13"/>
        <v>2340318527287.5</v>
      </c>
      <c r="M286" s="4">
        <f t="shared" si="14"/>
        <v>-0.26146903320110648</v>
      </c>
    </row>
    <row r="287" spans="1:13" x14ac:dyDescent="0.45">
      <c r="A287" s="2">
        <v>45551</v>
      </c>
      <c r="B287" s="3">
        <v>1858.05</v>
      </c>
      <c r="D287" s="2">
        <v>45551</v>
      </c>
      <c r="E287" s="3">
        <v>7342.1</v>
      </c>
      <c r="G287" s="3">
        <v>1597100000</v>
      </c>
      <c r="H287" s="3">
        <f t="shared" si="12"/>
        <v>2967491655000</v>
      </c>
      <c r="J287" s="3">
        <v>317816130</v>
      </c>
      <c r="K287" s="3">
        <f t="shared" si="13"/>
        <v>2333437808073</v>
      </c>
      <c r="M287" s="4">
        <f t="shared" si="14"/>
        <v>-0.27172519650335758</v>
      </c>
    </row>
    <row r="288" spans="1:13" x14ac:dyDescent="0.45">
      <c r="A288" s="2">
        <v>45548</v>
      </c>
      <c r="B288" s="3">
        <v>1893.75</v>
      </c>
      <c r="D288" s="2">
        <v>45548</v>
      </c>
      <c r="E288" s="3">
        <v>7597</v>
      </c>
      <c r="G288" s="3">
        <v>1597100000</v>
      </c>
      <c r="H288" s="3">
        <f t="shared" si="12"/>
        <v>3024508125000</v>
      </c>
      <c r="J288" s="3">
        <v>317816130</v>
      </c>
      <c r="K288" s="3">
        <f t="shared" si="13"/>
        <v>2414449139610</v>
      </c>
      <c r="M288" s="4">
        <f t="shared" si="14"/>
        <v>-0.25267005023288314</v>
      </c>
    </row>
    <row r="289" spans="1:13" x14ac:dyDescent="0.45">
      <c r="A289" s="2">
        <v>45547</v>
      </c>
      <c r="B289" s="3">
        <v>1853.5</v>
      </c>
      <c r="D289" s="2">
        <v>45547</v>
      </c>
      <c r="E289" s="3">
        <v>7425.3</v>
      </c>
      <c r="G289" s="3">
        <v>1597100000</v>
      </c>
      <c r="H289" s="3">
        <f t="shared" si="12"/>
        <v>2960224850000</v>
      </c>
      <c r="J289" s="3">
        <v>317816130</v>
      </c>
      <c r="K289" s="3">
        <f t="shared" si="13"/>
        <v>2359880110089</v>
      </c>
      <c r="M289" s="4">
        <f t="shared" si="14"/>
        <v>-0.25439628790648983</v>
      </c>
    </row>
    <row r="290" spans="1:13" x14ac:dyDescent="0.45">
      <c r="A290" s="2">
        <v>45546</v>
      </c>
      <c r="B290" s="3">
        <v>1832.7</v>
      </c>
      <c r="D290" s="2">
        <v>45546</v>
      </c>
      <c r="E290" s="3">
        <v>7350.25</v>
      </c>
      <c r="G290" s="3">
        <v>1597100000</v>
      </c>
      <c r="H290" s="3">
        <f t="shared" si="12"/>
        <v>2927005170000</v>
      </c>
      <c r="J290" s="3">
        <v>317816130</v>
      </c>
      <c r="K290" s="3">
        <f t="shared" si="13"/>
        <v>2336028009532.5</v>
      </c>
      <c r="M290" s="4">
        <f t="shared" si="14"/>
        <v>-0.25298376477333839</v>
      </c>
    </row>
    <row r="291" spans="1:13" x14ac:dyDescent="0.45">
      <c r="A291" s="2">
        <v>45545</v>
      </c>
      <c r="B291" s="3">
        <v>1825.3</v>
      </c>
      <c r="D291" s="2">
        <v>45545</v>
      </c>
      <c r="E291" s="3">
        <v>7240.1</v>
      </c>
      <c r="G291" s="3">
        <v>1597100000</v>
      </c>
      <c r="H291" s="3">
        <f t="shared" si="12"/>
        <v>2915186630000</v>
      </c>
      <c r="J291" s="3">
        <v>317816130</v>
      </c>
      <c r="K291" s="3">
        <f t="shared" si="13"/>
        <v>2301020562813</v>
      </c>
      <c r="M291" s="4">
        <f t="shared" si="14"/>
        <v>-0.26691029063911587</v>
      </c>
    </row>
    <row r="292" spans="1:13" x14ac:dyDescent="0.45">
      <c r="A292" s="2">
        <v>45544</v>
      </c>
      <c r="B292" s="3">
        <v>1858.9</v>
      </c>
      <c r="D292" s="2">
        <v>45544</v>
      </c>
      <c r="E292" s="3">
        <v>7346.75</v>
      </c>
      <c r="G292" s="3">
        <v>1597100000</v>
      </c>
      <c r="H292" s="3">
        <f t="shared" si="12"/>
        <v>2968849190000</v>
      </c>
      <c r="J292" s="3">
        <v>317816130</v>
      </c>
      <c r="K292" s="3">
        <f t="shared" si="13"/>
        <v>2334915653077.5</v>
      </c>
      <c r="M292" s="4">
        <f t="shared" si="14"/>
        <v>-0.27150168619022863</v>
      </c>
    </row>
    <row r="293" spans="1:13" x14ac:dyDescent="0.45">
      <c r="A293" s="2">
        <v>45541</v>
      </c>
      <c r="B293" s="3">
        <v>1856.75</v>
      </c>
      <c r="D293" s="2">
        <v>45541</v>
      </c>
      <c r="E293" s="3">
        <v>7317.65</v>
      </c>
      <c r="G293" s="3">
        <v>1597100000</v>
      </c>
      <c r="H293" s="3">
        <f t="shared" si="12"/>
        <v>2965415425000</v>
      </c>
      <c r="J293" s="3">
        <v>317816130</v>
      </c>
      <c r="K293" s="3">
        <f t="shared" si="13"/>
        <v>2325667203694.5</v>
      </c>
      <c r="M293" s="4">
        <f t="shared" si="14"/>
        <v>-0.27508158531418903</v>
      </c>
    </row>
    <row r="294" spans="1:13" x14ac:dyDescent="0.45">
      <c r="A294" s="2">
        <v>45540</v>
      </c>
      <c r="B294" s="3">
        <v>1864.45</v>
      </c>
      <c r="D294" s="2">
        <v>45540</v>
      </c>
      <c r="E294" s="3">
        <v>7243.4</v>
      </c>
      <c r="G294" s="3">
        <v>1597100000</v>
      </c>
      <c r="H294" s="3">
        <f t="shared" si="12"/>
        <v>2977713095000</v>
      </c>
      <c r="J294" s="3">
        <v>317816130</v>
      </c>
      <c r="K294" s="3">
        <f t="shared" si="13"/>
        <v>2302069356042</v>
      </c>
      <c r="M294" s="4">
        <f t="shared" si="14"/>
        <v>-0.29349408486964501</v>
      </c>
    </row>
    <row r="295" spans="1:13" x14ac:dyDescent="0.45">
      <c r="A295" s="2">
        <v>45539</v>
      </c>
      <c r="B295" s="3">
        <v>1871.95</v>
      </c>
      <c r="D295" s="2">
        <v>45539</v>
      </c>
      <c r="E295" s="3">
        <v>7298.15</v>
      </c>
      <c r="G295" s="3">
        <v>1597100000</v>
      </c>
      <c r="H295" s="3">
        <f t="shared" si="12"/>
        <v>2989691345000</v>
      </c>
      <c r="J295" s="3">
        <v>317816130</v>
      </c>
      <c r="K295" s="3">
        <f t="shared" si="13"/>
        <v>2319469789159.5</v>
      </c>
      <c r="M295" s="4">
        <f t="shared" si="14"/>
        <v>-0.28895463910455432</v>
      </c>
    </row>
    <row r="296" spans="1:13" x14ac:dyDescent="0.45">
      <c r="A296" s="2">
        <v>45538</v>
      </c>
      <c r="B296" s="3">
        <v>1863.95</v>
      </c>
      <c r="D296" s="2">
        <v>45538</v>
      </c>
      <c r="E296" s="3">
        <v>7351.55</v>
      </c>
      <c r="G296" s="3">
        <v>1597100000</v>
      </c>
      <c r="H296" s="3">
        <f t="shared" si="12"/>
        <v>2976914545000</v>
      </c>
      <c r="J296" s="3">
        <v>317816130</v>
      </c>
      <c r="K296" s="3">
        <f t="shared" si="13"/>
        <v>2336441170501.5</v>
      </c>
      <c r="M296" s="4">
        <f t="shared" si="14"/>
        <v>-0.27412347573083862</v>
      </c>
    </row>
    <row r="297" spans="1:13" x14ac:dyDescent="0.45">
      <c r="A297" s="2">
        <v>45537</v>
      </c>
      <c r="B297" s="3">
        <v>1840.1</v>
      </c>
      <c r="D297" s="2">
        <v>45537</v>
      </c>
      <c r="E297" s="3">
        <v>7435.7</v>
      </c>
      <c r="G297" s="3">
        <v>1597100000</v>
      </c>
      <c r="H297" s="3">
        <f t="shared" si="12"/>
        <v>2938823710000</v>
      </c>
      <c r="J297" s="3">
        <v>317816130</v>
      </c>
      <c r="K297" s="3">
        <f t="shared" si="13"/>
        <v>2363185397841</v>
      </c>
      <c r="M297" s="4">
        <f t="shared" si="14"/>
        <v>-0.24358576042527247</v>
      </c>
    </row>
    <row r="298" spans="1:13" x14ac:dyDescent="0.45">
      <c r="A298" s="2">
        <v>45534</v>
      </c>
      <c r="B298" s="3">
        <v>1782.45</v>
      </c>
      <c r="D298" s="2">
        <v>45534</v>
      </c>
      <c r="E298" s="3">
        <v>7206.15</v>
      </c>
      <c r="G298" s="3">
        <v>1597100000</v>
      </c>
      <c r="H298" s="3">
        <f t="shared" si="12"/>
        <v>2846750895000</v>
      </c>
      <c r="J298" s="3">
        <v>317816130</v>
      </c>
      <c r="K298" s="3">
        <f t="shared" si="13"/>
        <v>2290230705199.5</v>
      </c>
      <c r="M298" s="4">
        <f t="shared" si="14"/>
        <v>-0.24299743625698267</v>
      </c>
    </row>
    <row r="299" spans="1:13" x14ac:dyDescent="0.45">
      <c r="A299" s="2">
        <v>45533</v>
      </c>
      <c r="B299" s="3">
        <v>1755.25</v>
      </c>
      <c r="D299" s="2">
        <v>45533</v>
      </c>
      <c r="E299" s="3">
        <v>7063.05</v>
      </c>
      <c r="G299" s="3">
        <v>1597100000</v>
      </c>
      <c r="H299" s="3">
        <f t="shared" si="12"/>
        <v>2803309775000</v>
      </c>
      <c r="J299" s="3">
        <v>317816130</v>
      </c>
      <c r="K299" s="3">
        <f t="shared" si="13"/>
        <v>2244751216996.5</v>
      </c>
      <c r="M299" s="4">
        <f t="shared" si="14"/>
        <v>-0.24882871374532844</v>
      </c>
    </row>
    <row r="300" spans="1:13" x14ac:dyDescent="0.45">
      <c r="A300" s="2">
        <v>45532</v>
      </c>
      <c r="B300" s="3">
        <v>1714</v>
      </c>
      <c r="D300" s="2">
        <v>45532</v>
      </c>
      <c r="E300" s="3">
        <v>6898.45</v>
      </c>
      <c r="G300" s="3">
        <v>1597100000</v>
      </c>
      <c r="H300" s="3">
        <f t="shared" si="12"/>
        <v>2737429400000</v>
      </c>
      <c r="J300" s="3">
        <v>317816130</v>
      </c>
      <c r="K300" s="3">
        <f t="shared" si="13"/>
        <v>2192438681998.5</v>
      </c>
      <c r="M300" s="4">
        <f t="shared" si="14"/>
        <v>-0.24857740491274227</v>
      </c>
    </row>
    <row r="301" spans="1:13" x14ac:dyDescent="0.45">
      <c r="A301" s="2">
        <v>45531</v>
      </c>
      <c r="B301" s="3">
        <v>1721.55</v>
      </c>
      <c r="D301" s="2">
        <v>45531</v>
      </c>
      <c r="E301" s="3">
        <v>6863.6</v>
      </c>
      <c r="G301" s="3">
        <v>1597100000</v>
      </c>
      <c r="H301" s="3">
        <f t="shared" si="12"/>
        <v>2749487505000</v>
      </c>
      <c r="J301" s="3">
        <v>317816130</v>
      </c>
      <c r="K301" s="3">
        <f t="shared" si="13"/>
        <v>2181362789868</v>
      </c>
      <c r="M301" s="4">
        <f t="shared" si="14"/>
        <v>-0.26044485482691249</v>
      </c>
    </row>
    <row r="302" spans="1:13" x14ac:dyDescent="0.45">
      <c r="A302" s="2">
        <v>45530</v>
      </c>
      <c r="B302" s="3">
        <v>1686.7</v>
      </c>
      <c r="D302" s="2">
        <v>45530</v>
      </c>
      <c r="E302" s="3">
        <v>6776</v>
      </c>
      <c r="G302" s="3">
        <v>1597100000</v>
      </c>
      <c r="H302" s="3">
        <f t="shared" si="12"/>
        <v>2693828570000</v>
      </c>
      <c r="J302" s="3">
        <v>317816130</v>
      </c>
      <c r="K302" s="3">
        <f t="shared" si="13"/>
        <v>2153522096880</v>
      </c>
      <c r="M302" s="4">
        <f t="shared" si="14"/>
        <v>-0.25089432511641752</v>
      </c>
    </row>
    <row r="303" spans="1:13" x14ac:dyDescent="0.45">
      <c r="A303" s="2">
        <v>45527</v>
      </c>
      <c r="B303" s="3">
        <v>1640.2</v>
      </c>
      <c r="D303" s="2">
        <v>45527</v>
      </c>
      <c r="E303" s="3">
        <v>6735.5</v>
      </c>
      <c r="G303" s="3">
        <v>1597100000</v>
      </c>
      <c r="H303" s="3">
        <f t="shared" si="12"/>
        <v>2619563420000</v>
      </c>
      <c r="J303" s="3">
        <v>317816130</v>
      </c>
      <c r="K303" s="3">
        <f t="shared" si="13"/>
        <v>2140650543615</v>
      </c>
      <c r="M303" s="4">
        <f t="shared" si="14"/>
        <v>-0.22372305363594802</v>
      </c>
    </row>
    <row r="304" spans="1:13" x14ac:dyDescent="0.45">
      <c r="A304" s="2">
        <v>45526</v>
      </c>
      <c r="B304" s="3">
        <v>1626.25</v>
      </c>
      <c r="D304" s="2">
        <v>45526</v>
      </c>
      <c r="E304" s="3">
        <v>6741.85</v>
      </c>
      <c r="G304" s="3">
        <v>1597100000</v>
      </c>
      <c r="H304" s="3">
        <f t="shared" si="12"/>
        <v>2597283875000</v>
      </c>
      <c r="J304" s="3">
        <v>317816130</v>
      </c>
      <c r="K304" s="3">
        <f t="shared" si="13"/>
        <v>2142668676040.5</v>
      </c>
      <c r="M304" s="4">
        <f t="shared" si="14"/>
        <v>-0.2121724203293982</v>
      </c>
    </row>
    <row r="305" spans="1:13" x14ac:dyDescent="0.45">
      <c r="A305" s="2">
        <v>45525</v>
      </c>
      <c r="B305" s="3">
        <v>1619.25</v>
      </c>
      <c r="D305" s="2">
        <v>45525</v>
      </c>
      <c r="E305" s="3">
        <v>6733.65</v>
      </c>
      <c r="G305" s="3">
        <v>1597100000</v>
      </c>
      <c r="H305" s="3">
        <f t="shared" si="12"/>
        <v>2586104175000</v>
      </c>
      <c r="J305" s="3">
        <v>317816130</v>
      </c>
      <c r="K305" s="3">
        <f t="shared" si="13"/>
        <v>2140062583774.5</v>
      </c>
      <c r="M305" s="4">
        <f t="shared" si="14"/>
        <v>-0.20842455478045019</v>
      </c>
    </row>
    <row r="306" spans="1:13" x14ac:dyDescent="0.45">
      <c r="A306" s="2">
        <v>45524</v>
      </c>
      <c r="B306" s="3">
        <v>1602.3</v>
      </c>
      <c r="D306" s="2">
        <v>45524</v>
      </c>
      <c r="E306" s="3">
        <v>6722.85</v>
      </c>
      <c r="G306" s="3">
        <v>1597100000</v>
      </c>
      <c r="H306" s="3">
        <f t="shared" si="12"/>
        <v>2559033330000</v>
      </c>
      <c r="J306" s="3">
        <v>317816130</v>
      </c>
      <c r="K306" s="3">
        <f t="shared" si="13"/>
        <v>2136630169570.5</v>
      </c>
      <c r="M306" s="4">
        <f t="shared" si="14"/>
        <v>-0.19769596369333797</v>
      </c>
    </row>
    <row r="307" spans="1:13" x14ac:dyDescent="0.45">
      <c r="A307" s="2">
        <v>45523</v>
      </c>
      <c r="B307" s="3">
        <v>1551.85</v>
      </c>
      <c r="D307" s="2">
        <v>45523</v>
      </c>
      <c r="E307" s="3">
        <v>6618.65</v>
      </c>
      <c r="G307" s="3">
        <v>1597100000</v>
      </c>
      <c r="H307" s="3">
        <f t="shared" si="12"/>
        <v>2478459635000</v>
      </c>
      <c r="J307" s="3">
        <v>317816130</v>
      </c>
      <c r="K307" s="3">
        <f t="shared" si="13"/>
        <v>2103513728824.5</v>
      </c>
      <c r="M307" s="4">
        <f t="shared" si="14"/>
        <v>-0.17824742526640414</v>
      </c>
    </row>
    <row r="308" spans="1:13" x14ac:dyDescent="0.45">
      <c r="A308" s="2">
        <v>45520</v>
      </c>
      <c r="B308" s="3">
        <v>1550.2</v>
      </c>
      <c r="D308" s="2">
        <v>45520</v>
      </c>
      <c r="E308" s="3">
        <v>6591.2</v>
      </c>
      <c r="G308" s="3">
        <v>1597100000</v>
      </c>
      <c r="H308" s="3">
        <f t="shared" si="12"/>
        <v>2475824420000</v>
      </c>
      <c r="J308" s="3">
        <v>317816130</v>
      </c>
      <c r="K308" s="3">
        <f t="shared" si="13"/>
        <v>2094789676056</v>
      </c>
      <c r="M308" s="4">
        <f t="shared" si="14"/>
        <v>-0.18189642058070454</v>
      </c>
    </row>
    <row r="309" spans="1:13" x14ac:dyDescent="0.45">
      <c r="A309" s="2">
        <v>45518</v>
      </c>
      <c r="B309" s="3">
        <v>1529.15</v>
      </c>
      <c r="D309" s="2">
        <v>45518</v>
      </c>
      <c r="E309" s="3">
        <v>6460.85</v>
      </c>
      <c r="G309" s="3">
        <v>1597100000</v>
      </c>
      <c r="H309" s="3">
        <f t="shared" si="12"/>
        <v>2442205465000</v>
      </c>
      <c r="J309" s="3">
        <v>317816130</v>
      </c>
      <c r="K309" s="3">
        <f t="shared" si="13"/>
        <v>2053362343510.5</v>
      </c>
      <c r="M309" s="4">
        <f t="shared" si="14"/>
        <v>-0.1893689746081153</v>
      </c>
    </row>
    <row r="310" spans="1:13" x14ac:dyDescent="0.45">
      <c r="A310" s="2">
        <v>45517</v>
      </c>
      <c r="B310" s="3">
        <v>1544.35</v>
      </c>
      <c r="D310" s="2">
        <v>45517</v>
      </c>
      <c r="E310" s="3">
        <v>6468.45</v>
      </c>
      <c r="G310" s="3">
        <v>1597100000</v>
      </c>
      <c r="H310" s="3">
        <f t="shared" si="12"/>
        <v>2466481385000</v>
      </c>
      <c r="J310" s="3">
        <v>317816130</v>
      </c>
      <c r="K310" s="3">
        <f t="shared" si="13"/>
        <v>2055777746098.5</v>
      </c>
      <c r="M310" s="4">
        <f t="shared" si="14"/>
        <v>-0.19978017549851512</v>
      </c>
    </row>
    <row r="311" spans="1:13" x14ac:dyDescent="0.45">
      <c r="A311" s="2">
        <v>45516</v>
      </c>
      <c r="B311" s="3">
        <v>1558.65</v>
      </c>
      <c r="D311" s="2">
        <v>45516</v>
      </c>
      <c r="E311" s="3">
        <v>6610.3</v>
      </c>
      <c r="G311" s="3">
        <v>1597100000</v>
      </c>
      <c r="H311" s="3">
        <f t="shared" si="12"/>
        <v>2489319915000</v>
      </c>
      <c r="J311" s="3">
        <v>317816130</v>
      </c>
      <c r="K311" s="3">
        <f t="shared" si="13"/>
        <v>2100859964139</v>
      </c>
      <c r="M311" s="4">
        <f t="shared" si="14"/>
        <v>-0.18490520905338093</v>
      </c>
    </row>
    <row r="312" spans="1:13" x14ac:dyDescent="0.45">
      <c r="A312" s="2">
        <v>45513</v>
      </c>
      <c r="B312" s="3">
        <v>1560.1</v>
      </c>
      <c r="D312" s="2">
        <v>45513</v>
      </c>
      <c r="E312" s="3">
        <v>6619</v>
      </c>
      <c r="G312" s="3">
        <v>1597100000</v>
      </c>
      <c r="H312" s="3">
        <f t="shared" si="12"/>
        <v>2491635710000</v>
      </c>
      <c r="J312" s="3">
        <v>317816130</v>
      </c>
      <c r="K312" s="3">
        <f t="shared" si="13"/>
        <v>2103624964470</v>
      </c>
      <c r="M312" s="4">
        <f t="shared" si="14"/>
        <v>-0.18444863133089773</v>
      </c>
    </row>
    <row r="313" spans="1:13" x14ac:dyDescent="0.45">
      <c r="A313" s="2">
        <v>45512</v>
      </c>
      <c r="B313" s="3">
        <v>1541.45</v>
      </c>
      <c r="D313" s="2">
        <v>45512</v>
      </c>
      <c r="E313" s="3">
        <v>6580.45</v>
      </c>
      <c r="G313" s="3">
        <v>1597100000</v>
      </c>
      <c r="H313" s="3">
        <f t="shared" si="12"/>
        <v>2461849795000</v>
      </c>
      <c r="J313" s="3">
        <v>317816130</v>
      </c>
      <c r="K313" s="3">
        <f t="shared" si="13"/>
        <v>2091373152658.5</v>
      </c>
      <c r="M313" s="4">
        <f t="shared" si="14"/>
        <v>-0.17714516506562195</v>
      </c>
    </row>
    <row r="314" spans="1:13" x14ac:dyDescent="0.45">
      <c r="A314" s="2">
        <v>45511</v>
      </c>
      <c r="B314" s="3">
        <v>1571.7</v>
      </c>
      <c r="D314" s="2">
        <v>45511</v>
      </c>
      <c r="E314" s="3">
        <v>6638.55</v>
      </c>
      <c r="G314" s="3">
        <v>1597100000</v>
      </c>
      <c r="H314" s="3">
        <f t="shared" si="12"/>
        <v>2510162070000</v>
      </c>
      <c r="J314" s="3">
        <v>317816130</v>
      </c>
      <c r="K314" s="3">
        <f t="shared" si="13"/>
        <v>2109838269811.5</v>
      </c>
      <c r="M314" s="4">
        <f t="shared" si="14"/>
        <v>-0.18974146308582518</v>
      </c>
    </row>
    <row r="315" spans="1:13" x14ac:dyDescent="0.45">
      <c r="A315" s="2">
        <v>45510</v>
      </c>
      <c r="B315" s="3">
        <v>1564</v>
      </c>
      <c r="D315" s="2">
        <v>45510</v>
      </c>
      <c r="E315" s="3">
        <v>6540.4</v>
      </c>
      <c r="G315" s="3">
        <v>1597100000</v>
      </c>
      <c r="H315" s="3">
        <f t="shared" si="12"/>
        <v>2497864400000</v>
      </c>
      <c r="J315" s="3">
        <v>317816130</v>
      </c>
      <c r="K315" s="3">
        <f t="shared" si="13"/>
        <v>2078644616652</v>
      </c>
      <c r="M315" s="4">
        <f t="shared" si="14"/>
        <v>-0.20167939242217492</v>
      </c>
    </row>
    <row r="316" spans="1:13" x14ac:dyDescent="0.45">
      <c r="A316" s="2">
        <v>45509</v>
      </c>
      <c r="B316" s="3">
        <v>1567.3</v>
      </c>
      <c r="D316" s="2">
        <v>45509</v>
      </c>
      <c r="E316" s="3">
        <v>6595.15</v>
      </c>
      <c r="G316" s="3">
        <v>1597100000</v>
      </c>
      <c r="H316" s="3">
        <f t="shared" si="12"/>
        <v>2503134830000</v>
      </c>
      <c r="J316" s="3">
        <v>317816130</v>
      </c>
      <c r="K316" s="3">
        <f t="shared" si="13"/>
        <v>2096045049769.5</v>
      </c>
      <c r="M316" s="4">
        <f t="shared" si="14"/>
        <v>-0.19421804902297657</v>
      </c>
    </row>
    <row r="317" spans="1:13" x14ac:dyDescent="0.45">
      <c r="A317" s="2">
        <v>45506</v>
      </c>
      <c r="B317" s="3">
        <v>1624</v>
      </c>
      <c r="D317" s="2">
        <v>45506</v>
      </c>
      <c r="E317" s="3">
        <v>6725.25</v>
      </c>
      <c r="G317" s="3">
        <v>1597100000</v>
      </c>
      <c r="H317" s="3">
        <f t="shared" si="12"/>
        <v>2593690400000</v>
      </c>
      <c r="J317" s="3">
        <v>317816130</v>
      </c>
      <c r="K317" s="3">
        <f t="shared" si="13"/>
        <v>2137392928282.5</v>
      </c>
      <c r="M317" s="4">
        <f t="shared" si="14"/>
        <v>-0.21348319519525938</v>
      </c>
    </row>
    <row r="318" spans="1:13" x14ac:dyDescent="0.45">
      <c r="A318" s="2">
        <v>45505</v>
      </c>
      <c r="B318" s="3">
        <v>1633.8</v>
      </c>
      <c r="D318" s="2">
        <v>45505</v>
      </c>
      <c r="E318" s="3">
        <v>6772.55</v>
      </c>
      <c r="G318" s="3">
        <v>1597100000</v>
      </c>
      <c r="H318" s="3">
        <f t="shared" si="12"/>
        <v>2609341980000</v>
      </c>
      <c r="J318" s="3">
        <v>317816130</v>
      </c>
      <c r="K318" s="3">
        <f t="shared" si="13"/>
        <v>2152425631231.5</v>
      </c>
      <c r="M318" s="4">
        <f t="shared" si="14"/>
        <v>-0.2122797378634993</v>
      </c>
    </row>
    <row r="319" spans="1:13" x14ac:dyDescent="0.45">
      <c r="A319" s="2">
        <v>45504</v>
      </c>
      <c r="B319" s="3">
        <v>1653.3</v>
      </c>
      <c r="D319" s="2">
        <v>45504</v>
      </c>
      <c r="E319" s="3">
        <v>6808.45</v>
      </c>
      <c r="G319" s="3">
        <v>1597100000</v>
      </c>
      <c r="H319" s="3">
        <f t="shared" si="12"/>
        <v>2640485430000</v>
      </c>
      <c r="J319" s="3">
        <v>317816130</v>
      </c>
      <c r="K319" s="3">
        <f t="shared" si="13"/>
        <v>2163835230298.5</v>
      </c>
      <c r="M319" s="4">
        <f t="shared" si="14"/>
        <v>-0.22028026581106475</v>
      </c>
    </row>
    <row r="320" spans="1:13" x14ac:dyDescent="0.45">
      <c r="A320" s="2">
        <v>45503</v>
      </c>
      <c r="B320" s="3">
        <v>1644.4</v>
      </c>
      <c r="D320" s="2">
        <v>45503</v>
      </c>
      <c r="E320" s="3">
        <v>6829.5</v>
      </c>
      <c r="G320" s="3">
        <v>1597100000</v>
      </c>
      <c r="H320" s="3">
        <f t="shared" si="12"/>
        <v>2626271240000</v>
      </c>
      <c r="J320" s="3">
        <v>317816130</v>
      </c>
      <c r="K320" s="3">
        <f t="shared" si="13"/>
        <v>2170525259835</v>
      </c>
      <c r="M320" s="4">
        <f t="shared" si="14"/>
        <v>-0.20997036459259877</v>
      </c>
    </row>
    <row r="321" spans="1:13" x14ac:dyDescent="0.45">
      <c r="A321" s="2">
        <v>45502</v>
      </c>
      <c r="B321" s="3">
        <v>1617.4</v>
      </c>
      <c r="D321" s="2">
        <v>45502</v>
      </c>
      <c r="E321" s="3">
        <v>6812.95</v>
      </c>
      <c r="G321" s="3">
        <v>1597100000</v>
      </c>
      <c r="H321" s="3">
        <f t="shared" si="12"/>
        <v>2583149540000</v>
      </c>
      <c r="J321" s="3">
        <v>317816130</v>
      </c>
      <c r="K321" s="3">
        <f t="shared" si="13"/>
        <v>2165265402883.5</v>
      </c>
      <c r="M321" s="4">
        <f t="shared" si="14"/>
        <v>-0.19299441840247411</v>
      </c>
    </row>
    <row r="322" spans="1:13" x14ac:dyDescent="0.45">
      <c r="A322" s="2">
        <v>45499</v>
      </c>
      <c r="B322" s="3">
        <v>1586.05</v>
      </c>
      <c r="D322" s="2">
        <v>45499</v>
      </c>
      <c r="E322" s="3">
        <v>6789.4</v>
      </c>
      <c r="G322" s="3">
        <v>1597100000</v>
      </c>
      <c r="H322" s="3">
        <f t="shared" si="12"/>
        <v>2533080455000</v>
      </c>
      <c r="J322" s="3">
        <v>317816130</v>
      </c>
      <c r="K322" s="3">
        <f t="shared" si="13"/>
        <v>2157780833022</v>
      </c>
      <c r="M322" s="4">
        <f t="shared" si="14"/>
        <v>-0.17392851777832696</v>
      </c>
    </row>
    <row r="323" spans="1:13" x14ac:dyDescent="0.45">
      <c r="A323" s="2">
        <v>45498</v>
      </c>
      <c r="B323" s="3">
        <v>1571.45</v>
      </c>
      <c r="D323" s="2">
        <v>45498</v>
      </c>
      <c r="E323" s="3">
        <v>6649.1</v>
      </c>
      <c r="G323" s="3">
        <v>1597100000</v>
      </c>
      <c r="H323" s="3">
        <f t="shared" si="12"/>
        <v>2509762795000</v>
      </c>
      <c r="J323" s="3">
        <v>317816130</v>
      </c>
      <c r="K323" s="3">
        <f t="shared" si="13"/>
        <v>2113191229983</v>
      </c>
      <c r="M323" s="4">
        <f t="shared" si="14"/>
        <v>-0.18766477893256739</v>
      </c>
    </row>
    <row r="324" spans="1:13" x14ac:dyDescent="0.45">
      <c r="A324" s="2">
        <v>45497</v>
      </c>
      <c r="B324" s="3">
        <v>1578.45</v>
      </c>
      <c r="D324" s="2">
        <v>45497</v>
      </c>
      <c r="E324" s="3">
        <v>6610.1</v>
      </c>
      <c r="G324" s="3">
        <v>1597100000</v>
      </c>
      <c r="H324" s="3">
        <f t="shared" ref="H324:H387" si="15">+G324*B324</f>
        <v>2520942495000</v>
      </c>
      <c r="J324" s="3">
        <v>317816130</v>
      </c>
      <c r="K324" s="3">
        <f t="shared" ref="K324:K387" si="16">+J324*E324</f>
        <v>2100796400913</v>
      </c>
      <c r="M324" s="4">
        <f t="shared" ref="M324:M387" si="17">1- (H324/K324)</f>
        <v>-0.19999372328722842</v>
      </c>
    </row>
    <row r="325" spans="1:13" x14ac:dyDescent="0.45">
      <c r="A325" s="2">
        <v>45496</v>
      </c>
      <c r="B325" s="3">
        <v>1617.8</v>
      </c>
      <c r="D325" s="2">
        <v>45496</v>
      </c>
      <c r="E325" s="3">
        <v>6732.2</v>
      </c>
      <c r="G325" s="3">
        <v>1597100000</v>
      </c>
      <c r="H325" s="3">
        <f t="shared" si="15"/>
        <v>2583788380000</v>
      </c>
      <c r="J325" s="3">
        <v>317816130</v>
      </c>
      <c r="K325" s="3">
        <f t="shared" si="16"/>
        <v>2139601750386</v>
      </c>
      <c r="M325" s="4">
        <f t="shared" si="17"/>
        <v>-0.20760248001006043</v>
      </c>
    </row>
    <row r="326" spans="1:13" x14ac:dyDescent="0.45">
      <c r="A326" s="2">
        <v>45495</v>
      </c>
      <c r="B326" s="3">
        <v>1631.4</v>
      </c>
      <c r="D326" s="2">
        <v>45495</v>
      </c>
      <c r="E326" s="3">
        <v>6882.2</v>
      </c>
      <c r="G326" s="3">
        <v>1597100000</v>
      </c>
      <c r="H326" s="3">
        <f t="shared" si="15"/>
        <v>2605508940000</v>
      </c>
      <c r="J326" s="3">
        <v>317816130</v>
      </c>
      <c r="K326" s="3">
        <f t="shared" si="16"/>
        <v>2187274169886</v>
      </c>
      <c r="M326" s="4">
        <f t="shared" si="17"/>
        <v>-0.19121277792797153</v>
      </c>
    </row>
    <row r="327" spans="1:13" x14ac:dyDescent="0.45">
      <c r="A327" s="2">
        <v>45492</v>
      </c>
      <c r="B327" s="3">
        <v>1639.7</v>
      </c>
      <c r="D327" s="2">
        <v>45492</v>
      </c>
      <c r="E327" s="3">
        <v>6934</v>
      </c>
      <c r="G327" s="3">
        <v>1597100000</v>
      </c>
      <c r="H327" s="3">
        <f t="shared" si="15"/>
        <v>2618764870000</v>
      </c>
      <c r="J327" s="3">
        <v>317816130</v>
      </c>
      <c r="K327" s="3">
        <f t="shared" si="16"/>
        <v>2203737045420</v>
      </c>
      <c r="M327" s="4">
        <f t="shared" si="17"/>
        <v>-0.1883291046191502</v>
      </c>
    </row>
    <row r="328" spans="1:13" x14ac:dyDescent="0.45">
      <c r="A328" s="2">
        <v>45491</v>
      </c>
      <c r="B328" s="3">
        <v>1651.4</v>
      </c>
      <c r="D328" s="2">
        <v>45491</v>
      </c>
      <c r="E328" s="3">
        <v>7107.35</v>
      </c>
      <c r="G328" s="3">
        <v>1597100000</v>
      </c>
      <c r="H328" s="3">
        <f t="shared" si="15"/>
        <v>2637450940000</v>
      </c>
      <c r="J328" s="3">
        <v>317816130</v>
      </c>
      <c r="K328" s="3">
        <f t="shared" si="16"/>
        <v>2258830471555.5</v>
      </c>
      <c r="M328" s="4">
        <f t="shared" si="17"/>
        <v>-0.16761792140326959</v>
      </c>
    </row>
    <row r="329" spans="1:13" x14ac:dyDescent="0.45">
      <c r="A329" s="2">
        <v>45489</v>
      </c>
      <c r="B329" s="3">
        <v>1609.95</v>
      </c>
      <c r="D329" s="2">
        <v>45489</v>
      </c>
      <c r="E329" s="3">
        <v>7066.45</v>
      </c>
      <c r="G329" s="3">
        <v>1597100000</v>
      </c>
      <c r="H329" s="3">
        <f t="shared" si="15"/>
        <v>2571251145000</v>
      </c>
      <c r="J329" s="3">
        <v>317816130</v>
      </c>
      <c r="K329" s="3">
        <f t="shared" si="16"/>
        <v>2245831791838.5</v>
      </c>
      <c r="M329" s="4">
        <f t="shared" si="17"/>
        <v>-0.14489925485252075</v>
      </c>
    </row>
    <row r="330" spans="1:13" x14ac:dyDescent="0.45">
      <c r="A330" s="2">
        <v>45488</v>
      </c>
      <c r="B330" s="3">
        <v>1602.8</v>
      </c>
      <c r="D330" s="2">
        <v>45488</v>
      </c>
      <c r="E330" s="3">
        <v>7062.9</v>
      </c>
      <c r="G330" s="3">
        <v>1597100000</v>
      </c>
      <c r="H330" s="3">
        <f t="shared" si="15"/>
        <v>2559831880000</v>
      </c>
      <c r="J330" s="3">
        <v>317816130</v>
      </c>
      <c r="K330" s="3">
        <f t="shared" si="16"/>
        <v>2244703544577</v>
      </c>
      <c r="M330" s="4">
        <f t="shared" si="17"/>
        <v>-0.14038750737678551</v>
      </c>
    </row>
    <row r="331" spans="1:13" x14ac:dyDescent="0.45">
      <c r="A331" s="2">
        <v>45485</v>
      </c>
      <c r="B331" s="3">
        <v>1597.05</v>
      </c>
      <c r="D331" s="2">
        <v>45485</v>
      </c>
      <c r="E331" s="3">
        <v>7005.35</v>
      </c>
      <c r="G331" s="3">
        <v>1597100000</v>
      </c>
      <c r="H331" s="3">
        <f t="shared" si="15"/>
        <v>2550648555000</v>
      </c>
      <c r="J331" s="3">
        <v>317816130</v>
      </c>
      <c r="K331" s="3">
        <f t="shared" si="16"/>
        <v>2226413226295.5</v>
      </c>
      <c r="M331" s="4">
        <f t="shared" si="17"/>
        <v>-0.14563124440470143</v>
      </c>
    </row>
    <row r="332" spans="1:13" x14ac:dyDescent="0.45">
      <c r="A332" s="2">
        <v>45484</v>
      </c>
      <c r="B332" s="3">
        <v>1588.05</v>
      </c>
      <c r="D332" s="2">
        <v>45484</v>
      </c>
      <c r="E332" s="3">
        <v>6951.4</v>
      </c>
      <c r="G332" s="3">
        <v>1597100000</v>
      </c>
      <c r="H332" s="3">
        <f t="shared" si="15"/>
        <v>2536274655000</v>
      </c>
      <c r="J332" s="3">
        <v>317816130</v>
      </c>
      <c r="K332" s="3">
        <f t="shared" si="16"/>
        <v>2209267046082</v>
      </c>
      <c r="M332" s="4">
        <f t="shared" si="17"/>
        <v>-0.14801633396828517</v>
      </c>
    </row>
    <row r="333" spans="1:13" x14ac:dyDescent="0.45">
      <c r="A333" s="2">
        <v>45483</v>
      </c>
      <c r="B333" s="3">
        <v>1582.6</v>
      </c>
      <c r="D333" s="2">
        <v>45483</v>
      </c>
      <c r="E333" s="3">
        <v>7055.75</v>
      </c>
      <c r="G333" s="3">
        <v>1597100000</v>
      </c>
      <c r="H333" s="3">
        <f t="shared" si="15"/>
        <v>2527570460000</v>
      </c>
      <c r="J333" s="3">
        <v>317816130</v>
      </c>
      <c r="K333" s="3">
        <f t="shared" si="16"/>
        <v>2242431159247.5</v>
      </c>
      <c r="M333" s="4">
        <f t="shared" si="17"/>
        <v>-0.12715632298303636</v>
      </c>
    </row>
    <row r="334" spans="1:13" x14ac:dyDescent="0.45">
      <c r="A334" s="2">
        <v>45482</v>
      </c>
      <c r="B334" s="3">
        <v>1581.6</v>
      </c>
      <c r="D334" s="2">
        <v>45482</v>
      </c>
      <c r="E334" s="3">
        <v>7065.8</v>
      </c>
      <c r="G334" s="3">
        <v>1597100000</v>
      </c>
      <c r="H334" s="3">
        <f t="shared" si="15"/>
        <v>2525973360000</v>
      </c>
      <c r="J334" s="3">
        <v>317816130</v>
      </c>
      <c r="K334" s="3">
        <f t="shared" si="16"/>
        <v>2245625211354</v>
      </c>
      <c r="M334" s="4">
        <f t="shared" si="17"/>
        <v>-0.12484191361432218</v>
      </c>
    </row>
    <row r="335" spans="1:13" x14ac:dyDescent="0.45">
      <c r="A335" s="2">
        <v>45481</v>
      </c>
      <c r="B335" s="3">
        <v>1568.15</v>
      </c>
      <c r="D335" s="2">
        <v>45481</v>
      </c>
      <c r="E335" s="3">
        <v>7096.75</v>
      </c>
      <c r="G335" s="3">
        <v>1597100000</v>
      </c>
      <c r="H335" s="3">
        <f t="shared" si="15"/>
        <v>2504492365000</v>
      </c>
      <c r="J335" s="3">
        <v>317816130</v>
      </c>
      <c r="K335" s="3">
        <f t="shared" si="16"/>
        <v>2255461620577.5</v>
      </c>
      <c r="M335" s="4">
        <f t="shared" si="17"/>
        <v>-0.11041231743891822</v>
      </c>
    </row>
    <row r="336" spans="1:13" x14ac:dyDescent="0.45">
      <c r="A336" s="2">
        <v>45478</v>
      </c>
      <c r="B336" s="3">
        <v>1579.8</v>
      </c>
      <c r="D336" s="2">
        <v>45478</v>
      </c>
      <c r="E336" s="3">
        <v>7138.35</v>
      </c>
      <c r="G336" s="3">
        <v>1597100000</v>
      </c>
      <c r="H336" s="3">
        <f t="shared" si="15"/>
        <v>2523098580000</v>
      </c>
      <c r="J336" s="3">
        <v>317816130</v>
      </c>
      <c r="K336" s="3">
        <f t="shared" si="16"/>
        <v>2268682771585.5</v>
      </c>
      <c r="M336" s="4">
        <f t="shared" si="17"/>
        <v>-0.11214252234863942</v>
      </c>
    </row>
    <row r="337" spans="1:13" x14ac:dyDescent="0.45">
      <c r="A337" s="2">
        <v>45477</v>
      </c>
      <c r="B337" s="3">
        <v>1583.5</v>
      </c>
      <c r="D337" s="2">
        <v>45477</v>
      </c>
      <c r="E337" s="3">
        <v>7108.6</v>
      </c>
      <c r="G337" s="3">
        <v>1597100000</v>
      </c>
      <c r="H337" s="3">
        <f t="shared" si="15"/>
        <v>2529007850000</v>
      </c>
      <c r="J337" s="3">
        <v>317816130</v>
      </c>
      <c r="K337" s="3">
        <f t="shared" si="16"/>
        <v>2259227741718</v>
      </c>
      <c r="M337" s="4">
        <f t="shared" si="17"/>
        <v>-0.11941253345129743</v>
      </c>
    </row>
    <row r="338" spans="1:13" x14ac:dyDescent="0.45">
      <c r="A338" s="2">
        <v>45476</v>
      </c>
      <c r="B338" s="3">
        <v>1594.6</v>
      </c>
      <c r="D338" s="2">
        <v>45476</v>
      </c>
      <c r="E338" s="3">
        <v>7251.8</v>
      </c>
      <c r="G338" s="3">
        <v>1597100000</v>
      </c>
      <c r="H338" s="3">
        <f t="shared" si="15"/>
        <v>2546735660000</v>
      </c>
      <c r="J338" s="3">
        <v>317816130</v>
      </c>
      <c r="K338" s="3">
        <f t="shared" si="16"/>
        <v>2304739011534</v>
      </c>
      <c r="M338" s="4">
        <f t="shared" si="17"/>
        <v>-0.10499958878421145</v>
      </c>
    </row>
    <row r="339" spans="1:13" x14ac:dyDescent="0.45">
      <c r="A339" s="2">
        <v>45475</v>
      </c>
      <c r="B339" s="3">
        <v>1579.9</v>
      </c>
      <c r="D339" s="2">
        <v>45475</v>
      </c>
      <c r="E339" s="3">
        <v>7162.55</v>
      </c>
      <c r="G339" s="3">
        <v>1597100000</v>
      </c>
      <c r="H339" s="3">
        <f t="shared" si="15"/>
        <v>2523258290000</v>
      </c>
      <c r="J339" s="3">
        <v>317816130</v>
      </c>
      <c r="K339" s="3">
        <f t="shared" si="16"/>
        <v>2276373921931.5</v>
      </c>
      <c r="M339" s="4">
        <f t="shared" si="17"/>
        <v>-0.10845510295558958</v>
      </c>
    </row>
    <row r="340" spans="1:13" x14ac:dyDescent="0.45">
      <c r="A340" s="2">
        <v>45474</v>
      </c>
      <c r="B340" s="3">
        <v>1580.05</v>
      </c>
      <c r="D340" s="2">
        <v>45474</v>
      </c>
      <c r="E340" s="3">
        <v>7274.8</v>
      </c>
      <c r="G340" s="3">
        <v>1597100000</v>
      </c>
      <c r="H340" s="3">
        <f t="shared" si="15"/>
        <v>2523497855000</v>
      </c>
      <c r="J340" s="3">
        <v>317816130</v>
      </c>
      <c r="K340" s="3">
        <f t="shared" si="16"/>
        <v>2312048782524</v>
      </c>
      <c r="M340" s="4">
        <f t="shared" si="17"/>
        <v>-9.1455281598845417E-2</v>
      </c>
    </row>
    <row r="341" spans="1:13" x14ac:dyDescent="0.45">
      <c r="A341" s="2">
        <v>45471</v>
      </c>
      <c r="B341" s="3">
        <v>1587.8</v>
      </c>
      <c r="D341" s="2">
        <v>45471</v>
      </c>
      <c r="E341" s="3">
        <v>7115.75</v>
      </c>
      <c r="G341" s="3">
        <v>1597100000</v>
      </c>
      <c r="H341" s="3">
        <f t="shared" si="15"/>
        <v>2535875380000</v>
      </c>
      <c r="J341" s="3">
        <v>317816130</v>
      </c>
      <c r="K341" s="3">
        <f t="shared" si="16"/>
        <v>2261500127047.5</v>
      </c>
      <c r="M341" s="4">
        <f t="shared" si="17"/>
        <v>-0.12132444728654979</v>
      </c>
    </row>
    <row r="342" spans="1:13" x14ac:dyDescent="0.45">
      <c r="A342" s="2">
        <v>45470</v>
      </c>
      <c r="B342" s="3">
        <v>1602.8</v>
      </c>
      <c r="D342" s="2">
        <v>45470</v>
      </c>
      <c r="E342" s="3">
        <v>7169.2</v>
      </c>
      <c r="G342" s="3">
        <v>1597100000</v>
      </c>
      <c r="H342" s="3">
        <f t="shared" si="15"/>
        <v>2559831880000</v>
      </c>
      <c r="J342" s="3">
        <v>317816130</v>
      </c>
      <c r="K342" s="3">
        <f t="shared" si="16"/>
        <v>2278487399196</v>
      </c>
      <c r="M342" s="4">
        <f t="shared" si="17"/>
        <v>-0.12347862046692759</v>
      </c>
    </row>
    <row r="343" spans="1:13" x14ac:dyDescent="0.45">
      <c r="A343" s="2">
        <v>45469</v>
      </c>
      <c r="B343" s="3">
        <v>1600.85</v>
      </c>
      <c r="D343" s="2">
        <v>45469</v>
      </c>
      <c r="E343" s="3">
        <v>7156.35</v>
      </c>
      <c r="G343" s="3">
        <v>1597100000</v>
      </c>
      <c r="H343" s="3">
        <f t="shared" si="15"/>
        <v>2556717535000</v>
      </c>
      <c r="J343" s="3">
        <v>317816130</v>
      </c>
      <c r="K343" s="3">
        <f t="shared" si="16"/>
        <v>2274403461925.5</v>
      </c>
      <c r="M343" s="4">
        <f t="shared" si="17"/>
        <v>-0.12412664586585453</v>
      </c>
    </row>
    <row r="344" spans="1:13" x14ac:dyDescent="0.45">
      <c r="A344" s="2">
        <v>45468</v>
      </c>
      <c r="B344" s="3">
        <v>1602.8</v>
      </c>
      <c r="D344" s="2">
        <v>45468</v>
      </c>
      <c r="E344" s="3">
        <v>7077.75</v>
      </c>
      <c r="G344" s="3">
        <v>1597100000</v>
      </c>
      <c r="H344" s="3">
        <f t="shared" si="15"/>
        <v>2559831880000</v>
      </c>
      <c r="J344" s="3">
        <v>317816130</v>
      </c>
      <c r="K344" s="3">
        <f t="shared" si="16"/>
        <v>2249423114107.5</v>
      </c>
      <c r="M344" s="4">
        <f t="shared" si="17"/>
        <v>-0.13799483251760769</v>
      </c>
    </row>
    <row r="345" spans="1:13" x14ac:dyDescent="0.45">
      <c r="A345" s="2">
        <v>45467</v>
      </c>
      <c r="B345" s="3">
        <v>1587.2</v>
      </c>
      <c r="D345" s="2">
        <v>45467</v>
      </c>
      <c r="E345" s="3">
        <v>7080.4</v>
      </c>
      <c r="G345" s="3">
        <v>1597100000</v>
      </c>
      <c r="H345" s="3">
        <f t="shared" si="15"/>
        <v>2534917120000</v>
      </c>
      <c r="J345" s="3">
        <v>317816130</v>
      </c>
      <c r="K345" s="3">
        <f t="shared" si="16"/>
        <v>2250265326852</v>
      </c>
      <c r="M345" s="4">
        <f t="shared" si="17"/>
        <v>-0.12649699115535529</v>
      </c>
    </row>
    <row r="346" spans="1:13" x14ac:dyDescent="0.45">
      <c r="A346" s="2">
        <v>45464</v>
      </c>
      <c r="B346" s="3">
        <v>1579</v>
      </c>
      <c r="D346" s="2">
        <v>45464</v>
      </c>
      <c r="E346" s="3">
        <v>7132</v>
      </c>
      <c r="G346" s="3">
        <v>1597100000</v>
      </c>
      <c r="H346" s="3">
        <f t="shared" si="15"/>
        <v>2521820900000</v>
      </c>
      <c r="J346" s="3">
        <v>317816130</v>
      </c>
      <c r="K346" s="3">
        <f t="shared" si="16"/>
        <v>2266664639160</v>
      </c>
      <c r="M346" s="4">
        <f t="shared" si="17"/>
        <v>-0.11256903929756357</v>
      </c>
    </row>
    <row r="347" spans="1:13" x14ac:dyDescent="0.45">
      <c r="A347" s="2">
        <v>45463</v>
      </c>
      <c r="B347" s="3">
        <v>1586.25</v>
      </c>
      <c r="D347" s="2">
        <v>45463</v>
      </c>
      <c r="E347" s="3">
        <v>7208.85</v>
      </c>
      <c r="G347" s="3">
        <v>1597100000</v>
      </c>
      <c r="H347" s="3">
        <f t="shared" si="15"/>
        <v>2533399875000</v>
      </c>
      <c r="J347" s="3">
        <v>317816130</v>
      </c>
      <c r="K347" s="3">
        <f t="shared" si="16"/>
        <v>2291088808750.5</v>
      </c>
      <c r="M347" s="4">
        <f t="shared" si="17"/>
        <v>-0.10576240664439807</v>
      </c>
    </row>
    <row r="348" spans="1:13" x14ac:dyDescent="0.45">
      <c r="A348" s="2">
        <v>45462</v>
      </c>
      <c r="B348" s="3">
        <v>1594.7</v>
      </c>
      <c r="D348" s="2">
        <v>45462</v>
      </c>
      <c r="E348" s="3">
        <v>7232.45</v>
      </c>
      <c r="G348" s="3">
        <v>1597100000</v>
      </c>
      <c r="H348" s="3">
        <f t="shared" si="15"/>
        <v>2546895370000</v>
      </c>
      <c r="J348" s="3">
        <v>317816130</v>
      </c>
      <c r="K348" s="3">
        <f t="shared" si="16"/>
        <v>2298589269418.5</v>
      </c>
      <c r="M348" s="4">
        <f t="shared" si="17"/>
        <v>-0.10802543276655796</v>
      </c>
    </row>
    <row r="349" spans="1:13" x14ac:dyDescent="0.45">
      <c r="A349" s="2">
        <v>45461</v>
      </c>
      <c r="B349" s="3">
        <v>1598.8</v>
      </c>
      <c r="D349" s="2">
        <v>45461</v>
      </c>
      <c r="E349" s="3">
        <v>7331.25</v>
      </c>
      <c r="G349" s="3">
        <v>1597100000</v>
      </c>
      <c r="H349" s="3">
        <f t="shared" si="15"/>
        <v>2553443480000</v>
      </c>
      <c r="J349" s="3">
        <v>317816130</v>
      </c>
      <c r="K349" s="3">
        <f t="shared" si="16"/>
        <v>2329989503062.5</v>
      </c>
      <c r="M349" s="4">
        <f t="shared" si="17"/>
        <v>-9.5903426450546503E-2</v>
      </c>
    </row>
    <row r="350" spans="1:13" x14ac:dyDescent="0.45">
      <c r="A350" s="2">
        <v>45457</v>
      </c>
      <c r="B350" s="3">
        <v>1592.4</v>
      </c>
      <c r="D350" s="2">
        <v>45457</v>
      </c>
      <c r="E350" s="3">
        <v>7340.75</v>
      </c>
      <c r="G350" s="3">
        <v>1597100000</v>
      </c>
      <c r="H350" s="3">
        <f t="shared" si="15"/>
        <v>2543222040000</v>
      </c>
      <c r="J350" s="3">
        <v>317816130</v>
      </c>
      <c r="K350" s="3">
        <f t="shared" si="16"/>
        <v>2333008756297.5</v>
      </c>
      <c r="M350" s="4">
        <f t="shared" si="17"/>
        <v>-9.0103941159702217E-2</v>
      </c>
    </row>
    <row r="351" spans="1:13" x14ac:dyDescent="0.45">
      <c r="A351" s="2">
        <v>45456</v>
      </c>
      <c r="B351" s="3">
        <v>1590.15</v>
      </c>
      <c r="D351" s="2">
        <v>45456</v>
      </c>
      <c r="E351" s="3">
        <v>7292.05</v>
      </c>
      <c r="G351" s="3">
        <v>1597100000</v>
      </c>
      <c r="H351" s="3">
        <f t="shared" si="15"/>
        <v>2539628565000</v>
      </c>
      <c r="J351" s="3">
        <v>317816130</v>
      </c>
      <c r="K351" s="3">
        <f t="shared" si="16"/>
        <v>2317531110766.5</v>
      </c>
      <c r="M351" s="4">
        <f t="shared" si="17"/>
        <v>-9.5833645210503082E-2</v>
      </c>
    </row>
    <row r="352" spans="1:13" x14ac:dyDescent="0.45">
      <c r="A352" s="2">
        <v>45455</v>
      </c>
      <c r="B352" s="3">
        <v>1579.4</v>
      </c>
      <c r="D352" s="2">
        <v>45455</v>
      </c>
      <c r="E352" s="3">
        <v>7219.8</v>
      </c>
      <c r="G352" s="3">
        <v>1597100000</v>
      </c>
      <c r="H352" s="3">
        <f t="shared" si="15"/>
        <v>2522459740000</v>
      </c>
      <c r="J352" s="3">
        <v>317816130</v>
      </c>
      <c r="K352" s="3">
        <f t="shared" si="16"/>
        <v>2294568895374</v>
      </c>
      <c r="M352" s="4">
        <f t="shared" si="17"/>
        <v>-9.9317499285134891E-2</v>
      </c>
    </row>
    <row r="353" spans="1:13" x14ac:dyDescent="0.45">
      <c r="A353" s="2">
        <v>45454</v>
      </c>
      <c r="B353" s="3">
        <v>1568.25</v>
      </c>
      <c r="D353" s="2">
        <v>45454</v>
      </c>
      <c r="E353" s="3">
        <v>7135</v>
      </c>
      <c r="G353" s="3">
        <v>1597100000</v>
      </c>
      <c r="H353" s="3">
        <f t="shared" si="15"/>
        <v>2504652075000</v>
      </c>
      <c r="J353" s="3">
        <v>317816130</v>
      </c>
      <c r="K353" s="3">
        <f t="shared" si="16"/>
        <v>2267618087550</v>
      </c>
      <c r="M353" s="4">
        <f t="shared" si="17"/>
        <v>-0.10452994212358679</v>
      </c>
    </row>
    <row r="354" spans="1:13" x14ac:dyDescent="0.45">
      <c r="A354" s="2">
        <v>45453</v>
      </c>
      <c r="B354" s="3">
        <v>1565.05</v>
      </c>
      <c r="D354" s="2">
        <v>45453</v>
      </c>
      <c r="E354" s="3">
        <v>7088.05</v>
      </c>
      <c r="G354" s="3">
        <v>1597100000</v>
      </c>
      <c r="H354" s="3">
        <f t="shared" si="15"/>
        <v>2499541355000</v>
      </c>
      <c r="J354" s="3">
        <v>317816130</v>
      </c>
      <c r="K354" s="3">
        <f t="shared" si="16"/>
        <v>2252696620246.5</v>
      </c>
      <c r="M354" s="4">
        <f t="shared" si="17"/>
        <v>-0.1095774426680185</v>
      </c>
    </row>
    <row r="355" spans="1:13" x14ac:dyDescent="0.45">
      <c r="A355" s="2">
        <v>45450</v>
      </c>
      <c r="B355" s="3">
        <v>1564.7</v>
      </c>
      <c r="D355" s="2">
        <v>45450</v>
      </c>
      <c r="E355" s="3">
        <v>7190.15</v>
      </c>
      <c r="G355" s="3">
        <v>1597100000</v>
      </c>
      <c r="H355" s="3">
        <f t="shared" si="15"/>
        <v>2498982370000</v>
      </c>
      <c r="J355" s="3">
        <v>317816130</v>
      </c>
      <c r="K355" s="3">
        <f t="shared" si="16"/>
        <v>2285145647119.5</v>
      </c>
      <c r="M355" s="4">
        <f t="shared" si="17"/>
        <v>-9.3576846250499557E-2</v>
      </c>
    </row>
    <row r="356" spans="1:13" x14ac:dyDescent="0.45">
      <c r="A356" s="2">
        <v>45449</v>
      </c>
      <c r="B356" s="3">
        <v>1526.45</v>
      </c>
      <c r="D356" s="2">
        <v>45449</v>
      </c>
      <c r="E356" s="3">
        <v>6923.25</v>
      </c>
      <c r="G356" s="3">
        <v>1597100000</v>
      </c>
      <c r="H356" s="3">
        <f t="shared" si="15"/>
        <v>2437893295000</v>
      </c>
      <c r="J356" s="3">
        <v>317816130</v>
      </c>
      <c r="K356" s="3">
        <f t="shared" si="16"/>
        <v>2200320522022.5</v>
      </c>
      <c r="M356" s="4">
        <f t="shared" si="17"/>
        <v>-0.10797189345810709</v>
      </c>
    </row>
    <row r="357" spans="1:13" x14ac:dyDescent="0.45">
      <c r="A357" s="2">
        <v>45448</v>
      </c>
      <c r="B357" s="3">
        <v>1518.2</v>
      </c>
      <c r="D357" s="2">
        <v>45448</v>
      </c>
      <c r="E357" s="3">
        <v>6840.1</v>
      </c>
      <c r="G357" s="3">
        <v>1597100000</v>
      </c>
      <c r="H357" s="3">
        <f t="shared" si="15"/>
        <v>2424717220000</v>
      </c>
      <c r="J357" s="3">
        <v>317816130</v>
      </c>
      <c r="K357" s="3">
        <f t="shared" si="16"/>
        <v>2173894110813</v>
      </c>
      <c r="M357" s="4">
        <f t="shared" si="17"/>
        <v>-0.11537963507026405</v>
      </c>
    </row>
    <row r="358" spans="1:13" x14ac:dyDescent="0.45">
      <c r="A358" s="2">
        <v>45447</v>
      </c>
      <c r="B358" s="3">
        <v>1478.65</v>
      </c>
      <c r="D358" s="2">
        <v>45447</v>
      </c>
      <c r="E358" s="3">
        <v>6508.4</v>
      </c>
      <c r="G358" s="3">
        <v>1597100000</v>
      </c>
      <c r="H358" s="3">
        <f t="shared" si="15"/>
        <v>2361551915000</v>
      </c>
      <c r="J358" s="3">
        <v>317816130</v>
      </c>
      <c r="K358" s="3">
        <f t="shared" si="16"/>
        <v>2068474500492</v>
      </c>
      <c r="M358" s="4">
        <f t="shared" si="17"/>
        <v>-0.1416877096808733</v>
      </c>
    </row>
    <row r="359" spans="1:13" x14ac:dyDescent="0.45">
      <c r="A359" s="2">
        <v>45446</v>
      </c>
      <c r="B359" s="3">
        <v>1575.85</v>
      </c>
      <c r="D359" s="2">
        <v>45446</v>
      </c>
      <c r="E359" s="3">
        <v>6917.6</v>
      </c>
      <c r="G359" s="3">
        <v>1597100000</v>
      </c>
      <c r="H359" s="3">
        <f t="shared" si="15"/>
        <v>2516790035000</v>
      </c>
      <c r="J359" s="3">
        <v>317816130</v>
      </c>
      <c r="K359" s="3">
        <f t="shared" si="16"/>
        <v>2198524860888</v>
      </c>
      <c r="M359" s="4">
        <f t="shared" si="17"/>
        <v>-0.14476305443434945</v>
      </c>
    </row>
    <row r="360" spans="1:13" x14ac:dyDescent="0.45">
      <c r="A360" s="2">
        <v>45443</v>
      </c>
      <c r="B360" s="3">
        <v>1528.45</v>
      </c>
      <c r="D360" s="2">
        <v>45443</v>
      </c>
      <c r="E360" s="3">
        <v>6702.5</v>
      </c>
      <c r="G360" s="3">
        <v>1597100000</v>
      </c>
      <c r="H360" s="3">
        <f t="shared" si="15"/>
        <v>2441087495000</v>
      </c>
      <c r="J360" s="3">
        <v>317816130</v>
      </c>
      <c r="K360" s="3">
        <f t="shared" si="16"/>
        <v>2130162611325</v>
      </c>
      <c r="M360" s="4">
        <f t="shared" si="17"/>
        <v>-0.14596298048889289</v>
      </c>
    </row>
    <row r="361" spans="1:13" x14ac:dyDescent="0.45">
      <c r="A361" s="2">
        <v>45442</v>
      </c>
      <c r="B361" s="3">
        <v>1524.15</v>
      </c>
      <c r="D361" s="2">
        <v>45442</v>
      </c>
      <c r="E361" s="3">
        <v>6615.45</v>
      </c>
      <c r="G361" s="3">
        <v>1597100000</v>
      </c>
      <c r="H361" s="3">
        <f t="shared" si="15"/>
        <v>2434219965000</v>
      </c>
      <c r="J361" s="3">
        <v>317816130</v>
      </c>
      <c r="K361" s="3">
        <f t="shared" si="16"/>
        <v>2102496717208.5</v>
      </c>
      <c r="M361" s="4">
        <f t="shared" si="17"/>
        <v>-0.15777586955376144</v>
      </c>
    </row>
    <row r="362" spans="1:13" x14ac:dyDescent="0.45">
      <c r="A362" s="2">
        <v>45441</v>
      </c>
      <c r="B362" s="3">
        <v>1569.8</v>
      </c>
      <c r="D362" s="2">
        <v>45441</v>
      </c>
      <c r="E362" s="3">
        <v>6810.2</v>
      </c>
      <c r="G362" s="3">
        <v>1597100000</v>
      </c>
      <c r="H362" s="3">
        <f t="shared" si="15"/>
        <v>2507127580000</v>
      </c>
      <c r="J362" s="3">
        <v>317816130</v>
      </c>
      <c r="K362" s="3">
        <f t="shared" si="16"/>
        <v>2164391408526</v>
      </c>
      <c r="M362" s="4">
        <f t="shared" si="17"/>
        <v>-0.15835221398675348</v>
      </c>
    </row>
    <row r="363" spans="1:13" x14ac:dyDescent="0.45">
      <c r="A363" s="2">
        <v>45440</v>
      </c>
      <c r="B363" s="3">
        <v>1600</v>
      </c>
      <c r="D363" s="2">
        <v>45440</v>
      </c>
      <c r="E363" s="3">
        <v>6874.5</v>
      </c>
      <c r="G363" s="3">
        <v>1597100000</v>
      </c>
      <c r="H363" s="3">
        <f t="shared" si="15"/>
        <v>2555360000000</v>
      </c>
      <c r="J363" s="3">
        <v>317816130</v>
      </c>
      <c r="K363" s="3">
        <f t="shared" si="16"/>
        <v>2184826985685</v>
      </c>
      <c r="M363" s="4">
        <f t="shared" si="17"/>
        <v>-0.16959375581807379</v>
      </c>
    </row>
    <row r="364" spans="1:13" x14ac:dyDescent="0.45">
      <c r="A364" s="2">
        <v>45439</v>
      </c>
      <c r="B364" s="3">
        <v>1595.05</v>
      </c>
      <c r="D364" s="2">
        <v>45439</v>
      </c>
      <c r="E364" s="3">
        <v>6893.85</v>
      </c>
      <c r="G364" s="3">
        <v>1597100000</v>
      </c>
      <c r="H364" s="3">
        <f t="shared" si="15"/>
        <v>2547454355000</v>
      </c>
      <c r="J364" s="3">
        <v>317816130</v>
      </c>
      <c r="K364" s="3">
        <f t="shared" si="16"/>
        <v>2190976727800.5</v>
      </c>
      <c r="M364" s="4">
        <f t="shared" si="17"/>
        <v>-0.16270260778048717</v>
      </c>
    </row>
    <row r="365" spans="1:13" x14ac:dyDescent="0.45">
      <c r="A365" s="2">
        <v>45436</v>
      </c>
      <c r="B365" s="3">
        <v>1601.25</v>
      </c>
      <c r="D365" s="2">
        <v>45436</v>
      </c>
      <c r="E365" s="3">
        <v>6838.25</v>
      </c>
      <c r="G365" s="3">
        <v>1597100000</v>
      </c>
      <c r="H365" s="3">
        <f t="shared" si="15"/>
        <v>2557356375000</v>
      </c>
      <c r="J365" s="3">
        <v>317816130</v>
      </c>
      <c r="K365" s="3">
        <f t="shared" si="16"/>
        <v>2173306150972.5</v>
      </c>
      <c r="M365" s="4">
        <f t="shared" si="17"/>
        <v>-0.17671243596105746</v>
      </c>
    </row>
    <row r="366" spans="1:13" x14ac:dyDescent="0.45">
      <c r="A366" s="2">
        <v>45435</v>
      </c>
      <c r="B366" s="3">
        <v>1608.55</v>
      </c>
      <c r="D366" s="2">
        <v>45435</v>
      </c>
      <c r="E366" s="3">
        <v>6826.25</v>
      </c>
      <c r="G366" s="3">
        <v>1597100000</v>
      </c>
      <c r="H366" s="3">
        <f t="shared" si="15"/>
        <v>2569015205000</v>
      </c>
      <c r="J366" s="3">
        <v>317816130</v>
      </c>
      <c r="K366" s="3">
        <f t="shared" si="16"/>
        <v>2169492357412.5</v>
      </c>
      <c r="M366" s="4">
        <f t="shared" si="17"/>
        <v>-0.18415499193737705</v>
      </c>
    </row>
    <row r="367" spans="1:13" x14ac:dyDescent="0.45">
      <c r="A367" s="2">
        <v>45434</v>
      </c>
      <c r="B367" s="3">
        <v>1584.2</v>
      </c>
      <c r="D367" s="2">
        <v>45434</v>
      </c>
      <c r="E367" s="3">
        <v>6747.85</v>
      </c>
      <c r="G367" s="3">
        <v>1597100000</v>
      </c>
      <c r="H367" s="3">
        <f t="shared" si="15"/>
        <v>2530125820000</v>
      </c>
      <c r="J367" s="3">
        <v>317816130</v>
      </c>
      <c r="K367" s="3">
        <f t="shared" si="16"/>
        <v>2144575572820.5</v>
      </c>
      <c r="M367" s="4">
        <f t="shared" si="17"/>
        <v>-0.17977927757166068</v>
      </c>
    </row>
    <row r="368" spans="1:13" x14ac:dyDescent="0.45">
      <c r="A368" s="2">
        <v>45433</v>
      </c>
      <c r="B368" s="3">
        <v>1582.45</v>
      </c>
      <c r="D368" s="2">
        <v>45433</v>
      </c>
      <c r="E368" s="3">
        <v>6748.25</v>
      </c>
      <c r="G368" s="3">
        <v>1597100000</v>
      </c>
      <c r="H368" s="3">
        <f t="shared" si="15"/>
        <v>2527330895000</v>
      </c>
      <c r="J368" s="3">
        <v>317816130</v>
      </c>
      <c r="K368" s="3">
        <f t="shared" si="16"/>
        <v>2144702699272.5</v>
      </c>
      <c r="M368" s="4">
        <f t="shared" si="17"/>
        <v>-0.17840617063488118</v>
      </c>
    </row>
    <row r="369" spans="1:13" x14ac:dyDescent="0.45">
      <c r="A369" s="2">
        <v>45430</v>
      </c>
      <c r="B369" s="3">
        <v>1586.3</v>
      </c>
      <c r="D369" s="2">
        <v>45430</v>
      </c>
      <c r="E369" s="3">
        <v>6735.05</v>
      </c>
      <c r="G369" s="3">
        <v>1597100000</v>
      </c>
      <c r="H369" s="3">
        <f t="shared" si="15"/>
        <v>2533479730000</v>
      </c>
      <c r="J369" s="3">
        <v>317816130</v>
      </c>
      <c r="K369" s="3">
        <f t="shared" si="16"/>
        <v>2140507526356.5</v>
      </c>
      <c r="M369" s="4">
        <f t="shared" si="17"/>
        <v>-0.18358833071351266</v>
      </c>
    </row>
    <row r="370" spans="1:13" x14ac:dyDescent="0.45">
      <c r="A370" s="2">
        <v>45429</v>
      </c>
      <c r="B370" s="3">
        <v>1584.5</v>
      </c>
      <c r="D370" s="2">
        <v>45429</v>
      </c>
      <c r="E370" s="3">
        <v>6728.15</v>
      </c>
      <c r="G370" s="3">
        <v>1597100000</v>
      </c>
      <c r="H370" s="3">
        <f t="shared" si="15"/>
        <v>2530604950000</v>
      </c>
      <c r="J370" s="3">
        <v>317816130</v>
      </c>
      <c r="K370" s="3">
        <f t="shared" si="16"/>
        <v>2138314595059.5</v>
      </c>
      <c r="M370" s="4">
        <f t="shared" si="17"/>
        <v>-0.18345773622219719</v>
      </c>
    </row>
    <row r="371" spans="1:13" x14ac:dyDescent="0.45">
      <c r="A371" s="2">
        <v>45428</v>
      </c>
      <c r="B371" s="3">
        <v>1596.1</v>
      </c>
      <c r="D371" s="2">
        <v>45428</v>
      </c>
      <c r="E371" s="3">
        <v>6745.2</v>
      </c>
      <c r="G371" s="3">
        <v>1597100000</v>
      </c>
      <c r="H371" s="3">
        <f t="shared" si="15"/>
        <v>2549131310000</v>
      </c>
      <c r="J371" s="3">
        <v>317816130</v>
      </c>
      <c r="K371" s="3">
        <f t="shared" si="16"/>
        <v>2143733360076</v>
      </c>
      <c r="M371" s="4">
        <f t="shared" si="17"/>
        <v>-0.18910838328775537</v>
      </c>
    </row>
    <row r="372" spans="1:13" x14ac:dyDescent="0.45">
      <c r="A372" s="2">
        <v>45427</v>
      </c>
      <c r="B372" s="3">
        <v>1569.05</v>
      </c>
      <c r="D372" s="2">
        <v>45427</v>
      </c>
      <c r="E372" s="3">
        <v>6680.75</v>
      </c>
      <c r="G372" s="3">
        <v>1597100000</v>
      </c>
      <c r="H372" s="3">
        <f t="shared" si="15"/>
        <v>2505929755000</v>
      </c>
      <c r="J372" s="3">
        <v>317816130</v>
      </c>
      <c r="K372" s="3">
        <f t="shared" si="16"/>
        <v>2123250110497.5</v>
      </c>
      <c r="M372" s="4">
        <f t="shared" si="17"/>
        <v>-0.18023295635804026</v>
      </c>
    </row>
    <row r="373" spans="1:13" x14ac:dyDescent="0.45">
      <c r="A373" s="2">
        <v>45426</v>
      </c>
      <c r="B373" s="3">
        <v>1575.85</v>
      </c>
      <c r="D373" s="2">
        <v>45426</v>
      </c>
      <c r="E373" s="3">
        <v>6676.95</v>
      </c>
      <c r="G373" s="3">
        <v>1597100000</v>
      </c>
      <c r="H373" s="3">
        <f t="shared" si="15"/>
        <v>2516790035000</v>
      </c>
      <c r="J373" s="3">
        <v>317816130</v>
      </c>
      <c r="K373" s="3">
        <f t="shared" si="16"/>
        <v>2122042409203.5</v>
      </c>
      <c r="M373" s="4">
        <f t="shared" si="17"/>
        <v>-0.18602249610301946</v>
      </c>
    </row>
    <row r="374" spans="1:13" x14ac:dyDescent="0.45">
      <c r="A374" s="2">
        <v>45425</v>
      </c>
      <c r="B374" s="3">
        <v>1580.85</v>
      </c>
      <c r="D374" s="2">
        <v>45425</v>
      </c>
      <c r="E374" s="3">
        <v>6715.4</v>
      </c>
      <c r="G374" s="3">
        <v>1597100000</v>
      </c>
      <c r="H374" s="3">
        <f t="shared" si="15"/>
        <v>2524775535000</v>
      </c>
      <c r="J374" s="3">
        <v>317816130</v>
      </c>
      <c r="K374" s="3">
        <f t="shared" si="16"/>
        <v>2134262439402</v>
      </c>
      <c r="M374" s="4">
        <f t="shared" si="17"/>
        <v>-0.18297332529893473</v>
      </c>
    </row>
    <row r="375" spans="1:13" x14ac:dyDescent="0.45">
      <c r="A375" s="2">
        <v>45422</v>
      </c>
      <c r="B375" s="3">
        <v>1573.25</v>
      </c>
      <c r="D375" s="2">
        <v>45422</v>
      </c>
      <c r="E375" s="3">
        <v>6685.3</v>
      </c>
      <c r="G375" s="3">
        <v>1597100000</v>
      </c>
      <c r="H375" s="3">
        <f t="shared" si="15"/>
        <v>2512637575000</v>
      </c>
      <c r="J375" s="3">
        <v>317816130</v>
      </c>
      <c r="K375" s="3">
        <f t="shared" si="16"/>
        <v>2124696173889</v>
      </c>
      <c r="M375" s="4">
        <f t="shared" si="17"/>
        <v>-0.18258676505305704</v>
      </c>
    </row>
    <row r="376" spans="1:13" x14ac:dyDescent="0.45">
      <c r="A376" s="2">
        <v>45421</v>
      </c>
      <c r="B376" s="3">
        <v>1563.1</v>
      </c>
      <c r="D376" s="2">
        <v>45421</v>
      </c>
      <c r="E376" s="3">
        <v>6605.45</v>
      </c>
      <c r="G376" s="3">
        <v>1597100000</v>
      </c>
      <c r="H376" s="3">
        <f t="shared" si="15"/>
        <v>2496427010000</v>
      </c>
      <c r="J376" s="3">
        <v>317816130</v>
      </c>
      <c r="K376" s="3">
        <f t="shared" si="16"/>
        <v>2099318555908.5</v>
      </c>
      <c r="M376" s="4">
        <f t="shared" si="17"/>
        <v>-0.18916064595048909</v>
      </c>
    </row>
    <row r="377" spans="1:13" x14ac:dyDescent="0.45">
      <c r="A377" s="2">
        <v>45420</v>
      </c>
      <c r="B377" s="3">
        <v>1602.7</v>
      </c>
      <c r="D377" s="2">
        <v>45420</v>
      </c>
      <c r="E377" s="3">
        <v>6800.2</v>
      </c>
      <c r="G377" s="3">
        <v>1597100000</v>
      </c>
      <c r="H377" s="3">
        <f t="shared" si="15"/>
        <v>2559672170000</v>
      </c>
      <c r="J377" s="3">
        <v>317816130</v>
      </c>
      <c r="K377" s="3">
        <f t="shared" si="16"/>
        <v>2161213247226</v>
      </c>
      <c r="M377" s="4">
        <f t="shared" si="17"/>
        <v>-0.18436816602222716</v>
      </c>
    </row>
    <row r="378" spans="1:13" x14ac:dyDescent="0.45">
      <c r="A378" s="2">
        <v>45419</v>
      </c>
      <c r="B378" s="3">
        <v>1614.45</v>
      </c>
      <c r="D378" s="2">
        <v>45419</v>
      </c>
      <c r="E378" s="3">
        <v>6872.5</v>
      </c>
      <c r="G378" s="3">
        <v>1597100000</v>
      </c>
      <c r="H378" s="3">
        <f t="shared" si="15"/>
        <v>2578438095000</v>
      </c>
      <c r="J378" s="3">
        <v>317816130</v>
      </c>
      <c r="K378" s="3">
        <f t="shared" si="16"/>
        <v>2184191353425</v>
      </c>
      <c r="M378" s="4">
        <f t="shared" si="17"/>
        <v>-0.18050009261175171</v>
      </c>
    </row>
    <row r="379" spans="1:13" x14ac:dyDescent="0.45">
      <c r="A379" s="2">
        <v>45418</v>
      </c>
      <c r="B379" s="3">
        <v>1611.55</v>
      </c>
      <c r="D379" s="2">
        <v>45418</v>
      </c>
      <c r="E379" s="3">
        <v>6861.05</v>
      </c>
      <c r="G379" s="3">
        <v>1597100000</v>
      </c>
      <c r="H379" s="3">
        <f t="shared" si="15"/>
        <v>2573806505000</v>
      </c>
      <c r="J379" s="3">
        <v>317816130</v>
      </c>
      <c r="K379" s="3">
        <f t="shared" si="16"/>
        <v>2180552358736.5</v>
      </c>
      <c r="M379" s="4">
        <f t="shared" si="17"/>
        <v>-0.18034611491345576</v>
      </c>
    </row>
    <row r="380" spans="1:13" x14ac:dyDescent="0.45">
      <c r="A380" s="2">
        <v>45415</v>
      </c>
      <c r="B380" s="3">
        <v>1627.1</v>
      </c>
      <c r="D380" s="2">
        <v>45415</v>
      </c>
      <c r="E380" s="3">
        <v>6932.8</v>
      </c>
      <c r="G380" s="3">
        <v>1597100000</v>
      </c>
      <c r="H380" s="3">
        <f t="shared" si="15"/>
        <v>2598641410000</v>
      </c>
      <c r="J380" s="3">
        <v>317816130</v>
      </c>
      <c r="K380" s="3">
        <f t="shared" si="16"/>
        <v>2203355666064</v>
      </c>
      <c r="M380" s="4">
        <f t="shared" si="17"/>
        <v>-0.17940169625093949</v>
      </c>
    </row>
    <row r="381" spans="1:13" x14ac:dyDescent="0.45">
      <c r="A381" s="2">
        <v>45414</v>
      </c>
      <c r="B381" s="3">
        <v>1616</v>
      </c>
      <c r="D381" s="2">
        <v>45414</v>
      </c>
      <c r="E381" s="3">
        <v>6881</v>
      </c>
      <c r="G381" s="3">
        <v>1597100000</v>
      </c>
      <c r="H381" s="3">
        <f t="shared" si="15"/>
        <v>2580913600000</v>
      </c>
      <c r="J381" s="3">
        <v>317816130</v>
      </c>
      <c r="K381" s="3">
        <f t="shared" si="16"/>
        <v>2186892790530</v>
      </c>
      <c r="M381" s="4">
        <f t="shared" si="17"/>
        <v>-0.18017381152667666</v>
      </c>
    </row>
    <row r="382" spans="1:13" x14ac:dyDescent="0.45">
      <c r="A382" s="2">
        <v>45412</v>
      </c>
      <c r="B382" s="3">
        <v>1615.7</v>
      </c>
      <c r="D382" s="2">
        <v>45412</v>
      </c>
      <c r="E382" s="3">
        <v>6931.05</v>
      </c>
      <c r="G382" s="3">
        <v>1597100000</v>
      </c>
      <c r="H382" s="3">
        <f t="shared" si="15"/>
        <v>2580434470000</v>
      </c>
      <c r="J382" s="3">
        <v>317816130</v>
      </c>
      <c r="K382" s="3">
        <f t="shared" si="16"/>
        <v>2202799487836.5</v>
      </c>
      <c r="M382" s="4">
        <f t="shared" si="17"/>
        <v>-0.17143411565543709</v>
      </c>
    </row>
    <row r="383" spans="1:13" x14ac:dyDescent="0.45">
      <c r="A383" s="2">
        <v>45411</v>
      </c>
      <c r="B383" s="3">
        <v>1595.45</v>
      </c>
      <c r="D383" s="2">
        <v>45411</v>
      </c>
      <c r="E383" s="3">
        <v>6827.4</v>
      </c>
      <c r="G383" s="3">
        <v>1597100000</v>
      </c>
      <c r="H383" s="3">
        <f t="shared" si="15"/>
        <v>2548093195000</v>
      </c>
      <c r="J383" s="3">
        <v>317816130</v>
      </c>
      <c r="K383" s="3">
        <f t="shared" si="16"/>
        <v>2169857845962</v>
      </c>
      <c r="M383" s="4">
        <f t="shared" si="17"/>
        <v>-0.17431342322349708</v>
      </c>
    </row>
    <row r="384" spans="1:13" x14ac:dyDescent="0.45">
      <c r="A384" s="2">
        <v>45408</v>
      </c>
      <c r="B384" s="3">
        <v>1597.1</v>
      </c>
      <c r="D384" s="2">
        <v>45408</v>
      </c>
      <c r="E384" s="3">
        <v>6729.85</v>
      </c>
      <c r="G384" s="3">
        <v>1597100000</v>
      </c>
      <c r="H384" s="3">
        <f t="shared" si="15"/>
        <v>2550728410000</v>
      </c>
      <c r="J384" s="3">
        <v>317816130</v>
      </c>
      <c r="K384" s="3">
        <f t="shared" si="16"/>
        <v>2138854882480.5</v>
      </c>
      <c r="M384" s="4">
        <f t="shared" si="17"/>
        <v>-0.1925673082793895</v>
      </c>
    </row>
    <row r="385" spans="1:13" x14ac:dyDescent="0.45">
      <c r="A385" s="2">
        <v>45407</v>
      </c>
      <c r="B385" s="3">
        <v>1655.8</v>
      </c>
      <c r="D385" s="2">
        <v>45407</v>
      </c>
      <c r="E385" s="3">
        <v>7293.9</v>
      </c>
      <c r="G385" s="3">
        <v>1597100000</v>
      </c>
      <c r="H385" s="3">
        <f t="shared" si="15"/>
        <v>2644478180000</v>
      </c>
      <c r="J385" s="3">
        <v>317816130</v>
      </c>
      <c r="K385" s="3">
        <f t="shared" si="16"/>
        <v>2318119070607</v>
      </c>
      <c r="M385" s="4">
        <f t="shared" si="17"/>
        <v>-0.1407861716557739</v>
      </c>
    </row>
    <row r="386" spans="1:13" x14ac:dyDescent="0.45">
      <c r="A386" s="2">
        <v>45406</v>
      </c>
      <c r="B386" s="3">
        <v>1630.45</v>
      </c>
      <c r="D386" s="2">
        <v>45406</v>
      </c>
      <c r="E386" s="3">
        <v>7327.7</v>
      </c>
      <c r="G386" s="3">
        <v>1597100000</v>
      </c>
      <c r="H386" s="3">
        <f t="shared" si="15"/>
        <v>2603991695000</v>
      </c>
      <c r="J386" s="3">
        <v>317816130</v>
      </c>
      <c r="K386" s="3">
        <f t="shared" si="16"/>
        <v>2328861255801</v>
      </c>
      <c r="M386" s="4">
        <f t="shared" si="17"/>
        <v>-0.11813947203324071</v>
      </c>
    </row>
    <row r="387" spans="1:13" x14ac:dyDescent="0.45">
      <c r="A387" s="2">
        <v>45405</v>
      </c>
      <c r="B387" s="3">
        <v>1620.45</v>
      </c>
      <c r="D387" s="2">
        <v>45405</v>
      </c>
      <c r="E387" s="3">
        <v>7259.25</v>
      </c>
      <c r="G387" s="3">
        <v>1597100000</v>
      </c>
      <c r="H387" s="3">
        <f t="shared" si="15"/>
        <v>2588020695000</v>
      </c>
      <c r="J387" s="3">
        <v>317816130</v>
      </c>
      <c r="K387" s="3">
        <f t="shared" si="16"/>
        <v>2307106741702.5</v>
      </c>
      <c r="M387" s="4">
        <f t="shared" si="17"/>
        <v>-0.12176027585537863</v>
      </c>
    </row>
    <row r="388" spans="1:13" x14ac:dyDescent="0.45">
      <c r="A388" s="2">
        <v>45404</v>
      </c>
      <c r="B388" s="3">
        <v>1629.15</v>
      </c>
      <c r="D388" s="2">
        <v>45404</v>
      </c>
      <c r="E388" s="3">
        <v>7290.7</v>
      </c>
      <c r="G388" s="3">
        <v>1597100000</v>
      </c>
      <c r="H388" s="3">
        <f t="shared" ref="H388:H451" si="18">+G388*B388</f>
        <v>2601915465000</v>
      </c>
      <c r="J388" s="3">
        <v>317816130</v>
      </c>
      <c r="K388" s="3">
        <f t="shared" ref="K388:K451" si="19">+J388*E388</f>
        <v>2317102058991</v>
      </c>
      <c r="M388" s="4">
        <f t="shared" ref="M388:M451" si="20">1- (H388/K388)</f>
        <v>-0.12291793747446067</v>
      </c>
    </row>
    <row r="389" spans="1:13" x14ac:dyDescent="0.45">
      <c r="A389" s="2">
        <v>45401</v>
      </c>
      <c r="B389" s="3">
        <v>1618.7</v>
      </c>
      <c r="D389" s="2">
        <v>45401</v>
      </c>
      <c r="E389" s="3">
        <v>7122.3</v>
      </c>
      <c r="G389" s="3">
        <v>1597100000</v>
      </c>
      <c r="H389" s="3">
        <f t="shared" si="18"/>
        <v>2585225770000</v>
      </c>
      <c r="J389" s="3">
        <v>317816130</v>
      </c>
      <c r="K389" s="3">
        <f t="shared" si="19"/>
        <v>2263581822699</v>
      </c>
      <c r="M389" s="4">
        <f t="shared" si="20"/>
        <v>-0.14209512732236251</v>
      </c>
    </row>
    <row r="390" spans="1:13" x14ac:dyDescent="0.45">
      <c r="A390" s="2">
        <v>45400</v>
      </c>
      <c r="B390" s="3">
        <v>1594.25</v>
      </c>
      <c r="D390" s="2">
        <v>45400</v>
      </c>
      <c r="E390" s="3">
        <v>6889.25</v>
      </c>
      <c r="G390" s="3">
        <v>1597100000</v>
      </c>
      <c r="H390" s="3">
        <f t="shared" si="18"/>
        <v>2546176675000</v>
      </c>
      <c r="J390" s="3">
        <v>317816130</v>
      </c>
      <c r="K390" s="3">
        <f t="shared" si="19"/>
        <v>2189514773602.5</v>
      </c>
      <c r="M390" s="4">
        <f t="shared" si="20"/>
        <v>-0.16289540755674792</v>
      </c>
    </row>
    <row r="391" spans="1:13" x14ac:dyDescent="0.45">
      <c r="A391" s="2">
        <v>45398</v>
      </c>
      <c r="B391" s="3">
        <v>1618.55</v>
      </c>
      <c r="D391" s="2">
        <v>45398</v>
      </c>
      <c r="E391" s="3">
        <v>6947.35</v>
      </c>
      <c r="G391" s="3">
        <v>1597100000</v>
      </c>
      <c r="H391" s="3">
        <f t="shared" si="18"/>
        <v>2584986205000</v>
      </c>
      <c r="J391" s="3">
        <v>317816130</v>
      </c>
      <c r="K391" s="3">
        <f t="shared" si="19"/>
        <v>2207979890755.5</v>
      </c>
      <c r="M391" s="4">
        <f t="shared" si="20"/>
        <v>-0.1707471684062758</v>
      </c>
    </row>
    <row r="392" spans="1:13" x14ac:dyDescent="0.45">
      <c r="A392" s="2">
        <v>45397</v>
      </c>
      <c r="B392" s="3">
        <v>1657.3</v>
      </c>
      <c r="D392" s="2">
        <v>45397</v>
      </c>
      <c r="E392" s="3">
        <v>7075</v>
      </c>
      <c r="G392" s="3">
        <v>1597100000</v>
      </c>
      <c r="H392" s="3">
        <f t="shared" si="18"/>
        <v>2646873830000</v>
      </c>
      <c r="J392" s="3">
        <v>317816130</v>
      </c>
      <c r="K392" s="3">
        <f t="shared" si="19"/>
        <v>2248549119750</v>
      </c>
      <c r="M392" s="4">
        <f t="shared" si="20"/>
        <v>-0.17714743554025048</v>
      </c>
    </row>
    <row r="393" spans="1:13" x14ac:dyDescent="0.45">
      <c r="A393" s="2">
        <v>45394</v>
      </c>
      <c r="B393" s="3">
        <v>1698.1</v>
      </c>
      <c r="D393" s="2">
        <v>45394</v>
      </c>
      <c r="E393" s="3">
        <v>7226</v>
      </c>
      <c r="G393" s="3">
        <v>1597100000</v>
      </c>
      <c r="H393" s="3">
        <f t="shared" si="18"/>
        <v>2712035510000</v>
      </c>
      <c r="J393" s="3">
        <v>317816130</v>
      </c>
      <c r="K393" s="3">
        <f t="shared" si="19"/>
        <v>2296539355380</v>
      </c>
      <c r="M393" s="4">
        <f t="shared" si="20"/>
        <v>-0.18092272342149762</v>
      </c>
    </row>
    <row r="394" spans="1:13" x14ac:dyDescent="0.45">
      <c r="A394" s="2">
        <v>45392</v>
      </c>
      <c r="B394" s="3">
        <v>1703.45</v>
      </c>
      <c r="D394" s="2">
        <v>45392</v>
      </c>
      <c r="E394" s="3">
        <v>7229.1</v>
      </c>
      <c r="G394" s="3">
        <v>1597100000</v>
      </c>
      <c r="H394" s="3">
        <f t="shared" si="18"/>
        <v>2720579995000</v>
      </c>
      <c r="J394" s="3">
        <v>317816130</v>
      </c>
      <c r="K394" s="3">
        <f t="shared" si="19"/>
        <v>2297524585383</v>
      </c>
      <c r="M394" s="4">
        <f t="shared" si="20"/>
        <v>-0.18413531341884481</v>
      </c>
    </row>
    <row r="395" spans="1:13" x14ac:dyDescent="0.45">
      <c r="A395" s="2">
        <v>45391</v>
      </c>
      <c r="B395" s="3">
        <v>1709.6</v>
      </c>
      <c r="D395" s="2">
        <v>45391</v>
      </c>
      <c r="E395" s="3">
        <v>7192.9</v>
      </c>
      <c r="G395" s="3">
        <v>1597100000</v>
      </c>
      <c r="H395" s="3">
        <f t="shared" si="18"/>
        <v>2730402160000</v>
      </c>
      <c r="J395" s="3">
        <v>317816130</v>
      </c>
      <c r="K395" s="3">
        <f t="shared" si="19"/>
        <v>2286019641477</v>
      </c>
      <c r="M395" s="4">
        <f t="shared" si="20"/>
        <v>-0.19439138249743304</v>
      </c>
    </row>
    <row r="396" spans="1:13" x14ac:dyDescent="0.45">
      <c r="A396" s="2">
        <v>45390</v>
      </c>
      <c r="B396" s="3">
        <v>1689.7</v>
      </c>
      <c r="D396" s="2">
        <v>45390</v>
      </c>
      <c r="E396" s="3">
        <v>7178.6</v>
      </c>
      <c r="G396" s="3">
        <v>1597100000</v>
      </c>
      <c r="H396" s="3">
        <f t="shared" si="18"/>
        <v>2698619870000</v>
      </c>
      <c r="J396" s="3">
        <v>317816130</v>
      </c>
      <c r="K396" s="3">
        <f t="shared" si="19"/>
        <v>2281474870818</v>
      </c>
      <c r="M396" s="4">
        <f t="shared" si="20"/>
        <v>-0.18284005864699138</v>
      </c>
    </row>
    <row r="397" spans="1:13" x14ac:dyDescent="0.45">
      <c r="A397" s="2">
        <v>45387</v>
      </c>
      <c r="B397" s="3">
        <v>1675.85</v>
      </c>
      <c r="D397" s="2">
        <v>45387</v>
      </c>
      <c r="E397" s="3">
        <v>7175.2</v>
      </c>
      <c r="G397" s="3">
        <v>1597100000</v>
      </c>
      <c r="H397" s="3">
        <f t="shared" si="18"/>
        <v>2676500035000</v>
      </c>
      <c r="J397" s="3">
        <v>317816130</v>
      </c>
      <c r="K397" s="3">
        <f t="shared" si="19"/>
        <v>2280394295976</v>
      </c>
      <c r="M397" s="4">
        <f t="shared" si="20"/>
        <v>-0.17370054806880142</v>
      </c>
    </row>
    <row r="398" spans="1:13" x14ac:dyDescent="0.45">
      <c r="A398" s="2">
        <v>45386</v>
      </c>
      <c r="B398" s="3">
        <v>1655.2</v>
      </c>
      <c r="D398" s="2">
        <v>45386</v>
      </c>
      <c r="E398" s="3">
        <v>7282.2</v>
      </c>
      <c r="G398" s="3">
        <v>1597100000</v>
      </c>
      <c r="H398" s="3">
        <f t="shared" si="18"/>
        <v>2643519920000</v>
      </c>
      <c r="J398" s="3">
        <v>317816130</v>
      </c>
      <c r="K398" s="3">
        <f t="shared" si="19"/>
        <v>2314400621886</v>
      </c>
      <c r="M398" s="4">
        <f t="shared" si="20"/>
        <v>-0.14220498171392704</v>
      </c>
    </row>
    <row r="399" spans="1:13" x14ac:dyDescent="0.45">
      <c r="A399" s="2">
        <v>45385</v>
      </c>
      <c r="B399" s="3">
        <v>1639.75</v>
      </c>
      <c r="D399" s="2">
        <v>45385</v>
      </c>
      <c r="E399" s="3">
        <v>7308.2</v>
      </c>
      <c r="G399" s="3">
        <v>1597100000</v>
      </c>
      <c r="H399" s="3">
        <f t="shared" si="18"/>
        <v>2618844725000</v>
      </c>
      <c r="J399" s="3">
        <v>317816130</v>
      </c>
      <c r="K399" s="3">
        <f t="shared" si="19"/>
        <v>2322663841266</v>
      </c>
      <c r="M399" s="4">
        <f t="shared" si="20"/>
        <v>-0.12751775718545755</v>
      </c>
    </row>
    <row r="400" spans="1:13" x14ac:dyDescent="0.45">
      <c r="A400" s="2">
        <v>45384</v>
      </c>
      <c r="B400" s="3">
        <v>1657.65</v>
      </c>
      <c r="D400" s="2">
        <v>45384</v>
      </c>
      <c r="E400" s="3">
        <v>7207.65</v>
      </c>
      <c r="G400" s="3">
        <v>1597100000</v>
      </c>
      <c r="H400" s="3">
        <f t="shared" si="18"/>
        <v>2647432815000</v>
      </c>
      <c r="J400" s="3">
        <v>317816130</v>
      </c>
      <c r="K400" s="3">
        <f t="shared" si="19"/>
        <v>2290707429394.5</v>
      </c>
      <c r="M400" s="4">
        <f t="shared" si="20"/>
        <v>-0.15572717014315218</v>
      </c>
    </row>
    <row r="401" spans="1:13" x14ac:dyDescent="0.45">
      <c r="A401" s="2">
        <v>45383</v>
      </c>
      <c r="B401" s="3">
        <v>1645.85</v>
      </c>
      <c r="D401" s="2">
        <v>45383</v>
      </c>
      <c r="E401" s="3">
        <v>7249.1</v>
      </c>
      <c r="G401" s="3">
        <v>1597100000</v>
      </c>
      <c r="H401" s="3">
        <f t="shared" si="18"/>
        <v>2628587035000</v>
      </c>
      <c r="J401" s="3">
        <v>317816130</v>
      </c>
      <c r="K401" s="3">
        <f t="shared" si="19"/>
        <v>2303880907983</v>
      </c>
      <c r="M401" s="4">
        <f t="shared" si="20"/>
        <v>-0.14093876375809433</v>
      </c>
    </row>
    <row r="402" spans="1:13" x14ac:dyDescent="0.45">
      <c r="A402" s="2">
        <v>45379</v>
      </c>
      <c r="B402" s="3">
        <v>1643.65</v>
      </c>
      <c r="D402" s="2">
        <v>45379</v>
      </c>
      <c r="E402" s="3">
        <v>7240.35</v>
      </c>
      <c r="G402" s="3">
        <v>1594100000</v>
      </c>
      <c r="H402" s="3">
        <f t="shared" si="18"/>
        <v>2620142465000</v>
      </c>
      <c r="J402" s="3">
        <v>317816130</v>
      </c>
      <c r="K402" s="3">
        <f t="shared" si="19"/>
        <v>2301100016845.5</v>
      </c>
      <c r="M402" s="4">
        <f t="shared" si="20"/>
        <v>-0.1386477970618003</v>
      </c>
    </row>
    <row r="403" spans="1:13" x14ac:dyDescent="0.45">
      <c r="A403" s="2">
        <v>45378</v>
      </c>
      <c r="B403" s="3">
        <v>1581.2</v>
      </c>
      <c r="D403" s="2">
        <v>45378</v>
      </c>
      <c r="E403" s="3">
        <v>7023.2</v>
      </c>
      <c r="G403" s="3">
        <v>1594100000</v>
      </c>
      <c r="H403" s="3">
        <f t="shared" si="18"/>
        <v>2520590920000</v>
      </c>
      <c r="J403" s="3">
        <v>317816130</v>
      </c>
      <c r="K403" s="3">
        <f t="shared" si="19"/>
        <v>2232086244216</v>
      </c>
      <c r="M403" s="4">
        <f t="shared" si="20"/>
        <v>-0.12925337295169559</v>
      </c>
    </row>
    <row r="404" spans="1:13" x14ac:dyDescent="0.45">
      <c r="A404" s="2">
        <v>45377</v>
      </c>
      <c r="B404" s="3">
        <v>1593.35</v>
      </c>
      <c r="D404" s="2">
        <v>45377</v>
      </c>
      <c r="E404" s="3">
        <v>6910.35</v>
      </c>
      <c r="G404" s="3">
        <v>1594100000</v>
      </c>
      <c r="H404" s="3">
        <f t="shared" si="18"/>
        <v>2539959235000</v>
      </c>
      <c r="J404" s="3">
        <v>317816130</v>
      </c>
      <c r="K404" s="3">
        <f t="shared" si="19"/>
        <v>2196220693945.5</v>
      </c>
      <c r="M404" s="4">
        <f t="shared" si="20"/>
        <v>-0.15651366094587482</v>
      </c>
    </row>
    <row r="405" spans="1:13" x14ac:dyDescent="0.45">
      <c r="A405" s="2">
        <v>45373</v>
      </c>
      <c r="B405" s="3">
        <v>1587.4</v>
      </c>
      <c r="D405" s="2">
        <v>45373</v>
      </c>
      <c r="E405" s="3">
        <v>6763.1</v>
      </c>
      <c r="G405" s="3">
        <v>1594100000</v>
      </c>
      <c r="H405" s="3">
        <f t="shared" si="18"/>
        <v>2530474340000</v>
      </c>
      <c r="J405" s="3">
        <v>317816130</v>
      </c>
      <c r="K405" s="3">
        <f t="shared" si="19"/>
        <v>2149422268803</v>
      </c>
      <c r="M405" s="4">
        <f t="shared" si="20"/>
        <v>-0.17728115909453446</v>
      </c>
    </row>
    <row r="406" spans="1:13" x14ac:dyDescent="0.45">
      <c r="A406" s="2">
        <v>45372</v>
      </c>
      <c r="B406" s="3">
        <v>1602.2</v>
      </c>
      <c r="D406" s="2">
        <v>45372</v>
      </c>
      <c r="E406" s="3">
        <v>6715.7</v>
      </c>
      <c r="G406" s="3">
        <v>1594100000</v>
      </c>
      <c r="H406" s="3">
        <f t="shared" si="18"/>
        <v>2554067020000</v>
      </c>
      <c r="J406" s="3">
        <v>317816130</v>
      </c>
      <c r="K406" s="3">
        <f t="shared" si="19"/>
        <v>2134357784241</v>
      </c>
      <c r="M406" s="4">
        <f t="shared" si="20"/>
        <v>-0.19664427344745894</v>
      </c>
    </row>
    <row r="407" spans="1:13" x14ac:dyDescent="0.45">
      <c r="A407" s="2">
        <v>45371</v>
      </c>
      <c r="B407" s="3">
        <v>1584.35</v>
      </c>
      <c r="D407" s="2">
        <v>45371</v>
      </c>
      <c r="E407" s="3">
        <v>6647.05</v>
      </c>
      <c r="G407" s="3">
        <v>1594100000</v>
      </c>
      <c r="H407" s="3">
        <f t="shared" si="18"/>
        <v>2525612335000</v>
      </c>
      <c r="J407" s="3">
        <v>317816130</v>
      </c>
      <c r="K407" s="3">
        <f t="shared" si="19"/>
        <v>2112539706916.5</v>
      </c>
      <c r="M407" s="4">
        <f t="shared" si="20"/>
        <v>-0.19553366345308976</v>
      </c>
    </row>
    <row r="408" spans="1:13" x14ac:dyDescent="0.45">
      <c r="A408" s="2">
        <v>45370</v>
      </c>
      <c r="B408" s="3">
        <v>1581.35</v>
      </c>
      <c r="D408" s="2">
        <v>45370</v>
      </c>
      <c r="E408" s="3">
        <v>6592.25</v>
      </c>
      <c r="G408" s="3">
        <v>1594100000</v>
      </c>
      <c r="H408" s="3">
        <f t="shared" si="18"/>
        <v>2520830035000</v>
      </c>
      <c r="J408" s="3">
        <v>317816130</v>
      </c>
      <c r="K408" s="3">
        <f t="shared" si="19"/>
        <v>2095123382992.5</v>
      </c>
      <c r="M408" s="4">
        <f t="shared" si="20"/>
        <v>-0.20318929923805062</v>
      </c>
    </row>
    <row r="409" spans="1:13" x14ac:dyDescent="0.45">
      <c r="A409" s="2">
        <v>45369</v>
      </c>
      <c r="B409" s="3">
        <v>1576.9</v>
      </c>
      <c r="D409" s="2">
        <v>45369</v>
      </c>
      <c r="E409" s="3">
        <v>6502.65</v>
      </c>
      <c r="G409" s="3">
        <v>1594100000</v>
      </c>
      <c r="H409" s="3">
        <f t="shared" si="18"/>
        <v>2513736290000</v>
      </c>
      <c r="J409" s="3">
        <v>317816130</v>
      </c>
      <c r="K409" s="3">
        <f t="shared" si="19"/>
        <v>2066647057744.5</v>
      </c>
      <c r="M409" s="4">
        <f t="shared" si="20"/>
        <v>-0.21633555211088873</v>
      </c>
    </row>
    <row r="410" spans="1:13" x14ac:dyDescent="0.45">
      <c r="A410" s="2">
        <v>45366</v>
      </c>
      <c r="B410" s="3">
        <v>1571.9</v>
      </c>
      <c r="D410" s="2">
        <v>45366</v>
      </c>
      <c r="E410" s="3">
        <v>6513.2</v>
      </c>
      <c r="G410" s="3">
        <v>1594100000</v>
      </c>
      <c r="H410" s="3">
        <f t="shared" si="18"/>
        <v>2505765790000</v>
      </c>
      <c r="J410" s="3">
        <v>317816130</v>
      </c>
      <c r="K410" s="3">
        <f t="shared" si="19"/>
        <v>2070000017916</v>
      </c>
      <c r="M410" s="4">
        <f t="shared" si="20"/>
        <v>-0.21051486391904151</v>
      </c>
    </row>
    <row r="411" spans="1:13" x14ac:dyDescent="0.45">
      <c r="A411" s="2">
        <v>45365</v>
      </c>
      <c r="B411" s="3">
        <v>1564.2</v>
      </c>
      <c r="D411" s="2">
        <v>45365</v>
      </c>
      <c r="E411" s="3">
        <v>6392.1</v>
      </c>
      <c r="G411" s="3">
        <v>1594100000</v>
      </c>
      <c r="H411" s="3">
        <f t="shared" si="18"/>
        <v>2493491220000</v>
      </c>
      <c r="J411" s="3">
        <v>317816130</v>
      </c>
      <c r="K411" s="3">
        <f t="shared" si="19"/>
        <v>2031512484573</v>
      </c>
      <c r="M411" s="4">
        <f t="shared" si="20"/>
        <v>-0.22740629896946096</v>
      </c>
    </row>
    <row r="412" spans="1:13" x14ac:dyDescent="0.45">
      <c r="A412" s="2">
        <v>45364</v>
      </c>
      <c r="B412" s="3">
        <v>1572.05</v>
      </c>
      <c r="D412" s="2">
        <v>45364</v>
      </c>
      <c r="E412" s="3">
        <v>6455.25</v>
      </c>
      <c r="G412" s="3">
        <v>1594100000</v>
      </c>
      <c r="H412" s="3">
        <f t="shared" si="18"/>
        <v>2506004905000</v>
      </c>
      <c r="J412" s="3">
        <v>317816130</v>
      </c>
      <c r="K412" s="3">
        <f t="shared" si="19"/>
        <v>2051582573182.5</v>
      </c>
      <c r="M412" s="4">
        <f t="shared" si="20"/>
        <v>-0.22149843625966326</v>
      </c>
    </row>
    <row r="413" spans="1:13" x14ac:dyDescent="0.45">
      <c r="A413" s="2">
        <v>45363</v>
      </c>
      <c r="B413" s="3">
        <v>1593.1</v>
      </c>
      <c r="D413" s="2">
        <v>45363</v>
      </c>
      <c r="E413" s="3">
        <v>6434.1</v>
      </c>
      <c r="G413" s="3">
        <v>1594100000</v>
      </c>
      <c r="H413" s="3">
        <f t="shared" si="18"/>
        <v>2539560710000</v>
      </c>
      <c r="J413" s="3">
        <v>317816130</v>
      </c>
      <c r="K413" s="3">
        <f t="shared" si="19"/>
        <v>2044860762033</v>
      </c>
      <c r="M413" s="4">
        <f t="shared" si="20"/>
        <v>-0.24192353687454471</v>
      </c>
    </row>
    <row r="414" spans="1:13" x14ac:dyDescent="0.45">
      <c r="A414" s="2">
        <v>45362</v>
      </c>
      <c r="B414" s="3">
        <v>1599.9</v>
      </c>
      <c r="D414" s="2">
        <v>45362</v>
      </c>
      <c r="E414" s="3">
        <v>6456.2</v>
      </c>
      <c r="G414" s="3">
        <v>1594100000</v>
      </c>
      <c r="H414" s="3">
        <f t="shared" si="18"/>
        <v>2550400590000</v>
      </c>
      <c r="J414" s="3">
        <v>317816130</v>
      </c>
      <c r="K414" s="3">
        <f t="shared" si="19"/>
        <v>2051884498506</v>
      </c>
      <c r="M414" s="4">
        <f t="shared" si="20"/>
        <v>-0.24295524034465643</v>
      </c>
    </row>
    <row r="415" spans="1:13" x14ac:dyDescent="0.45">
      <c r="A415" s="2">
        <v>45358</v>
      </c>
      <c r="B415" s="3">
        <v>1582.6</v>
      </c>
      <c r="D415" s="2">
        <v>45358</v>
      </c>
      <c r="E415" s="3">
        <v>6419.3</v>
      </c>
      <c r="G415" s="3">
        <v>1594100000</v>
      </c>
      <c r="H415" s="3">
        <f t="shared" si="18"/>
        <v>2522822660000</v>
      </c>
      <c r="J415" s="3">
        <v>317816130</v>
      </c>
      <c r="K415" s="3">
        <f t="shared" si="19"/>
        <v>2040157083309</v>
      </c>
      <c r="M415" s="4">
        <f t="shared" si="20"/>
        <v>-0.23658255564720942</v>
      </c>
    </row>
    <row r="416" spans="1:13" x14ac:dyDescent="0.45">
      <c r="A416" s="2">
        <v>45357</v>
      </c>
      <c r="B416" s="3">
        <v>1551.6</v>
      </c>
      <c r="D416" s="2">
        <v>45357</v>
      </c>
      <c r="E416" s="3">
        <v>6311.25</v>
      </c>
      <c r="G416" s="3">
        <v>1594100000</v>
      </c>
      <c r="H416" s="3">
        <f t="shared" si="18"/>
        <v>2473405560000</v>
      </c>
      <c r="J416" s="3">
        <v>317816130</v>
      </c>
      <c r="K416" s="3">
        <f t="shared" si="19"/>
        <v>2005817050462.5</v>
      </c>
      <c r="M416" s="4">
        <f t="shared" si="20"/>
        <v>-0.23311623033101836</v>
      </c>
    </row>
    <row r="417" spans="1:13" x14ac:dyDescent="0.45">
      <c r="A417" s="2">
        <v>45356</v>
      </c>
      <c r="B417" s="3">
        <v>1550.05</v>
      </c>
      <c r="D417" s="2">
        <v>45356</v>
      </c>
      <c r="E417" s="3">
        <v>6325.25</v>
      </c>
      <c r="G417" s="3">
        <v>1594100000</v>
      </c>
      <c r="H417" s="3">
        <f t="shared" si="18"/>
        <v>2470934705000</v>
      </c>
      <c r="J417" s="3">
        <v>317816130</v>
      </c>
      <c r="K417" s="3">
        <f t="shared" si="19"/>
        <v>2010266476282.5</v>
      </c>
      <c r="M417" s="4">
        <f t="shared" si="20"/>
        <v>-0.22915779283619853</v>
      </c>
    </row>
    <row r="418" spans="1:13" x14ac:dyDescent="0.45">
      <c r="A418" s="2">
        <v>45355</v>
      </c>
      <c r="B418" s="3">
        <v>1619.4</v>
      </c>
      <c r="D418" s="2">
        <v>45355</v>
      </c>
      <c r="E418" s="3">
        <v>6600.45</v>
      </c>
      <c r="G418" s="3">
        <v>1594100000</v>
      </c>
      <c r="H418" s="3">
        <f t="shared" si="18"/>
        <v>2581485540000</v>
      </c>
      <c r="J418" s="3">
        <v>317816130</v>
      </c>
      <c r="K418" s="3">
        <f t="shared" si="19"/>
        <v>2097729475258.5</v>
      </c>
      <c r="M418" s="4">
        <f t="shared" si="20"/>
        <v>-0.23060936619670058</v>
      </c>
    </row>
    <row r="419" spans="1:13" x14ac:dyDescent="0.45">
      <c r="A419" s="2">
        <v>45353</v>
      </c>
      <c r="B419" s="3">
        <v>1609.6</v>
      </c>
      <c r="D419" s="2">
        <v>45353</v>
      </c>
      <c r="E419" s="3">
        <v>6586.35</v>
      </c>
      <c r="G419" s="3">
        <v>1594100000</v>
      </c>
      <c r="H419" s="3">
        <f t="shared" si="18"/>
        <v>2565863360000</v>
      </c>
      <c r="J419" s="3">
        <v>317816130</v>
      </c>
      <c r="K419" s="3">
        <f t="shared" si="19"/>
        <v>2093248267825.5</v>
      </c>
      <c r="M419" s="4">
        <f t="shared" si="20"/>
        <v>-0.22578071576070635</v>
      </c>
    </row>
    <row r="420" spans="1:13" x14ac:dyDescent="0.45">
      <c r="A420" s="2">
        <v>45352</v>
      </c>
      <c r="B420" s="3">
        <v>1613.55</v>
      </c>
      <c r="D420" s="2">
        <v>45352</v>
      </c>
      <c r="E420" s="3">
        <v>6571</v>
      </c>
      <c r="G420" s="3">
        <v>1594100000</v>
      </c>
      <c r="H420" s="3">
        <f t="shared" si="18"/>
        <v>2572160055000</v>
      </c>
      <c r="J420" s="3">
        <v>317816130</v>
      </c>
      <c r="K420" s="3">
        <f t="shared" si="19"/>
        <v>2088369790230</v>
      </c>
      <c r="M420" s="4">
        <f t="shared" si="20"/>
        <v>-0.23165929091356863</v>
      </c>
    </row>
    <row r="421" spans="1:13" x14ac:dyDescent="0.45">
      <c r="A421" s="2">
        <v>45351</v>
      </c>
      <c r="B421" s="3">
        <v>1594.15</v>
      </c>
      <c r="D421" s="2">
        <v>45351</v>
      </c>
      <c r="E421" s="3">
        <v>6495.9</v>
      </c>
      <c r="G421" s="3">
        <v>1594100000</v>
      </c>
      <c r="H421" s="3">
        <f t="shared" si="18"/>
        <v>2541234515000</v>
      </c>
      <c r="J421" s="3">
        <v>317816130</v>
      </c>
      <c r="K421" s="3">
        <f t="shared" si="19"/>
        <v>2064501798867</v>
      </c>
      <c r="M421" s="4">
        <f t="shared" si="20"/>
        <v>-0.23091901222591882</v>
      </c>
    </row>
    <row r="422" spans="1:13" x14ac:dyDescent="0.45">
      <c r="A422" s="2">
        <v>45350</v>
      </c>
      <c r="B422" s="3">
        <v>1584.1</v>
      </c>
      <c r="D422" s="2">
        <v>45350</v>
      </c>
      <c r="E422" s="3">
        <v>6499.95</v>
      </c>
      <c r="G422" s="3">
        <v>1594100000</v>
      </c>
      <c r="H422" s="3">
        <f t="shared" si="18"/>
        <v>2525213810000</v>
      </c>
      <c r="J422" s="3">
        <v>317816130</v>
      </c>
      <c r="K422" s="3">
        <f t="shared" si="19"/>
        <v>2065788954193.5</v>
      </c>
      <c r="M422" s="4">
        <f t="shared" si="20"/>
        <v>-0.22239680141278662</v>
      </c>
    </row>
    <row r="423" spans="1:13" x14ac:dyDescent="0.45">
      <c r="A423" s="2">
        <v>45349</v>
      </c>
      <c r="B423" s="3">
        <v>1599.65</v>
      </c>
      <c r="D423" s="2">
        <v>45349</v>
      </c>
      <c r="E423" s="3">
        <v>6555.15</v>
      </c>
      <c r="G423" s="3">
        <v>1594100000</v>
      </c>
      <c r="H423" s="3">
        <f t="shared" si="18"/>
        <v>2550002065000</v>
      </c>
      <c r="J423" s="3">
        <v>317816130</v>
      </c>
      <c r="K423" s="3">
        <f t="shared" si="19"/>
        <v>2083332404569.5</v>
      </c>
      <c r="M423" s="4">
        <f t="shared" si="20"/>
        <v>-0.22400153686801261</v>
      </c>
    </row>
    <row r="424" spans="1:13" x14ac:dyDescent="0.45">
      <c r="A424" s="2">
        <v>45348</v>
      </c>
      <c r="B424" s="3">
        <v>1613.65</v>
      </c>
      <c r="D424" s="2">
        <v>45348</v>
      </c>
      <c r="E424" s="3">
        <v>6641.1</v>
      </c>
      <c r="G424" s="3">
        <v>1594100000</v>
      </c>
      <c r="H424" s="3">
        <f t="shared" si="18"/>
        <v>2572319465000</v>
      </c>
      <c r="J424" s="3">
        <v>317816130</v>
      </c>
      <c r="K424" s="3">
        <f t="shared" si="19"/>
        <v>2110648700943</v>
      </c>
      <c r="M424" s="4">
        <f t="shared" si="20"/>
        <v>-0.21873406211594282</v>
      </c>
    </row>
    <row r="425" spans="1:13" x14ac:dyDescent="0.45">
      <c r="A425" s="2">
        <v>45345</v>
      </c>
      <c r="B425" s="3">
        <v>1616.6</v>
      </c>
      <c r="D425" s="2">
        <v>45345</v>
      </c>
      <c r="E425" s="3">
        <v>6698.3</v>
      </c>
      <c r="G425" s="3">
        <v>1594100000</v>
      </c>
      <c r="H425" s="3">
        <f t="shared" si="18"/>
        <v>2577022060000</v>
      </c>
      <c r="J425" s="3">
        <v>317816130</v>
      </c>
      <c r="K425" s="3">
        <f t="shared" si="19"/>
        <v>2128827783579</v>
      </c>
      <c r="M425" s="4">
        <f t="shared" si="20"/>
        <v>-0.21053571354066625</v>
      </c>
    </row>
    <row r="426" spans="1:13" x14ac:dyDescent="0.45">
      <c r="A426" s="2">
        <v>45344</v>
      </c>
      <c r="B426" s="3">
        <v>1593.75</v>
      </c>
      <c r="D426" s="2">
        <v>45344</v>
      </c>
      <c r="E426" s="3">
        <v>6673.95</v>
      </c>
      <c r="G426" s="3">
        <v>1594100000</v>
      </c>
      <c r="H426" s="3">
        <f t="shared" si="18"/>
        <v>2540596875000</v>
      </c>
      <c r="J426" s="3">
        <v>317816130</v>
      </c>
      <c r="K426" s="3">
        <f t="shared" si="19"/>
        <v>2121088960813.5</v>
      </c>
      <c r="M426" s="4">
        <f t="shared" si="20"/>
        <v>-0.19777950002889377</v>
      </c>
    </row>
    <row r="427" spans="1:13" x14ac:dyDescent="0.45">
      <c r="A427" s="2">
        <v>45343</v>
      </c>
      <c r="B427" s="3">
        <v>1586.45</v>
      </c>
      <c r="D427" s="2">
        <v>45343</v>
      </c>
      <c r="E427" s="3">
        <v>6687.85</v>
      </c>
      <c r="G427" s="3">
        <v>1594100000</v>
      </c>
      <c r="H427" s="3">
        <f t="shared" si="18"/>
        <v>2528959945000</v>
      </c>
      <c r="J427" s="3">
        <v>317816130</v>
      </c>
      <c r="K427" s="3">
        <f t="shared" si="19"/>
        <v>2125506605020.5</v>
      </c>
      <c r="M427" s="4">
        <f t="shared" si="20"/>
        <v>-0.1898151429059467</v>
      </c>
    </row>
    <row r="428" spans="1:13" x14ac:dyDescent="0.45">
      <c r="A428" s="2">
        <v>45342</v>
      </c>
      <c r="B428" s="3">
        <v>1603.5</v>
      </c>
      <c r="D428" s="2">
        <v>45342</v>
      </c>
      <c r="E428" s="3">
        <v>6768.65</v>
      </c>
      <c r="G428" s="3">
        <v>1594100000</v>
      </c>
      <c r="H428" s="3">
        <f t="shared" si="18"/>
        <v>2556139350000</v>
      </c>
      <c r="J428" s="3">
        <v>317816130</v>
      </c>
      <c r="K428" s="3">
        <f t="shared" si="19"/>
        <v>2151186148324.5</v>
      </c>
      <c r="M428" s="4">
        <f t="shared" si="20"/>
        <v>-0.18824647136692785</v>
      </c>
    </row>
    <row r="429" spans="1:13" x14ac:dyDescent="0.45">
      <c r="A429" s="2">
        <v>45341</v>
      </c>
      <c r="B429" s="3">
        <v>1620.15</v>
      </c>
      <c r="D429" s="2">
        <v>45341</v>
      </c>
      <c r="E429" s="3">
        <v>6714.6</v>
      </c>
      <c r="G429" s="3">
        <v>1594100000</v>
      </c>
      <c r="H429" s="3">
        <f t="shared" si="18"/>
        <v>2582681115000</v>
      </c>
      <c r="J429" s="3">
        <v>317816130</v>
      </c>
      <c r="K429" s="3">
        <f t="shared" si="19"/>
        <v>2134008186498</v>
      </c>
      <c r="M429" s="4">
        <f t="shared" si="20"/>
        <v>-0.21024892563242314</v>
      </c>
    </row>
    <row r="430" spans="1:13" x14ac:dyDescent="0.45">
      <c r="A430" s="2">
        <v>45338</v>
      </c>
      <c r="B430" s="3">
        <v>1575.55</v>
      </c>
      <c r="D430" s="2">
        <v>45338</v>
      </c>
      <c r="E430" s="3">
        <v>6621.25</v>
      </c>
      <c r="G430" s="3">
        <v>1594100000</v>
      </c>
      <c r="H430" s="3">
        <f t="shared" si="18"/>
        <v>2511584255000</v>
      </c>
      <c r="J430" s="3">
        <v>317816130</v>
      </c>
      <c r="K430" s="3">
        <f t="shared" si="19"/>
        <v>2104340050762.5</v>
      </c>
      <c r="M430" s="4">
        <f t="shared" si="20"/>
        <v>-0.19352585343321138</v>
      </c>
    </row>
    <row r="431" spans="1:13" x14ac:dyDescent="0.45">
      <c r="A431" s="2">
        <v>45337</v>
      </c>
      <c r="B431" s="3">
        <v>1569.45</v>
      </c>
      <c r="D431" s="2">
        <v>45337</v>
      </c>
      <c r="E431" s="3">
        <v>6619.9</v>
      </c>
      <c r="G431" s="3">
        <v>1594100000</v>
      </c>
      <c r="H431" s="3">
        <f t="shared" si="18"/>
        <v>2501860245000</v>
      </c>
      <c r="J431" s="3">
        <v>317816130</v>
      </c>
      <c r="K431" s="3">
        <f t="shared" si="19"/>
        <v>2103910998987</v>
      </c>
      <c r="M431" s="4">
        <f t="shared" si="20"/>
        <v>-0.18914737657847991</v>
      </c>
    </row>
    <row r="432" spans="1:13" x14ac:dyDescent="0.45">
      <c r="A432" s="2">
        <v>45336</v>
      </c>
      <c r="B432" s="3">
        <v>1579.25</v>
      </c>
      <c r="D432" s="2">
        <v>45336</v>
      </c>
      <c r="E432" s="3">
        <v>6645.7</v>
      </c>
      <c r="G432" s="3">
        <v>1594100000</v>
      </c>
      <c r="H432" s="3">
        <f t="shared" si="18"/>
        <v>2517482425000</v>
      </c>
      <c r="J432" s="3">
        <v>317816130</v>
      </c>
      <c r="K432" s="3">
        <f t="shared" si="19"/>
        <v>2112110655141</v>
      </c>
      <c r="M432" s="4">
        <f t="shared" si="20"/>
        <v>-0.19192733528061212</v>
      </c>
    </row>
    <row r="433" spans="1:13" x14ac:dyDescent="0.45">
      <c r="A433" s="2">
        <v>45335</v>
      </c>
      <c r="B433" s="3">
        <v>1568.2</v>
      </c>
      <c r="D433" s="2">
        <v>45335</v>
      </c>
      <c r="E433" s="3">
        <v>6603.05</v>
      </c>
      <c r="G433" s="3">
        <v>1594100000</v>
      </c>
      <c r="H433" s="3">
        <f t="shared" si="18"/>
        <v>2499867620000</v>
      </c>
      <c r="J433" s="3">
        <v>317816130</v>
      </c>
      <c r="K433" s="3">
        <f t="shared" si="19"/>
        <v>2098555797196.5</v>
      </c>
      <c r="M433" s="4">
        <f t="shared" si="20"/>
        <v>-0.19123238149760891</v>
      </c>
    </row>
    <row r="434" spans="1:13" x14ac:dyDescent="0.45">
      <c r="A434" s="2">
        <v>45334</v>
      </c>
      <c r="B434" s="3">
        <v>1557.35</v>
      </c>
      <c r="D434" s="2">
        <v>45334</v>
      </c>
      <c r="E434" s="3">
        <v>6575.6</v>
      </c>
      <c r="G434" s="3">
        <v>1594100000</v>
      </c>
      <c r="H434" s="3">
        <f t="shared" si="18"/>
        <v>2482571635000</v>
      </c>
      <c r="J434" s="3">
        <v>317816130</v>
      </c>
      <c r="K434" s="3">
        <f t="shared" si="19"/>
        <v>2089831744428</v>
      </c>
      <c r="M434" s="4">
        <f t="shared" si="20"/>
        <v>-0.18792895247148023</v>
      </c>
    </row>
    <row r="435" spans="1:13" x14ac:dyDescent="0.45">
      <c r="A435" s="2">
        <v>45331</v>
      </c>
      <c r="B435" s="3">
        <v>1571.15</v>
      </c>
      <c r="D435" s="2">
        <v>45331</v>
      </c>
      <c r="E435" s="3">
        <v>6654.8</v>
      </c>
      <c r="G435" s="3">
        <v>1594100000</v>
      </c>
      <c r="H435" s="3">
        <f t="shared" si="18"/>
        <v>2504570215000</v>
      </c>
      <c r="J435" s="3">
        <v>317816130</v>
      </c>
      <c r="K435" s="3">
        <f t="shared" si="19"/>
        <v>2115002781924</v>
      </c>
      <c r="M435" s="4">
        <f t="shared" si="20"/>
        <v>-0.18419239747836835</v>
      </c>
    </row>
    <row r="436" spans="1:13" x14ac:dyDescent="0.45">
      <c r="A436" s="2">
        <v>45330</v>
      </c>
      <c r="B436" s="3">
        <v>1570.7</v>
      </c>
      <c r="D436" s="2">
        <v>45330</v>
      </c>
      <c r="E436" s="3">
        <v>6577.9</v>
      </c>
      <c r="G436" s="3">
        <v>1594100000</v>
      </c>
      <c r="H436" s="3">
        <f t="shared" si="18"/>
        <v>2503852870000</v>
      </c>
      <c r="J436" s="3">
        <v>317816130</v>
      </c>
      <c r="K436" s="3">
        <f t="shared" si="19"/>
        <v>2090562721527</v>
      </c>
      <c r="M436" s="4">
        <f t="shared" si="20"/>
        <v>-0.19769325465208842</v>
      </c>
    </row>
    <row r="437" spans="1:13" x14ac:dyDescent="0.45">
      <c r="A437" s="2">
        <v>45329</v>
      </c>
      <c r="B437" s="3">
        <v>1596.9</v>
      </c>
      <c r="D437" s="2">
        <v>45329</v>
      </c>
      <c r="E437" s="3">
        <v>6717.7</v>
      </c>
      <c r="G437" s="3">
        <v>1594100000</v>
      </c>
      <c r="H437" s="3">
        <f t="shared" si="18"/>
        <v>2545618290000</v>
      </c>
      <c r="J437" s="3">
        <v>317816130</v>
      </c>
      <c r="K437" s="3">
        <f t="shared" si="19"/>
        <v>2134993416501</v>
      </c>
      <c r="M437" s="4">
        <f t="shared" si="20"/>
        <v>-0.19233074459403499</v>
      </c>
    </row>
    <row r="438" spans="1:13" x14ac:dyDescent="0.45">
      <c r="A438" s="2">
        <v>45328</v>
      </c>
      <c r="B438" s="3">
        <v>1597.1</v>
      </c>
      <c r="D438" s="2">
        <v>45328</v>
      </c>
      <c r="E438" s="3">
        <v>6601.8</v>
      </c>
      <c r="G438" s="3">
        <v>1594100000</v>
      </c>
      <c r="H438" s="3">
        <f t="shared" si="18"/>
        <v>2545937110000</v>
      </c>
      <c r="J438" s="3">
        <v>317816130</v>
      </c>
      <c r="K438" s="3">
        <f t="shared" si="19"/>
        <v>2098158527034</v>
      </c>
      <c r="M438" s="4">
        <f t="shared" si="20"/>
        <v>-0.21341503856669441</v>
      </c>
    </row>
    <row r="439" spans="1:13" x14ac:dyDescent="0.45">
      <c r="A439" s="2">
        <v>45327</v>
      </c>
      <c r="B439" s="3">
        <v>1614.5</v>
      </c>
      <c r="D439" s="2">
        <v>45327</v>
      </c>
      <c r="E439" s="3">
        <v>6605.9</v>
      </c>
      <c r="G439" s="3">
        <v>1594100000</v>
      </c>
      <c r="H439" s="3">
        <f t="shared" si="18"/>
        <v>2573674450000</v>
      </c>
      <c r="J439" s="3">
        <v>317816130</v>
      </c>
      <c r="K439" s="3">
        <f t="shared" si="19"/>
        <v>2099461573167</v>
      </c>
      <c r="M439" s="4">
        <f t="shared" si="20"/>
        <v>-0.22587356820142146</v>
      </c>
    </row>
    <row r="440" spans="1:13" x14ac:dyDescent="0.45">
      <c r="A440" s="2">
        <v>45324</v>
      </c>
      <c r="B440" s="3">
        <v>1652.15</v>
      </c>
      <c r="D440" s="2">
        <v>45324</v>
      </c>
      <c r="E440" s="3">
        <v>6847.7</v>
      </c>
      <c r="G440" s="3">
        <v>1594100000</v>
      </c>
      <c r="H440" s="3">
        <f t="shared" si="18"/>
        <v>2633692315000</v>
      </c>
      <c r="J440" s="3">
        <v>317816130</v>
      </c>
      <c r="K440" s="3">
        <f t="shared" si="19"/>
        <v>2176309513401</v>
      </c>
      <c r="M440" s="4">
        <f t="shared" si="20"/>
        <v>-0.21016440850099061</v>
      </c>
    </row>
    <row r="441" spans="1:13" x14ac:dyDescent="0.45">
      <c r="A441" s="2">
        <v>45323</v>
      </c>
      <c r="B441" s="3">
        <v>1621.75</v>
      </c>
      <c r="D441" s="2">
        <v>45323</v>
      </c>
      <c r="E441" s="3">
        <v>6743.8</v>
      </c>
      <c r="G441" s="3">
        <v>1594100000</v>
      </c>
      <c r="H441" s="3">
        <f t="shared" si="18"/>
        <v>2585231675000</v>
      </c>
      <c r="J441" s="3">
        <v>317816130</v>
      </c>
      <c r="K441" s="3">
        <f t="shared" si="19"/>
        <v>2143288417494</v>
      </c>
      <c r="M441" s="4">
        <f t="shared" si="20"/>
        <v>-0.20619868697967103</v>
      </c>
    </row>
    <row r="442" spans="1:13" x14ac:dyDescent="0.45">
      <c r="A442" s="2">
        <v>45322</v>
      </c>
      <c r="B442" s="3">
        <v>1627.15</v>
      </c>
      <c r="D442" s="2">
        <v>45322</v>
      </c>
      <c r="E442" s="3">
        <v>6863.8</v>
      </c>
      <c r="G442" s="3">
        <v>1594100000</v>
      </c>
      <c r="H442" s="3">
        <f t="shared" si="18"/>
        <v>2593839815000</v>
      </c>
      <c r="J442" s="3">
        <v>317816130</v>
      </c>
      <c r="K442" s="3">
        <f t="shared" si="19"/>
        <v>2181426353094</v>
      </c>
      <c r="M442" s="4">
        <f t="shared" si="20"/>
        <v>-0.18905678906879353</v>
      </c>
    </row>
    <row r="443" spans="1:13" x14ac:dyDescent="0.45">
      <c r="A443" s="2">
        <v>45321</v>
      </c>
      <c r="B443" s="3">
        <v>1590.95</v>
      </c>
      <c r="D443" s="2">
        <v>45321</v>
      </c>
      <c r="E443" s="3">
        <v>6815.6</v>
      </c>
      <c r="G443" s="3">
        <v>1594100000</v>
      </c>
      <c r="H443" s="3">
        <f t="shared" si="18"/>
        <v>2536133395000</v>
      </c>
      <c r="J443" s="3">
        <v>317816130</v>
      </c>
      <c r="K443" s="3">
        <f t="shared" si="19"/>
        <v>2166107615628</v>
      </c>
      <c r="M443" s="4">
        <f t="shared" si="20"/>
        <v>-0.17082520586804817</v>
      </c>
    </row>
    <row r="444" spans="1:13" x14ac:dyDescent="0.45">
      <c r="A444" s="2">
        <v>45320</v>
      </c>
      <c r="B444" s="3">
        <v>1637</v>
      </c>
      <c r="D444" s="2">
        <v>45320</v>
      </c>
      <c r="E444" s="3">
        <v>7187.5</v>
      </c>
      <c r="G444" s="3">
        <v>1594100000</v>
      </c>
      <c r="H444" s="3">
        <f t="shared" si="18"/>
        <v>2609541700000</v>
      </c>
      <c r="J444" s="3">
        <v>317816130</v>
      </c>
      <c r="K444" s="3">
        <f t="shared" si="19"/>
        <v>2284303434375</v>
      </c>
      <c r="M444" s="4">
        <f t="shared" si="20"/>
        <v>-0.142379624672756</v>
      </c>
    </row>
    <row r="445" spans="1:13" x14ac:dyDescent="0.45">
      <c r="A445" s="2">
        <v>45316</v>
      </c>
      <c r="B445" s="3">
        <v>1630.2</v>
      </c>
      <c r="D445" s="2">
        <v>45316</v>
      </c>
      <c r="E445" s="3">
        <v>7085.15</v>
      </c>
      <c r="G445" s="3">
        <v>1594100000</v>
      </c>
      <c r="H445" s="3">
        <f t="shared" si="18"/>
        <v>2598701820000</v>
      </c>
      <c r="J445" s="3">
        <v>317816130</v>
      </c>
      <c r="K445" s="3">
        <f t="shared" si="19"/>
        <v>2251774953469.5</v>
      </c>
      <c r="M445" s="4">
        <f t="shared" si="20"/>
        <v>-0.15406817896964364</v>
      </c>
    </row>
    <row r="446" spans="1:13" x14ac:dyDescent="0.45">
      <c r="A446" s="2">
        <v>45315</v>
      </c>
      <c r="B446" s="3">
        <v>1620.65</v>
      </c>
      <c r="D446" s="2">
        <v>45315</v>
      </c>
      <c r="E446" s="3">
        <v>7058.8</v>
      </c>
      <c r="G446" s="3">
        <v>1594100000</v>
      </c>
      <c r="H446" s="3">
        <f t="shared" si="18"/>
        <v>2583478165000</v>
      </c>
      <c r="J446" s="3">
        <v>317816130</v>
      </c>
      <c r="K446" s="3">
        <f t="shared" si="19"/>
        <v>2243400498444</v>
      </c>
      <c r="M446" s="4">
        <f t="shared" si="20"/>
        <v>-0.15159026076345916</v>
      </c>
    </row>
    <row r="447" spans="1:13" x14ac:dyDescent="0.45">
      <c r="A447" s="2">
        <v>45314</v>
      </c>
      <c r="B447" s="3">
        <v>1584</v>
      </c>
      <c r="D447" s="2">
        <v>45314</v>
      </c>
      <c r="E447" s="3">
        <v>7070.7</v>
      </c>
      <c r="G447" s="3">
        <v>1594100000</v>
      </c>
      <c r="H447" s="3">
        <f t="shared" si="18"/>
        <v>2525054400000</v>
      </c>
      <c r="J447" s="3">
        <v>317816130</v>
      </c>
      <c r="K447" s="3">
        <f t="shared" si="19"/>
        <v>2247182510391</v>
      </c>
      <c r="M447" s="4">
        <f t="shared" si="20"/>
        <v>-0.12365345864170663</v>
      </c>
    </row>
    <row r="448" spans="1:13" x14ac:dyDescent="0.45">
      <c r="A448" s="2">
        <v>45311</v>
      </c>
      <c r="B448" s="3">
        <v>1579.7</v>
      </c>
      <c r="D448" s="2">
        <v>45311</v>
      </c>
      <c r="E448" s="3">
        <v>7301.35</v>
      </c>
      <c r="G448" s="3">
        <v>1594100000</v>
      </c>
      <c r="H448" s="3">
        <f t="shared" si="18"/>
        <v>2518199770000</v>
      </c>
      <c r="J448" s="3">
        <v>317816130</v>
      </c>
      <c r="K448" s="3">
        <f t="shared" si="19"/>
        <v>2320486800775.5</v>
      </c>
      <c r="M448" s="4">
        <f t="shared" si="20"/>
        <v>-8.5203229407909031E-2</v>
      </c>
    </row>
    <row r="449" spans="1:13" x14ac:dyDescent="0.45">
      <c r="A449" s="2">
        <v>45310</v>
      </c>
      <c r="B449" s="3">
        <v>1600.4</v>
      </c>
      <c r="D449" s="2">
        <v>45310</v>
      </c>
      <c r="E449" s="3">
        <v>7320.35</v>
      </c>
      <c r="G449" s="3">
        <v>1594100000</v>
      </c>
      <c r="H449" s="3">
        <f t="shared" si="18"/>
        <v>2551197640000</v>
      </c>
      <c r="J449" s="3">
        <v>317816130</v>
      </c>
      <c r="K449" s="3">
        <f t="shared" si="19"/>
        <v>2326525307245.5</v>
      </c>
      <c r="M449" s="4">
        <f t="shared" si="20"/>
        <v>-9.6569907086246909E-2</v>
      </c>
    </row>
    <row r="450" spans="1:13" x14ac:dyDescent="0.45">
      <c r="A450" s="2">
        <v>45309</v>
      </c>
      <c r="B450" s="3">
        <v>1581.1</v>
      </c>
      <c r="D450" s="2">
        <v>45309</v>
      </c>
      <c r="E450" s="3">
        <v>7265.2</v>
      </c>
      <c r="G450" s="3">
        <v>1594100000</v>
      </c>
      <c r="H450" s="3">
        <f t="shared" si="18"/>
        <v>2520431510000</v>
      </c>
      <c r="J450" s="3">
        <v>317816130</v>
      </c>
      <c r="K450" s="3">
        <f t="shared" si="19"/>
        <v>2308997747676</v>
      </c>
      <c r="M450" s="4">
        <f t="shared" si="20"/>
        <v>-9.1569496997910615E-2</v>
      </c>
    </row>
    <row r="451" spans="1:13" x14ac:dyDescent="0.45">
      <c r="A451" s="2">
        <v>45308</v>
      </c>
      <c r="B451" s="3">
        <v>1584.95</v>
      </c>
      <c r="D451" s="2">
        <v>45308</v>
      </c>
      <c r="E451" s="3">
        <v>7357.15</v>
      </c>
      <c r="G451" s="3">
        <v>1594100000</v>
      </c>
      <c r="H451" s="3">
        <f t="shared" si="18"/>
        <v>2526568795000</v>
      </c>
      <c r="J451" s="3">
        <v>317816130</v>
      </c>
      <c r="K451" s="3">
        <f t="shared" si="19"/>
        <v>2338220940829.5</v>
      </c>
      <c r="M451" s="4">
        <f t="shared" si="20"/>
        <v>-8.0551778012766473E-2</v>
      </c>
    </row>
    <row r="452" spans="1:13" x14ac:dyDescent="0.45">
      <c r="A452" s="2">
        <v>45307</v>
      </c>
      <c r="B452" s="3">
        <v>1623.65</v>
      </c>
      <c r="D452" s="2">
        <v>45307</v>
      </c>
      <c r="E452" s="3">
        <v>7472.7</v>
      </c>
      <c r="G452" s="3">
        <v>1594100000</v>
      </c>
      <c r="H452" s="3">
        <f t="shared" ref="H452:H515" si="21">+G452*B452</f>
        <v>2588260465000</v>
      </c>
      <c r="J452" s="3">
        <v>317816130</v>
      </c>
      <c r="K452" s="3">
        <f t="shared" ref="K452:K515" si="22">+J452*E452</f>
        <v>2374944594651</v>
      </c>
      <c r="M452" s="4">
        <f t="shared" ref="M452:M515" si="23">1- (H452/K452)</f>
        <v>-8.981930392373938E-2</v>
      </c>
    </row>
    <row r="453" spans="1:13" x14ac:dyDescent="0.45">
      <c r="A453" s="2">
        <v>45306</v>
      </c>
      <c r="B453" s="3">
        <v>1632.35</v>
      </c>
      <c r="D453" s="2">
        <v>45306</v>
      </c>
      <c r="E453" s="3">
        <v>7476.5</v>
      </c>
      <c r="G453" s="3">
        <v>1594100000</v>
      </c>
      <c r="H453" s="3">
        <f t="shared" si="21"/>
        <v>2602129135000</v>
      </c>
      <c r="J453" s="3">
        <v>317816130</v>
      </c>
      <c r="K453" s="3">
        <f t="shared" si="22"/>
        <v>2376152295945</v>
      </c>
      <c r="M453" s="4">
        <f t="shared" si="23"/>
        <v>-9.5102001433426064E-2</v>
      </c>
    </row>
    <row r="454" spans="1:13" x14ac:dyDescent="0.45">
      <c r="A454" s="2">
        <v>45303</v>
      </c>
      <c r="B454" s="3">
        <v>1651.65</v>
      </c>
      <c r="D454" s="2">
        <v>45303</v>
      </c>
      <c r="E454" s="3">
        <v>7655.35</v>
      </c>
      <c r="G454" s="3">
        <v>1594100000</v>
      </c>
      <c r="H454" s="3">
        <f t="shared" si="21"/>
        <v>2632895265000</v>
      </c>
      <c r="J454" s="3">
        <v>317816130</v>
      </c>
      <c r="K454" s="3">
        <f t="shared" si="22"/>
        <v>2432993710795.5</v>
      </c>
      <c r="M454" s="4">
        <f t="shared" si="23"/>
        <v>-8.2162791180886208E-2</v>
      </c>
    </row>
    <row r="455" spans="1:13" x14ac:dyDescent="0.45">
      <c r="A455" s="2">
        <v>45302</v>
      </c>
      <c r="B455" s="3">
        <v>1669.25</v>
      </c>
      <c r="D455" s="2">
        <v>45302</v>
      </c>
      <c r="E455" s="3">
        <v>7670.7</v>
      </c>
      <c r="G455" s="3">
        <v>1594100000</v>
      </c>
      <c r="H455" s="3">
        <f t="shared" si="21"/>
        <v>2660951425000</v>
      </c>
      <c r="J455" s="3">
        <v>317816130</v>
      </c>
      <c r="K455" s="3">
        <f t="shared" si="22"/>
        <v>2437872188391</v>
      </c>
      <c r="M455" s="4">
        <f t="shared" si="23"/>
        <v>-9.1505714561776363E-2</v>
      </c>
    </row>
    <row r="456" spans="1:13" x14ac:dyDescent="0.45">
      <c r="A456" s="2">
        <v>45301</v>
      </c>
      <c r="B456" s="3">
        <v>1671.95</v>
      </c>
      <c r="D456" s="2">
        <v>45301</v>
      </c>
      <c r="E456" s="3">
        <v>7678.2</v>
      </c>
      <c r="G456" s="3">
        <v>1594100000</v>
      </c>
      <c r="H456" s="3">
        <f t="shared" si="21"/>
        <v>2665255495000</v>
      </c>
      <c r="J456" s="3">
        <v>317816130</v>
      </c>
      <c r="K456" s="3">
        <f t="shared" si="22"/>
        <v>2440255809366</v>
      </c>
      <c r="M456" s="4">
        <f t="shared" si="23"/>
        <v>-9.2203319328417743E-2</v>
      </c>
    </row>
    <row r="457" spans="1:13" x14ac:dyDescent="0.45">
      <c r="A457" s="2">
        <v>45300</v>
      </c>
      <c r="B457" s="3">
        <v>1681.85</v>
      </c>
      <c r="D457" s="2">
        <v>45300</v>
      </c>
      <c r="E457" s="3">
        <v>7721.25</v>
      </c>
      <c r="G457" s="3">
        <v>1594100000</v>
      </c>
      <c r="H457" s="3">
        <f t="shared" si="21"/>
        <v>2681037085000</v>
      </c>
      <c r="J457" s="3">
        <v>317816130</v>
      </c>
      <c r="K457" s="3">
        <f t="shared" si="22"/>
        <v>2453937793762.5</v>
      </c>
      <c r="M457" s="4">
        <f t="shared" si="23"/>
        <v>-9.254484437818622E-2</v>
      </c>
    </row>
    <row r="458" spans="1:13" x14ac:dyDescent="0.45">
      <c r="A458" s="2">
        <v>45299</v>
      </c>
      <c r="B458" s="3">
        <v>1696.7</v>
      </c>
      <c r="D458" s="2">
        <v>45299</v>
      </c>
      <c r="E458" s="3">
        <v>7734.05</v>
      </c>
      <c r="G458" s="3">
        <v>1594100000</v>
      </c>
      <c r="H458" s="3">
        <f t="shared" si="21"/>
        <v>2704709470000</v>
      </c>
      <c r="J458" s="3">
        <v>317816130</v>
      </c>
      <c r="K458" s="3">
        <f t="shared" si="22"/>
        <v>2458005840226.5</v>
      </c>
      <c r="M458" s="4">
        <f t="shared" si="23"/>
        <v>-0.10036738958714864</v>
      </c>
    </row>
    <row r="459" spans="1:13" x14ac:dyDescent="0.45">
      <c r="A459" s="2">
        <v>45296</v>
      </c>
      <c r="B459" s="3">
        <v>1709.25</v>
      </c>
      <c r="D459" s="2">
        <v>45296</v>
      </c>
      <c r="E459" s="3">
        <v>7710.55</v>
      </c>
      <c r="G459" s="3">
        <v>1594100000</v>
      </c>
      <c r="H459" s="3">
        <f t="shared" si="21"/>
        <v>2724715425000</v>
      </c>
      <c r="J459" s="3">
        <v>317816130</v>
      </c>
      <c r="K459" s="3">
        <f t="shared" si="22"/>
        <v>2450537161171.5</v>
      </c>
      <c r="M459" s="4">
        <f t="shared" si="23"/>
        <v>-0.11188496472235765</v>
      </c>
    </row>
    <row r="460" spans="1:13" x14ac:dyDescent="0.45">
      <c r="A460" s="2">
        <v>45295</v>
      </c>
      <c r="B460" s="3">
        <v>1701.5</v>
      </c>
      <c r="D460" s="2">
        <v>45295</v>
      </c>
      <c r="E460" s="3">
        <v>7704.25</v>
      </c>
      <c r="G460" s="3">
        <v>1594100000</v>
      </c>
      <c r="H460" s="3">
        <f t="shared" si="21"/>
        <v>2712361150000</v>
      </c>
      <c r="J460" s="3">
        <v>317816130</v>
      </c>
      <c r="K460" s="3">
        <f t="shared" si="22"/>
        <v>2448534919552.5</v>
      </c>
      <c r="M460" s="4">
        <f t="shared" si="23"/>
        <v>-0.10774860850084078</v>
      </c>
    </row>
    <row r="461" spans="1:13" x14ac:dyDescent="0.45">
      <c r="A461" s="2">
        <v>45294</v>
      </c>
      <c r="B461" s="3">
        <v>1677.2</v>
      </c>
      <c r="D461" s="2">
        <v>45294</v>
      </c>
      <c r="E461" s="3">
        <v>7382.15</v>
      </c>
      <c r="G461" s="3">
        <v>1594100000</v>
      </c>
      <c r="H461" s="3">
        <f t="shared" si="21"/>
        <v>2673624520000</v>
      </c>
      <c r="J461" s="3">
        <v>317816130</v>
      </c>
      <c r="K461" s="3">
        <f t="shared" si="22"/>
        <v>2346166344079.5</v>
      </c>
      <c r="M461" s="4">
        <f t="shared" si="23"/>
        <v>-0.13957159378184492</v>
      </c>
    </row>
    <row r="462" spans="1:13" x14ac:dyDescent="0.45">
      <c r="A462" s="2">
        <v>45293</v>
      </c>
      <c r="B462" s="3">
        <v>1686.6</v>
      </c>
      <c r="D462" s="2">
        <v>45293</v>
      </c>
      <c r="E462" s="3">
        <v>7431.8</v>
      </c>
      <c r="G462" s="3">
        <v>1594100000</v>
      </c>
      <c r="H462" s="3">
        <f t="shared" si="21"/>
        <v>2688609060000</v>
      </c>
      <c r="J462" s="3">
        <v>317816130</v>
      </c>
      <c r="K462" s="3">
        <f t="shared" si="22"/>
        <v>2361945914934</v>
      </c>
      <c r="M462" s="4">
        <f t="shared" si="23"/>
        <v>-0.13830255087577981</v>
      </c>
    </row>
    <row r="463" spans="1:13" x14ac:dyDescent="0.45">
      <c r="A463" s="2">
        <v>45292</v>
      </c>
      <c r="B463" s="1">
        <v>1674.25</v>
      </c>
      <c r="D463" s="2">
        <v>45292</v>
      </c>
      <c r="E463" s="3">
        <v>7298.45</v>
      </c>
      <c r="G463" s="3">
        <v>1594100000</v>
      </c>
      <c r="H463" s="3">
        <f t="shared" si="21"/>
        <v>2668921925000</v>
      </c>
      <c r="J463" s="3">
        <v>317816130</v>
      </c>
      <c r="K463" s="3">
        <f t="shared" si="22"/>
        <v>2319565133998.5</v>
      </c>
      <c r="M463" s="4">
        <f t="shared" si="23"/>
        <v>-0.15061305495624255</v>
      </c>
    </row>
    <row r="464" spans="1:13" x14ac:dyDescent="0.45">
      <c r="A464" s="2">
        <v>45289</v>
      </c>
      <c r="B464" s="3">
        <v>1685.4</v>
      </c>
      <c r="D464" s="2">
        <v>45289</v>
      </c>
      <c r="E464" s="3">
        <v>7326.9</v>
      </c>
      <c r="G464" s="3">
        <v>1594100000</v>
      </c>
      <c r="H464" s="3">
        <f t="shared" si="21"/>
        <v>2686696140000</v>
      </c>
      <c r="J464" s="3">
        <v>317816130</v>
      </c>
      <c r="K464" s="3">
        <f t="shared" si="22"/>
        <v>2328607002897</v>
      </c>
      <c r="M464" s="4">
        <f t="shared" si="23"/>
        <v>-0.15377826170646425</v>
      </c>
    </row>
    <row r="465" spans="1:13" x14ac:dyDescent="0.45">
      <c r="A465" s="2">
        <v>45288</v>
      </c>
      <c r="B465" s="3">
        <v>1680.15</v>
      </c>
      <c r="D465" s="2">
        <v>45288</v>
      </c>
      <c r="E465" s="3">
        <v>7257.7</v>
      </c>
      <c r="G465" s="3">
        <v>1594100000</v>
      </c>
      <c r="H465" s="3">
        <f t="shared" si="21"/>
        <v>2678327115000</v>
      </c>
      <c r="J465" s="3">
        <v>317816130</v>
      </c>
      <c r="K465" s="3">
        <f t="shared" si="22"/>
        <v>2306614126701</v>
      </c>
      <c r="M465" s="4">
        <f t="shared" si="23"/>
        <v>-0.16115091986826457</v>
      </c>
    </row>
    <row r="466" spans="1:13" x14ac:dyDescent="0.45">
      <c r="A466" s="2">
        <v>45287</v>
      </c>
      <c r="B466" s="3">
        <v>1669.5</v>
      </c>
      <c r="D466" s="2">
        <v>45287</v>
      </c>
      <c r="E466" s="3">
        <v>7235.55</v>
      </c>
      <c r="G466" s="3">
        <v>1594100000</v>
      </c>
      <c r="H466" s="3">
        <f t="shared" si="21"/>
        <v>2661349950000</v>
      </c>
      <c r="J466" s="3">
        <v>317816130</v>
      </c>
      <c r="K466" s="3">
        <f t="shared" si="22"/>
        <v>2299574499421.5</v>
      </c>
      <c r="M466" s="4">
        <f t="shared" si="23"/>
        <v>-0.15732277891823521</v>
      </c>
    </row>
    <row r="467" spans="1:13" x14ac:dyDescent="0.45">
      <c r="A467" s="2">
        <v>45286</v>
      </c>
      <c r="B467" s="3">
        <v>1647.65</v>
      </c>
      <c r="D467" s="2">
        <v>45286</v>
      </c>
      <c r="E467" s="3">
        <v>7162.95</v>
      </c>
      <c r="G467" s="3">
        <v>1594100000</v>
      </c>
      <c r="H467" s="3">
        <f t="shared" si="21"/>
        <v>2626518865000</v>
      </c>
      <c r="J467" s="3">
        <v>317816130</v>
      </c>
      <c r="K467" s="3">
        <f t="shared" si="22"/>
        <v>2276501048383.5</v>
      </c>
      <c r="M467" s="4">
        <f t="shared" si="23"/>
        <v>-0.15375253917191944</v>
      </c>
    </row>
    <row r="468" spans="1:13" x14ac:dyDescent="0.45">
      <c r="A468" s="2">
        <v>45282</v>
      </c>
      <c r="B468" s="3">
        <v>1671.45</v>
      </c>
      <c r="D468" s="2">
        <v>45282</v>
      </c>
      <c r="E468" s="3">
        <v>7295.25</v>
      </c>
      <c r="G468" s="3">
        <v>1594100000</v>
      </c>
      <c r="H468" s="3">
        <f t="shared" si="21"/>
        <v>2664458445000</v>
      </c>
      <c r="J468" s="3">
        <v>317816130</v>
      </c>
      <c r="K468" s="3">
        <f t="shared" si="22"/>
        <v>2318548122382.5</v>
      </c>
      <c r="M468" s="4">
        <f t="shared" si="23"/>
        <v>-0.14919264313653691</v>
      </c>
    </row>
    <row r="469" spans="1:13" x14ac:dyDescent="0.45">
      <c r="A469" s="2">
        <v>45281</v>
      </c>
      <c r="B469" s="3">
        <v>1668.4</v>
      </c>
      <c r="D469" s="2">
        <v>45281</v>
      </c>
      <c r="E469" s="3">
        <v>7369.1</v>
      </c>
      <c r="G469" s="3">
        <v>1594100000</v>
      </c>
      <c r="H469" s="3">
        <f t="shared" si="21"/>
        <v>2659596440000</v>
      </c>
      <c r="J469" s="3">
        <v>317816130</v>
      </c>
      <c r="K469" s="3">
        <f t="shared" si="22"/>
        <v>2342018843583</v>
      </c>
      <c r="M469" s="4">
        <f t="shared" si="23"/>
        <v>-0.13559993220684152</v>
      </c>
    </row>
    <row r="470" spans="1:13" x14ac:dyDescent="0.45">
      <c r="A470" s="2">
        <v>45280</v>
      </c>
      <c r="B470" s="3">
        <v>1680.65</v>
      </c>
      <c r="D470" s="2">
        <v>45280</v>
      </c>
      <c r="E470" s="3">
        <v>7489.35</v>
      </c>
      <c r="G470" s="3">
        <v>1594100000</v>
      </c>
      <c r="H470" s="3">
        <f t="shared" si="21"/>
        <v>2679124165000</v>
      </c>
      <c r="J470" s="3">
        <v>317816130</v>
      </c>
      <c r="K470" s="3">
        <f t="shared" si="22"/>
        <v>2380236233215.5</v>
      </c>
      <c r="M470" s="4">
        <f t="shared" si="23"/>
        <v>-0.1255707007622211</v>
      </c>
    </row>
    <row r="471" spans="1:13" x14ac:dyDescent="0.45">
      <c r="A471" s="2">
        <v>45279</v>
      </c>
      <c r="B471" s="3">
        <v>1710.15</v>
      </c>
      <c r="D471" s="2">
        <v>45279</v>
      </c>
      <c r="E471" s="3">
        <v>7632.45</v>
      </c>
      <c r="G471" s="3">
        <v>1594100000</v>
      </c>
      <c r="H471" s="3">
        <f t="shared" si="21"/>
        <v>2726150115000</v>
      </c>
      <c r="J471" s="3">
        <v>317816130</v>
      </c>
      <c r="K471" s="3">
        <f t="shared" si="22"/>
        <v>2425715721418.5</v>
      </c>
      <c r="M471" s="4">
        <f t="shared" si="23"/>
        <v>-0.12385391698158821</v>
      </c>
    </row>
    <row r="472" spans="1:13" x14ac:dyDescent="0.45">
      <c r="A472" s="2">
        <v>45278</v>
      </c>
      <c r="B472" s="3">
        <v>1723.85</v>
      </c>
      <c r="D472" s="2">
        <v>45278</v>
      </c>
      <c r="E472" s="3">
        <v>7586.95</v>
      </c>
      <c r="G472" s="3">
        <v>1594100000</v>
      </c>
      <c r="H472" s="3">
        <f t="shared" si="21"/>
        <v>2747989285000</v>
      </c>
      <c r="J472" s="3">
        <v>317816130</v>
      </c>
      <c r="K472" s="3">
        <f t="shared" si="22"/>
        <v>2411255087503.5</v>
      </c>
      <c r="M472" s="4">
        <f t="shared" si="23"/>
        <v>-0.13965100550400034</v>
      </c>
    </row>
    <row r="473" spans="1:13" x14ac:dyDescent="0.45">
      <c r="A473" s="2">
        <v>45275</v>
      </c>
      <c r="B473" s="3">
        <v>1733.1</v>
      </c>
      <c r="D473" s="2">
        <v>45275</v>
      </c>
      <c r="E473" s="3">
        <v>7517.6</v>
      </c>
      <c r="G473" s="3">
        <v>1594100000</v>
      </c>
      <c r="H473" s="3">
        <f t="shared" si="21"/>
        <v>2762734710000</v>
      </c>
      <c r="J473" s="3">
        <v>317816130</v>
      </c>
      <c r="K473" s="3">
        <f t="shared" si="22"/>
        <v>2389214538888</v>
      </c>
      <c r="M473" s="4">
        <f t="shared" si="23"/>
        <v>-0.15633596942945349</v>
      </c>
    </row>
    <row r="474" spans="1:13" x14ac:dyDescent="0.45">
      <c r="A474" s="2">
        <v>45274</v>
      </c>
      <c r="B474" s="3">
        <v>1730.95</v>
      </c>
      <c r="D474" s="2">
        <v>45274</v>
      </c>
      <c r="E474" s="3">
        <v>7467.45</v>
      </c>
      <c r="G474" s="3">
        <v>1594100000</v>
      </c>
      <c r="H474" s="3">
        <f t="shared" si="21"/>
        <v>2759307395000</v>
      </c>
      <c r="J474" s="3">
        <v>317816130</v>
      </c>
      <c r="K474" s="3">
        <f t="shared" si="22"/>
        <v>2373276059968.5</v>
      </c>
      <c r="M474" s="4">
        <f t="shared" si="23"/>
        <v>-0.16265757765939104</v>
      </c>
    </row>
    <row r="475" spans="1:13" x14ac:dyDescent="0.45">
      <c r="A475" s="2">
        <v>45273</v>
      </c>
      <c r="B475" s="3">
        <v>1683.9</v>
      </c>
      <c r="D475" s="2">
        <v>45273</v>
      </c>
      <c r="E475" s="3">
        <v>7258.5</v>
      </c>
      <c r="G475" s="3">
        <v>1594100000</v>
      </c>
      <c r="H475" s="3">
        <f t="shared" si="21"/>
        <v>2684304990000</v>
      </c>
      <c r="J475" s="3">
        <v>317816130</v>
      </c>
      <c r="K475" s="3">
        <f t="shared" si="22"/>
        <v>2306868379605</v>
      </c>
      <c r="M475" s="4">
        <f t="shared" si="23"/>
        <v>-0.16361428061172156</v>
      </c>
    </row>
    <row r="476" spans="1:13" x14ac:dyDescent="0.45">
      <c r="A476" s="2">
        <v>45272</v>
      </c>
      <c r="B476" s="3">
        <v>1705.85</v>
      </c>
      <c r="D476" s="2">
        <v>45272</v>
      </c>
      <c r="E476" s="3">
        <v>7312.15</v>
      </c>
      <c r="G476" s="3">
        <v>1594100000</v>
      </c>
      <c r="H476" s="3">
        <f t="shared" si="21"/>
        <v>2719295485000</v>
      </c>
      <c r="J476" s="3">
        <v>317816130</v>
      </c>
      <c r="K476" s="3">
        <f t="shared" si="22"/>
        <v>2323919214979.5</v>
      </c>
      <c r="M476" s="4">
        <f t="shared" si="23"/>
        <v>-0.17013339683754358</v>
      </c>
    </row>
    <row r="477" spans="1:13" x14ac:dyDescent="0.45">
      <c r="A477" s="2">
        <v>45271</v>
      </c>
      <c r="B477" s="3">
        <v>1702.95</v>
      </c>
      <c r="D477" s="2">
        <v>45271</v>
      </c>
      <c r="E477" s="3">
        <v>7292.95</v>
      </c>
      <c r="G477" s="3">
        <v>1594100000</v>
      </c>
      <c r="H477" s="3">
        <f t="shared" si="21"/>
        <v>2714672595000</v>
      </c>
      <c r="J477" s="3">
        <v>317816130</v>
      </c>
      <c r="K477" s="3">
        <f t="shared" si="22"/>
        <v>2317817145283.5</v>
      </c>
      <c r="M477" s="4">
        <f t="shared" si="23"/>
        <v>-0.17121948145221744</v>
      </c>
    </row>
    <row r="478" spans="1:13" x14ac:dyDescent="0.45">
      <c r="A478" s="2">
        <v>45268</v>
      </c>
      <c r="B478" s="3">
        <v>1710.25</v>
      </c>
      <c r="D478" s="2">
        <v>45268</v>
      </c>
      <c r="E478" s="3">
        <v>7306.85</v>
      </c>
      <c r="G478" s="3">
        <v>1594100000</v>
      </c>
      <c r="H478" s="3">
        <f t="shared" si="21"/>
        <v>2726309525000</v>
      </c>
      <c r="J478" s="3">
        <v>317816130</v>
      </c>
      <c r="K478" s="3">
        <f t="shared" si="22"/>
        <v>2322234789490.5</v>
      </c>
      <c r="M478" s="4">
        <f t="shared" si="23"/>
        <v>-0.17400253296444435</v>
      </c>
    </row>
    <row r="479" spans="1:13" x14ac:dyDescent="0.45">
      <c r="A479" s="2">
        <v>45267</v>
      </c>
      <c r="B479" s="3">
        <v>1703.85</v>
      </c>
      <c r="D479" s="2">
        <v>45267</v>
      </c>
      <c r="E479" s="3">
        <v>7394.3</v>
      </c>
      <c r="G479" s="3">
        <v>1594100000</v>
      </c>
      <c r="H479" s="3">
        <f t="shared" si="21"/>
        <v>2716107285000</v>
      </c>
      <c r="J479" s="3">
        <v>317816130</v>
      </c>
      <c r="K479" s="3">
        <f t="shared" si="22"/>
        <v>2350027810059</v>
      </c>
      <c r="M479" s="4">
        <f t="shared" si="23"/>
        <v>-0.15577665650340067</v>
      </c>
    </row>
    <row r="480" spans="1:13" x14ac:dyDescent="0.45">
      <c r="A480" s="2">
        <v>45266</v>
      </c>
      <c r="B480" s="3">
        <v>1700.1</v>
      </c>
      <c r="D480" s="2">
        <v>45266</v>
      </c>
      <c r="E480" s="3">
        <v>7426.5</v>
      </c>
      <c r="G480" s="3">
        <v>1594100000</v>
      </c>
      <c r="H480" s="3">
        <f t="shared" si="21"/>
        <v>2710129410000</v>
      </c>
      <c r="J480" s="3">
        <v>317816130</v>
      </c>
      <c r="K480" s="3">
        <f t="shared" si="22"/>
        <v>2360261489445</v>
      </c>
      <c r="M480" s="4">
        <f t="shared" si="23"/>
        <v>-0.14823269460591382</v>
      </c>
    </row>
    <row r="481" spans="1:13" x14ac:dyDescent="0.45">
      <c r="A481" s="2">
        <v>45265</v>
      </c>
      <c r="B481" s="3">
        <v>1693.25</v>
      </c>
      <c r="D481" s="2">
        <v>45265</v>
      </c>
      <c r="E481" s="3">
        <v>7349.75</v>
      </c>
      <c r="G481" s="3">
        <v>1594100000</v>
      </c>
      <c r="H481" s="3">
        <f t="shared" si="21"/>
        <v>2699209825000</v>
      </c>
      <c r="J481" s="3">
        <v>317816130</v>
      </c>
      <c r="K481" s="3">
        <f t="shared" si="22"/>
        <v>2335869101467.5</v>
      </c>
      <c r="M481" s="4">
        <f t="shared" si="23"/>
        <v>-0.15554840949958737</v>
      </c>
    </row>
    <row r="482" spans="1:13" x14ac:dyDescent="0.45">
      <c r="A482" s="2">
        <v>45264</v>
      </c>
      <c r="B482" s="3">
        <v>1694.6</v>
      </c>
      <c r="D482" s="2">
        <v>45264</v>
      </c>
      <c r="E482" s="3">
        <v>7404.8</v>
      </c>
      <c r="G482" s="3">
        <v>1594100000</v>
      </c>
      <c r="H482" s="3">
        <f t="shared" si="21"/>
        <v>2701361860000</v>
      </c>
      <c r="J482" s="3">
        <v>317816130</v>
      </c>
      <c r="K482" s="3">
        <f t="shared" si="22"/>
        <v>2353364879424</v>
      </c>
      <c r="M482" s="4">
        <f t="shared" si="23"/>
        <v>-0.14787208886246916</v>
      </c>
    </row>
    <row r="483" spans="1:13" x14ac:dyDescent="0.45">
      <c r="A483" s="2">
        <v>45261</v>
      </c>
      <c r="B483" s="3">
        <v>1684.85</v>
      </c>
      <c r="D483" s="2">
        <v>45261</v>
      </c>
      <c r="E483" s="3">
        <v>7256.15</v>
      </c>
      <c r="G483" s="3">
        <v>1594100000</v>
      </c>
      <c r="H483" s="3">
        <f t="shared" si="21"/>
        <v>2685819385000</v>
      </c>
      <c r="J483" s="3">
        <v>317816130</v>
      </c>
      <c r="K483" s="3">
        <f t="shared" si="22"/>
        <v>2306121511699.5</v>
      </c>
      <c r="M483" s="4">
        <f t="shared" si="23"/>
        <v>-0.16464781728725164</v>
      </c>
    </row>
    <row r="484" spans="1:13" x14ac:dyDescent="0.45">
      <c r="A484" s="2">
        <v>45260</v>
      </c>
      <c r="B484" s="3">
        <v>1674.8</v>
      </c>
      <c r="D484" s="2">
        <v>45260</v>
      </c>
      <c r="E484" s="3">
        <v>7124.9</v>
      </c>
      <c r="G484" s="3">
        <v>1594100000</v>
      </c>
      <c r="H484" s="3">
        <f t="shared" si="21"/>
        <v>2669798680000</v>
      </c>
      <c r="J484" s="3">
        <v>317816130</v>
      </c>
      <c r="K484" s="3">
        <f t="shared" si="22"/>
        <v>2264408144637</v>
      </c>
      <c r="M484" s="4">
        <f t="shared" si="23"/>
        <v>-0.17902714946646103</v>
      </c>
    </row>
    <row r="485" spans="1:13" x14ac:dyDescent="0.45">
      <c r="A485" s="2">
        <v>45259</v>
      </c>
      <c r="B485" s="3">
        <v>1654</v>
      </c>
      <c r="D485" s="2">
        <v>45259</v>
      </c>
      <c r="E485" s="3">
        <v>7129.75</v>
      </c>
      <c r="G485" s="3">
        <v>1594100000</v>
      </c>
      <c r="H485" s="3">
        <f t="shared" si="21"/>
        <v>2636641400000</v>
      </c>
      <c r="J485" s="3">
        <v>317816130</v>
      </c>
      <c r="K485" s="3">
        <f t="shared" si="22"/>
        <v>2265949552867.5</v>
      </c>
      <c r="M485" s="4">
        <f t="shared" si="23"/>
        <v>-0.16359227709345925</v>
      </c>
    </row>
    <row r="486" spans="1:13" x14ac:dyDescent="0.45">
      <c r="A486" s="2">
        <v>45258</v>
      </c>
      <c r="B486" s="3">
        <v>1654.55</v>
      </c>
      <c r="D486" s="2">
        <v>45258</v>
      </c>
      <c r="E486" s="3">
        <v>7126.15</v>
      </c>
      <c r="G486" s="3">
        <v>1594100000</v>
      </c>
      <c r="H486" s="3">
        <f t="shared" si="21"/>
        <v>2637518155000</v>
      </c>
      <c r="J486" s="3">
        <v>317816130</v>
      </c>
      <c r="K486" s="3">
        <f t="shared" si="22"/>
        <v>2264805414799.5</v>
      </c>
      <c r="M486" s="4">
        <f t="shared" si="23"/>
        <v>-0.1645672240824696</v>
      </c>
    </row>
    <row r="487" spans="1:13" x14ac:dyDescent="0.45">
      <c r="A487" s="2">
        <v>45254</v>
      </c>
      <c r="B487" s="3">
        <v>1617</v>
      </c>
      <c r="D487" s="2">
        <v>45254</v>
      </c>
      <c r="E487" s="3">
        <v>7021.85</v>
      </c>
      <c r="G487" s="3">
        <v>1594100000</v>
      </c>
      <c r="H487" s="3">
        <f t="shared" si="21"/>
        <v>2577659700000</v>
      </c>
      <c r="J487" s="3">
        <v>317816130</v>
      </c>
      <c r="K487" s="3">
        <f t="shared" si="22"/>
        <v>2231657192440.5</v>
      </c>
      <c r="M487" s="4">
        <f t="shared" si="23"/>
        <v>-0.1550428572683773</v>
      </c>
    </row>
    <row r="488" spans="1:13" x14ac:dyDescent="0.45">
      <c r="A488" s="2">
        <v>45253</v>
      </c>
      <c r="B488" s="3">
        <v>1624</v>
      </c>
      <c r="D488" s="2">
        <v>45253</v>
      </c>
      <c r="E488" s="3">
        <v>7072.25</v>
      </c>
      <c r="G488" s="3">
        <v>1594100000</v>
      </c>
      <c r="H488" s="3">
        <f t="shared" si="21"/>
        <v>2588818400000</v>
      </c>
      <c r="J488" s="3">
        <v>317816130</v>
      </c>
      <c r="K488" s="3">
        <f t="shared" si="22"/>
        <v>2247675125392.5</v>
      </c>
      <c r="M488" s="4">
        <f t="shared" si="23"/>
        <v>-0.15177605996237009</v>
      </c>
    </row>
    <row r="489" spans="1:13" x14ac:dyDescent="0.45">
      <c r="A489" s="2">
        <v>45252</v>
      </c>
      <c r="B489" s="3">
        <v>1622</v>
      </c>
      <c r="D489" s="2">
        <v>45252</v>
      </c>
      <c r="E489" s="3">
        <v>7125.9</v>
      </c>
      <c r="G489" s="3">
        <v>1594100000</v>
      </c>
      <c r="H489" s="3">
        <f t="shared" si="21"/>
        <v>2585630200000</v>
      </c>
      <c r="J489" s="3">
        <v>317816130</v>
      </c>
      <c r="K489" s="3">
        <f t="shared" si="22"/>
        <v>2264725960767</v>
      </c>
      <c r="M489" s="4">
        <f t="shared" si="23"/>
        <v>-0.14169671951140561</v>
      </c>
    </row>
    <row r="490" spans="1:13" x14ac:dyDescent="0.45">
      <c r="A490" s="2">
        <v>45251</v>
      </c>
      <c r="B490" s="3">
        <v>1610.1</v>
      </c>
      <c r="D490" s="2">
        <v>45251</v>
      </c>
      <c r="E490" s="3">
        <v>7104.15</v>
      </c>
      <c r="G490" s="3">
        <v>1594100000</v>
      </c>
      <c r="H490" s="3">
        <f t="shared" si="21"/>
        <v>2566660410000</v>
      </c>
      <c r="J490" s="3">
        <v>317816130</v>
      </c>
      <c r="K490" s="3">
        <f t="shared" si="22"/>
        <v>2257813459939.5</v>
      </c>
      <c r="M490" s="4">
        <f t="shared" si="23"/>
        <v>-0.13679028650523484</v>
      </c>
    </row>
    <row r="491" spans="1:13" x14ac:dyDescent="0.45">
      <c r="A491" s="2">
        <v>45250</v>
      </c>
      <c r="B491" s="3">
        <v>1598.35</v>
      </c>
      <c r="D491" s="2">
        <v>45250</v>
      </c>
      <c r="E491" s="3">
        <v>7067.3</v>
      </c>
      <c r="G491" s="3">
        <v>1594100000</v>
      </c>
      <c r="H491" s="3">
        <f t="shared" si="21"/>
        <v>2547929735000</v>
      </c>
      <c r="J491" s="3">
        <v>317816130</v>
      </c>
      <c r="K491" s="3">
        <f t="shared" si="22"/>
        <v>2246101935549</v>
      </c>
      <c r="M491" s="4">
        <f t="shared" si="23"/>
        <v>-0.13437849577259997</v>
      </c>
    </row>
    <row r="492" spans="1:13" x14ac:dyDescent="0.45">
      <c r="A492" s="2">
        <v>45247</v>
      </c>
      <c r="B492" s="3">
        <v>1615.25</v>
      </c>
      <c r="D492" s="2">
        <v>45247</v>
      </c>
      <c r="E492" s="3">
        <v>7219.3</v>
      </c>
      <c r="G492" s="3">
        <v>1594100000</v>
      </c>
      <c r="H492" s="3">
        <f t="shared" si="21"/>
        <v>2574870025000</v>
      </c>
      <c r="J492" s="3">
        <v>317816130</v>
      </c>
      <c r="K492" s="3">
        <f t="shared" si="22"/>
        <v>2294409987309</v>
      </c>
      <c r="M492" s="4">
        <f t="shared" si="23"/>
        <v>-0.1222362346931456</v>
      </c>
    </row>
    <row r="493" spans="1:13" x14ac:dyDescent="0.45">
      <c r="A493" s="2">
        <v>45246</v>
      </c>
      <c r="B493" s="3">
        <v>1620.15</v>
      </c>
      <c r="D493" s="2">
        <v>45246</v>
      </c>
      <c r="E493" s="3">
        <v>7365.85</v>
      </c>
      <c r="G493" s="3">
        <v>1594100000</v>
      </c>
      <c r="H493" s="3">
        <f t="shared" si="21"/>
        <v>2582681115000</v>
      </c>
      <c r="J493" s="3">
        <v>317816130</v>
      </c>
      <c r="K493" s="3">
        <f t="shared" si="22"/>
        <v>2340985941160.5</v>
      </c>
      <c r="M493" s="4">
        <f t="shared" si="23"/>
        <v>-0.10324503432074605</v>
      </c>
    </row>
    <row r="494" spans="1:13" x14ac:dyDescent="0.45">
      <c r="A494" s="2">
        <v>45245</v>
      </c>
      <c r="B494" s="3">
        <v>1594.05</v>
      </c>
      <c r="D494" s="2">
        <v>45245</v>
      </c>
      <c r="E494" s="3">
        <v>7223.95</v>
      </c>
      <c r="G494" s="3">
        <v>1594100000</v>
      </c>
      <c r="H494" s="3">
        <f t="shared" si="21"/>
        <v>2541075105000</v>
      </c>
      <c r="J494" s="3">
        <v>317816130</v>
      </c>
      <c r="K494" s="3">
        <f t="shared" si="22"/>
        <v>2295887832313.5</v>
      </c>
      <c r="M494" s="4">
        <f t="shared" si="23"/>
        <v>-0.10679409909996851</v>
      </c>
    </row>
    <row r="495" spans="1:13" x14ac:dyDescent="0.45">
      <c r="A495" s="2">
        <v>45243</v>
      </c>
      <c r="B495" s="3">
        <v>1585.4</v>
      </c>
      <c r="D495" s="2">
        <v>45243</v>
      </c>
      <c r="E495" s="3">
        <v>7359.55</v>
      </c>
      <c r="G495" s="3">
        <v>1594100000</v>
      </c>
      <c r="H495" s="3">
        <f t="shared" si="21"/>
        <v>2527286140000</v>
      </c>
      <c r="J495" s="3">
        <v>317816130</v>
      </c>
      <c r="K495" s="3">
        <f t="shared" si="22"/>
        <v>2338983699541.5</v>
      </c>
      <c r="M495" s="4">
        <f t="shared" si="23"/>
        <v>-8.0506093520622768E-2</v>
      </c>
    </row>
    <row r="496" spans="1:13" x14ac:dyDescent="0.45">
      <c r="A496" s="2">
        <v>45242</v>
      </c>
      <c r="B496" s="3">
        <v>1593.65</v>
      </c>
      <c r="D496" s="2">
        <v>45242</v>
      </c>
      <c r="E496" s="3">
        <v>7458.05</v>
      </c>
      <c r="G496" s="3">
        <v>1594100000</v>
      </c>
      <c r="H496" s="3">
        <f t="shared" si="21"/>
        <v>2540437465000</v>
      </c>
      <c r="J496" s="3">
        <v>317816130</v>
      </c>
      <c r="K496" s="3">
        <f t="shared" si="22"/>
        <v>2370288588346.5</v>
      </c>
      <c r="M496" s="4">
        <f t="shared" si="23"/>
        <v>-7.178403401595701E-2</v>
      </c>
    </row>
    <row r="497" spans="1:13" x14ac:dyDescent="0.45">
      <c r="A497" s="2">
        <v>45240</v>
      </c>
      <c r="B497" s="3">
        <v>1595.95</v>
      </c>
      <c r="D497" s="2">
        <v>45240</v>
      </c>
      <c r="E497" s="3">
        <v>7445.6</v>
      </c>
      <c r="G497" s="3">
        <v>1594100000</v>
      </c>
      <c r="H497" s="3">
        <f t="shared" si="21"/>
        <v>2544103895000</v>
      </c>
      <c r="J497" s="3">
        <v>317816130</v>
      </c>
      <c r="K497" s="3">
        <f t="shared" si="22"/>
        <v>2366331777528</v>
      </c>
      <c r="M497" s="4">
        <f t="shared" si="23"/>
        <v>-7.512560967156956E-2</v>
      </c>
    </row>
    <row r="498" spans="1:13" x14ac:dyDescent="0.45">
      <c r="A498" s="2">
        <v>45239</v>
      </c>
      <c r="B498" s="3">
        <v>1583.05</v>
      </c>
      <c r="D498" s="2">
        <v>45239</v>
      </c>
      <c r="E498" s="3">
        <v>7383.95</v>
      </c>
      <c r="G498" s="3">
        <v>1594100000</v>
      </c>
      <c r="H498" s="3">
        <f t="shared" si="21"/>
        <v>2523540005000</v>
      </c>
      <c r="J498" s="3">
        <v>317816130</v>
      </c>
      <c r="K498" s="3">
        <f t="shared" si="22"/>
        <v>2346738413113.5</v>
      </c>
      <c r="M498" s="4">
        <f t="shared" si="23"/>
        <v>-7.5339284045694344E-2</v>
      </c>
    </row>
    <row r="499" spans="1:13" x14ac:dyDescent="0.45">
      <c r="A499" s="2">
        <v>45238</v>
      </c>
      <c r="B499" s="3">
        <v>1575.5</v>
      </c>
      <c r="D499" s="2">
        <v>45238</v>
      </c>
      <c r="E499" s="3">
        <v>7458.8</v>
      </c>
      <c r="G499" s="3">
        <v>1594100000</v>
      </c>
      <c r="H499" s="3">
        <f t="shared" si="21"/>
        <v>2511504550000</v>
      </c>
      <c r="J499" s="3">
        <v>317816130</v>
      </c>
      <c r="K499" s="3">
        <f t="shared" si="22"/>
        <v>2370526950444</v>
      </c>
      <c r="M499" s="4">
        <f t="shared" si="23"/>
        <v>-5.9470996324085146E-2</v>
      </c>
    </row>
    <row r="500" spans="1:13" x14ac:dyDescent="0.45">
      <c r="A500" s="2">
        <v>45237</v>
      </c>
      <c r="B500" s="3">
        <v>1569.75</v>
      </c>
      <c r="D500" s="2">
        <v>45237</v>
      </c>
      <c r="E500" s="3">
        <v>7498.75</v>
      </c>
      <c r="G500" s="3">
        <v>1594100000</v>
      </c>
      <c r="H500" s="3">
        <f t="shared" si="21"/>
        <v>2502338475000</v>
      </c>
      <c r="J500" s="3">
        <v>317816130</v>
      </c>
      <c r="K500" s="3">
        <f t="shared" si="22"/>
        <v>2383223704837.5</v>
      </c>
      <c r="M500" s="4">
        <f t="shared" si="23"/>
        <v>-4.9980524245675895E-2</v>
      </c>
    </row>
    <row r="501" spans="1:13" x14ac:dyDescent="0.45">
      <c r="A501" s="2">
        <v>45236</v>
      </c>
      <c r="B501" s="3">
        <v>1564.2</v>
      </c>
      <c r="D501" s="2">
        <v>45236</v>
      </c>
      <c r="E501" s="3">
        <v>7560.05</v>
      </c>
      <c r="G501" s="3">
        <v>1594100000</v>
      </c>
      <c r="H501" s="3">
        <f t="shared" si="21"/>
        <v>2493491220000</v>
      </c>
      <c r="J501" s="3">
        <v>317816130</v>
      </c>
      <c r="K501" s="3">
        <f t="shared" si="22"/>
        <v>2402705833606.5</v>
      </c>
      <c r="M501" s="4">
        <f t="shared" si="23"/>
        <v>-3.7784644763287467E-2</v>
      </c>
    </row>
    <row r="502" spans="1:13" x14ac:dyDescent="0.45">
      <c r="A502" s="2">
        <v>45233</v>
      </c>
      <c r="B502" s="3">
        <v>1538.3</v>
      </c>
      <c r="D502" s="2">
        <v>45233</v>
      </c>
      <c r="E502" s="3">
        <v>7420.2</v>
      </c>
      <c r="G502" s="3">
        <v>1594100000</v>
      </c>
      <c r="H502" s="3">
        <f t="shared" si="21"/>
        <v>2452204030000</v>
      </c>
      <c r="J502" s="3">
        <v>317816130</v>
      </c>
      <c r="K502" s="3">
        <f t="shared" si="22"/>
        <v>2358259247826</v>
      </c>
      <c r="M502" s="4">
        <f t="shared" si="23"/>
        <v>-3.9836494762229613E-2</v>
      </c>
    </row>
    <row r="503" spans="1:13" x14ac:dyDescent="0.45">
      <c r="A503" s="2">
        <v>45232</v>
      </c>
      <c r="B503" s="3">
        <v>1575.7</v>
      </c>
      <c r="D503" s="2">
        <v>45232</v>
      </c>
      <c r="E503" s="3">
        <v>7452.9</v>
      </c>
      <c r="G503" s="3">
        <v>1594100000</v>
      </c>
      <c r="H503" s="3">
        <f t="shared" si="21"/>
        <v>2511823370000</v>
      </c>
      <c r="J503" s="3">
        <v>317816130</v>
      </c>
      <c r="K503" s="3">
        <f t="shared" si="22"/>
        <v>2368651835277</v>
      </c>
      <c r="M503" s="4">
        <f t="shared" si="23"/>
        <v>-6.0444313761400359E-2</v>
      </c>
    </row>
    <row r="504" spans="1:13" x14ac:dyDescent="0.45">
      <c r="A504" s="2">
        <v>45231</v>
      </c>
      <c r="B504" s="3">
        <v>1573.55</v>
      </c>
      <c r="D504" s="2">
        <v>45231</v>
      </c>
      <c r="E504" s="3">
        <v>7473.25</v>
      </c>
      <c r="G504" s="3">
        <v>1594100000</v>
      </c>
      <c r="H504" s="3">
        <f t="shared" si="21"/>
        <v>2508396055000</v>
      </c>
      <c r="J504" s="3">
        <v>317816130</v>
      </c>
      <c r="K504" s="3">
        <f t="shared" si="22"/>
        <v>2375119393522.5</v>
      </c>
      <c r="M504" s="4">
        <f t="shared" si="23"/>
        <v>-5.611366815536778E-2</v>
      </c>
    </row>
    <row r="505" spans="1:13" x14ac:dyDescent="0.45">
      <c r="A505" s="2">
        <v>45230</v>
      </c>
      <c r="B505" s="3">
        <v>1567.7</v>
      </c>
      <c r="D505" s="2">
        <v>45230</v>
      </c>
      <c r="E505" s="3">
        <v>7491.45</v>
      </c>
      <c r="G505" s="3">
        <v>1594100000</v>
      </c>
      <c r="H505" s="3">
        <f t="shared" si="21"/>
        <v>2499070570000</v>
      </c>
      <c r="J505" s="3">
        <v>317816130</v>
      </c>
      <c r="K505" s="3">
        <f t="shared" si="22"/>
        <v>2380903647088.5</v>
      </c>
      <c r="M505" s="4">
        <f t="shared" si="23"/>
        <v>-4.9631123483724782E-2</v>
      </c>
    </row>
    <row r="506" spans="1:13" x14ac:dyDescent="0.45">
      <c r="A506" s="2">
        <v>45229</v>
      </c>
      <c r="B506" s="3">
        <v>1560.5</v>
      </c>
      <c r="D506" s="2">
        <v>45229</v>
      </c>
      <c r="E506" s="3">
        <v>7502</v>
      </c>
      <c r="G506" s="3">
        <v>1594100000</v>
      </c>
      <c r="H506" s="3">
        <f t="shared" si="21"/>
        <v>2487593050000</v>
      </c>
      <c r="J506" s="3">
        <v>317816130</v>
      </c>
      <c r="K506" s="3">
        <f t="shared" si="22"/>
        <v>2384256607260</v>
      </c>
      <c r="M506" s="4">
        <f t="shared" si="23"/>
        <v>-4.3341158172884198E-2</v>
      </c>
    </row>
    <row r="507" spans="1:13" x14ac:dyDescent="0.45">
      <c r="A507" s="2">
        <v>45226</v>
      </c>
      <c r="B507" s="3">
        <v>1566</v>
      </c>
      <c r="D507" s="2">
        <v>45226</v>
      </c>
      <c r="E507" s="3">
        <v>7506.2</v>
      </c>
      <c r="G507" s="3">
        <v>1594100000</v>
      </c>
      <c r="H507" s="3">
        <f t="shared" si="21"/>
        <v>2496360600000</v>
      </c>
      <c r="J507" s="3">
        <v>317816130</v>
      </c>
      <c r="K507" s="3">
        <f t="shared" si="22"/>
        <v>2385591435006</v>
      </c>
      <c r="M507" s="4">
        <f t="shared" si="23"/>
        <v>-4.6432579933253004E-2</v>
      </c>
    </row>
    <row r="508" spans="1:13" x14ac:dyDescent="0.45">
      <c r="A508" s="2">
        <v>45225</v>
      </c>
      <c r="B508" s="3">
        <v>1559</v>
      </c>
      <c r="D508" s="2">
        <v>45225</v>
      </c>
      <c r="E508" s="3">
        <v>7421.15</v>
      </c>
      <c r="G508" s="3">
        <v>1594100000</v>
      </c>
      <c r="H508" s="3">
        <f t="shared" si="21"/>
        <v>2485201900000</v>
      </c>
      <c r="J508" s="3">
        <v>317816130</v>
      </c>
      <c r="K508" s="3">
        <f t="shared" si="22"/>
        <v>2358561173149.5</v>
      </c>
      <c r="M508" s="4">
        <f t="shared" si="23"/>
        <v>-5.3694060723212367E-2</v>
      </c>
    </row>
    <row r="509" spans="1:13" x14ac:dyDescent="0.45">
      <c r="A509" s="2">
        <v>45224</v>
      </c>
      <c r="B509" s="3">
        <v>1609.95</v>
      </c>
      <c r="D509" s="2">
        <v>45224</v>
      </c>
      <c r="E509" s="3">
        <v>7693.35</v>
      </c>
      <c r="G509" s="3">
        <v>1594100000</v>
      </c>
      <c r="H509" s="3">
        <f t="shared" si="21"/>
        <v>2566421295000</v>
      </c>
      <c r="J509" s="3">
        <v>317816130</v>
      </c>
      <c r="K509" s="3">
        <f t="shared" si="22"/>
        <v>2445070723735.5</v>
      </c>
      <c r="M509" s="4">
        <f t="shared" si="23"/>
        <v>-4.9630699875668371E-2</v>
      </c>
    </row>
    <row r="510" spans="1:13" x14ac:dyDescent="0.45">
      <c r="A510" s="2">
        <v>45222</v>
      </c>
      <c r="B510" s="3">
        <v>1611.8</v>
      </c>
      <c r="D510" s="2">
        <v>45222</v>
      </c>
      <c r="E510" s="3">
        <v>7794.4</v>
      </c>
      <c r="G510" s="3">
        <v>1594100000</v>
      </c>
      <c r="H510" s="3">
        <f t="shared" si="21"/>
        <v>2569370380000</v>
      </c>
      <c r="J510" s="3">
        <v>317816130</v>
      </c>
      <c r="K510" s="3">
        <f t="shared" si="22"/>
        <v>2477186043672</v>
      </c>
      <c r="M510" s="4">
        <f t="shared" si="23"/>
        <v>-3.7213327825532438E-2</v>
      </c>
    </row>
    <row r="511" spans="1:13" x14ac:dyDescent="0.45">
      <c r="A511" s="2">
        <v>45219</v>
      </c>
      <c r="B511" s="3">
        <v>1635.3</v>
      </c>
      <c r="D511" s="2">
        <v>45219</v>
      </c>
      <c r="E511" s="3">
        <v>7766.3</v>
      </c>
      <c r="G511" s="3">
        <v>1594100000</v>
      </c>
      <c r="H511" s="3">
        <f t="shared" si="21"/>
        <v>2606831730000</v>
      </c>
      <c r="J511" s="3">
        <v>317816130</v>
      </c>
      <c r="K511" s="3">
        <f t="shared" si="22"/>
        <v>2468255410419</v>
      </c>
      <c r="M511" s="4">
        <f t="shared" si="23"/>
        <v>-5.6143427862465733E-2</v>
      </c>
    </row>
    <row r="512" spans="1:13" x14ac:dyDescent="0.45">
      <c r="A512" s="2">
        <v>45218</v>
      </c>
      <c r="B512" s="3">
        <v>1634.45</v>
      </c>
      <c r="D512" s="2">
        <v>45218</v>
      </c>
      <c r="E512" s="3">
        <v>7842.6</v>
      </c>
      <c r="G512" s="3">
        <v>1594100000</v>
      </c>
      <c r="H512" s="3">
        <f t="shared" si="21"/>
        <v>2605476745000</v>
      </c>
      <c r="J512" s="3">
        <v>317816130</v>
      </c>
      <c r="K512" s="3">
        <f t="shared" si="22"/>
        <v>2492504781138</v>
      </c>
      <c r="M512" s="4">
        <f t="shared" si="23"/>
        <v>-4.5324672882039785E-2</v>
      </c>
    </row>
    <row r="513" spans="1:13" x14ac:dyDescent="0.45">
      <c r="A513" s="2">
        <v>45217</v>
      </c>
      <c r="B513" s="3">
        <v>1628.4</v>
      </c>
      <c r="D513" s="2">
        <v>45217</v>
      </c>
      <c r="E513" s="3">
        <v>7871.1</v>
      </c>
      <c r="G513" s="3">
        <v>1594100000</v>
      </c>
      <c r="H513" s="3">
        <f t="shared" si="21"/>
        <v>2595832440000</v>
      </c>
      <c r="J513" s="3">
        <v>317816130</v>
      </c>
      <c r="K513" s="3">
        <f t="shared" si="22"/>
        <v>2501562540843</v>
      </c>
      <c r="M513" s="4">
        <f t="shared" si="23"/>
        <v>-3.7684406293209127E-2</v>
      </c>
    </row>
    <row r="514" spans="1:13" x14ac:dyDescent="0.45">
      <c r="A514" s="2">
        <v>45216</v>
      </c>
      <c r="B514" s="3">
        <v>1657.4</v>
      </c>
      <c r="D514" s="2">
        <v>45216</v>
      </c>
      <c r="E514" s="3">
        <v>8091.35</v>
      </c>
      <c r="G514" s="3">
        <v>1594100000</v>
      </c>
      <c r="H514" s="3">
        <f t="shared" si="21"/>
        <v>2642061340000</v>
      </c>
      <c r="J514" s="3">
        <v>317816130</v>
      </c>
      <c r="K514" s="3">
        <f t="shared" si="22"/>
        <v>2571561543475.5</v>
      </c>
      <c r="M514" s="4">
        <f t="shared" si="23"/>
        <v>-2.7415169861818134E-2</v>
      </c>
    </row>
    <row r="515" spans="1:13" x14ac:dyDescent="0.45">
      <c r="A515" s="2">
        <v>45215</v>
      </c>
      <c r="B515" s="3">
        <v>1641.55</v>
      </c>
      <c r="D515" s="2">
        <v>45215</v>
      </c>
      <c r="E515" s="3">
        <v>8032.75</v>
      </c>
      <c r="G515" s="3">
        <v>1594100000</v>
      </c>
      <c r="H515" s="3">
        <f t="shared" si="21"/>
        <v>2616794855000</v>
      </c>
      <c r="J515" s="3">
        <v>317816130</v>
      </c>
      <c r="K515" s="3">
        <f t="shared" si="22"/>
        <v>2552937518257.5</v>
      </c>
      <c r="M515" s="4">
        <f t="shared" si="23"/>
        <v>-2.5013278345364931E-2</v>
      </c>
    </row>
    <row r="516" spans="1:13" x14ac:dyDescent="0.45">
      <c r="A516" s="2">
        <v>45212</v>
      </c>
      <c r="B516" s="3">
        <v>1646.2</v>
      </c>
      <c r="D516" s="2">
        <v>45212</v>
      </c>
      <c r="E516" s="3">
        <v>8049.7</v>
      </c>
      <c r="G516" s="3">
        <v>1594100000</v>
      </c>
      <c r="H516" s="3">
        <f t="shared" ref="H516:H579" si="24">+G516*B516</f>
        <v>2624207420000</v>
      </c>
      <c r="J516" s="3">
        <v>317816130</v>
      </c>
      <c r="K516" s="3">
        <f t="shared" ref="K516:K579" si="25">+J516*E516</f>
        <v>2558324501661</v>
      </c>
      <c r="M516" s="4">
        <f t="shared" ref="M516:M579" si="26">1- (H516/K516)</f>
        <v>-2.5752369684231002E-2</v>
      </c>
    </row>
    <row r="517" spans="1:13" x14ac:dyDescent="0.45">
      <c r="A517" s="2">
        <v>45211</v>
      </c>
      <c r="B517" s="3">
        <v>1634.35</v>
      </c>
      <c r="D517" s="2">
        <v>45211</v>
      </c>
      <c r="E517" s="3">
        <v>8014.45</v>
      </c>
      <c r="G517" s="3">
        <v>1594100000</v>
      </c>
      <c r="H517" s="3">
        <f t="shared" si="24"/>
        <v>2605317335000</v>
      </c>
      <c r="J517" s="3">
        <v>317816130</v>
      </c>
      <c r="K517" s="3">
        <f t="shared" si="25"/>
        <v>2547121483078.5</v>
      </c>
      <c r="M517" s="4">
        <f t="shared" si="26"/>
        <v>-2.2847693880373221E-2</v>
      </c>
    </row>
    <row r="518" spans="1:13" x14ac:dyDescent="0.45">
      <c r="A518" s="2">
        <v>45210</v>
      </c>
      <c r="B518" s="3">
        <v>1635.8</v>
      </c>
      <c r="D518" s="2">
        <v>45210</v>
      </c>
      <c r="E518" s="3">
        <v>8098.4</v>
      </c>
      <c r="G518" s="3">
        <v>1594100000</v>
      </c>
      <c r="H518" s="3">
        <f t="shared" si="24"/>
        <v>2607628780000</v>
      </c>
      <c r="J518" s="3">
        <v>317816130</v>
      </c>
      <c r="K518" s="3">
        <f t="shared" si="25"/>
        <v>2573802147192</v>
      </c>
      <c r="M518" s="4">
        <f t="shared" si="26"/>
        <v>-1.3142670210647189E-2</v>
      </c>
    </row>
    <row r="519" spans="1:13" x14ac:dyDescent="0.45">
      <c r="A519" s="2">
        <v>45209</v>
      </c>
      <c r="B519" s="3">
        <v>1633.15</v>
      </c>
      <c r="D519" s="2">
        <v>45209</v>
      </c>
      <c r="E519" s="3">
        <v>8081.95</v>
      </c>
      <c r="G519" s="3">
        <v>1594100000</v>
      </c>
      <c r="H519" s="3">
        <f t="shared" si="24"/>
        <v>2603404415000</v>
      </c>
      <c r="J519" s="3">
        <v>317816130</v>
      </c>
      <c r="K519" s="3">
        <f t="shared" si="25"/>
        <v>2568574071853.5</v>
      </c>
      <c r="M519" s="4">
        <f t="shared" si="26"/>
        <v>-1.3560186380518147E-2</v>
      </c>
    </row>
    <row r="520" spans="1:13" x14ac:dyDescent="0.45">
      <c r="A520" s="2">
        <v>45208</v>
      </c>
      <c r="B520" s="3">
        <v>1620.65</v>
      </c>
      <c r="D520" s="2">
        <v>45208</v>
      </c>
      <c r="E520" s="3">
        <v>8026.45</v>
      </c>
      <c r="G520" s="3">
        <v>1594100000</v>
      </c>
      <c r="H520" s="3">
        <f t="shared" si="24"/>
        <v>2583478165000</v>
      </c>
      <c r="J520" s="3">
        <v>317816130</v>
      </c>
      <c r="K520" s="3">
        <f t="shared" si="25"/>
        <v>2550935276638.5</v>
      </c>
      <c r="M520" s="4">
        <f t="shared" si="26"/>
        <v>-1.275723796661099E-2</v>
      </c>
    </row>
    <row r="521" spans="1:13" x14ac:dyDescent="0.45">
      <c r="A521" s="2">
        <v>45205</v>
      </c>
      <c r="B521" s="1">
        <v>1632.8</v>
      </c>
      <c r="D521" s="2">
        <v>45205</v>
      </c>
      <c r="E521" s="3">
        <v>8167.5</v>
      </c>
      <c r="G521" s="3">
        <v>1594100000</v>
      </c>
      <c r="H521" s="3">
        <f t="shared" si="24"/>
        <v>2602846480000</v>
      </c>
      <c r="J521" s="3">
        <v>317816130</v>
      </c>
      <c r="K521" s="3">
        <f t="shared" si="25"/>
        <v>2595763241775</v>
      </c>
      <c r="M521" s="4">
        <f t="shared" si="26"/>
        <v>-2.7287689843995544E-3</v>
      </c>
    </row>
    <row r="522" spans="1:13" x14ac:dyDescent="0.45">
      <c r="A522" s="2">
        <v>45204</v>
      </c>
      <c r="B522" s="3">
        <v>1542.45</v>
      </c>
      <c r="D522" s="2">
        <v>45204</v>
      </c>
      <c r="E522" s="3">
        <v>7849.25</v>
      </c>
      <c r="G522" s="3">
        <v>1594100000</v>
      </c>
      <c r="H522" s="3">
        <f t="shared" si="24"/>
        <v>2458819545000</v>
      </c>
      <c r="J522" s="3">
        <v>317816130</v>
      </c>
      <c r="K522" s="3">
        <f t="shared" si="25"/>
        <v>2494618258402.5</v>
      </c>
      <c r="M522" s="4">
        <f t="shared" si="26"/>
        <v>1.4350377370133116E-2</v>
      </c>
    </row>
    <row r="523" spans="1:13" x14ac:dyDescent="0.45">
      <c r="A523" s="2">
        <v>45203</v>
      </c>
      <c r="B523" s="1">
        <v>1532.25</v>
      </c>
      <c r="D523" s="2">
        <v>45203</v>
      </c>
      <c r="E523" s="3">
        <v>7854.5</v>
      </c>
      <c r="G523" s="3">
        <v>1594100000</v>
      </c>
      <c r="H523" s="3">
        <f t="shared" si="24"/>
        <v>2442559725000</v>
      </c>
      <c r="J523" s="3">
        <v>317816130</v>
      </c>
      <c r="K523" s="3">
        <f t="shared" si="25"/>
        <v>2496286793085</v>
      </c>
      <c r="M523" s="4">
        <f t="shared" si="26"/>
        <v>2.1522794669999512E-2</v>
      </c>
    </row>
    <row r="524" spans="1:13" x14ac:dyDescent="0.45">
      <c r="A524" s="2">
        <v>45202</v>
      </c>
      <c r="B524" s="1">
        <v>1560.5</v>
      </c>
      <c r="D524" s="2">
        <v>45202</v>
      </c>
      <c r="E524" s="3">
        <v>7968.95</v>
      </c>
      <c r="G524" s="3">
        <v>1594100000</v>
      </c>
      <c r="H524" s="3">
        <f t="shared" si="24"/>
        <v>2487593050000</v>
      </c>
      <c r="J524" s="3">
        <v>317816130</v>
      </c>
      <c r="K524" s="3">
        <f t="shared" si="25"/>
        <v>2532660849163.5</v>
      </c>
      <c r="M524" s="4">
        <f t="shared" si="26"/>
        <v>1.7794644386904479E-2</v>
      </c>
    </row>
    <row r="525" spans="1:13" x14ac:dyDescent="0.45">
      <c r="A525" s="2">
        <v>45198</v>
      </c>
      <c r="B525" s="1">
        <v>1540.45</v>
      </c>
      <c r="D525" s="2">
        <v>45198</v>
      </c>
      <c r="E525" s="3">
        <v>7809.4</v>
      </c>
      <c r="G525" s="3">
        <v>1594100000</v>
      </c>
      <c r="H525" s="3">
        <f t="shared" si="24"/>
        <v>2455631345000</v>
      </c>
      <c r="J525" s="3">
        <v>317816130</v>
      </c>
      <c r="K525" s="3">
        <f t="shared" si="25"/>
        <v>2481953285622</v>
      </c>
      <c r="M525" s="4">
        <f t="shared" si="26"/>
        <v>1.0605332813668711E-2</v>
      </c>
    </row>
    <row r="526" spans="1:13" x14ac:dyDescent="0.45">
      <c r="A526" s="2">
        <v>45197</v>
      </c>
      <c r="B526" s="1">
        <v>1539.2</v>
      </c>
      <c r="D526" s="2">
        <v>45197</v>
      </c>
      <c r="E526" s="3">
        <v>7737.15</v>
      </c>
      <c r="G526" s="3">
        <v>1594100000</v>
      </c>
      <c r="H526" s="3">
        <f t="shared" si="24"/>
        <v>2453638720000</v>
      </c>
      <c r="J526" s="3">
        <v>317816130</v>
      </c>
      <c r="K526" s="3">
        <f t="shared" si="25"/>
        <v>2458991070229.5</v>
      </c>
      <c r="M526" s="4">
        <f t="shared" si="26"/>
        <v>2.1766448419840989E-3</v>
      </c>
    </row>
    <row r="527" spans="1:13" x14ac:dyDescent="0.45">
      <c r="A527" s="2">
        <v>45196</v>
      </c>
      <c r="B527" s="1">
        <v>1566.15</v>
      </c>
      <c r="D527" s="2">
        <v>45196</v>
      </c>
      <c r="E527" s="3">
        <v>7838.65</v>
      </c>
      <c r="G527" s="3">
        <v>1594100000</v>
      </c>
      <c r="H527" s="3">
        <f t="shared" si="24"/>
        <v>2496599715000</v>
      </c>
      <c r="J527" s="3">
        <v>317816130</v>
      </c>
      <c r="K527" s="3">
        <f t="shared" si="25"/>
        <v>2491249407424.5</v>
      </c>
      <c r="M527" s="4">
        <f t="shared" si="26"/>
        <v>-2.1476402802365069E-3</v>
      </c>
    </row>
    <row r="528" spans="1:13" x14ac:dyDescent="0.45">
      <c r="A528" s="2">
        <v>45195</v>
      </c>
      <c r="B528" s="1">
        <v>1567.95</v>
      </c>
      <c r="D528" s="2">
        <v>45195</v>
      </c>
      <c r="E528" s="3">
        <v>7870.8</v>
      </c>
      <c r="G528" s="3">
        <v>1594100000</v>
      </c>
      <c r="H528" s="3">
        <f t="shared" si="24"/>
        <v>2499469095000</v>
      </c>
      <c r="J528" s="3">
        <v>317816130</v>
      </c>
      <c r="K528" s="3">
        <f t="shared" si="25"/>
        <v>2501467196004</v>
      </c>
      <c r="M528" s="4">
        <f t="shared" si="26"/>
        <v>7.9877161978858524E-4</v>
      </c>
    </row>
    <row r="529" spans="1:13" x14ac:dyDescent="0.45">
      <c r="A529" s="2">
        <v>45194</v>
      </c>
      <c r="B529" s="1">
        <v>1576.75</v>
      </c>
      <c r="D529" s="2">
        <v>45194</v>
      </c>
      <c r="E529" s="3">
        <v>7819.2</v>
      </c>
      <c r="G529" s="3">
        <v>1594100000</v>
      </c>
      <c r="H529" s="3">
        <f t="shared" si="24"/>
        <v>2513497175000</v>
      </c>
      <c r="J529" s="3">
        <v>317816130</v>
      </c>
      <c r="K529" s="3">
        <f t="shared" si="25"/>
        <v>2485067883696</v>
      </c>
      <c r="M529" s="4">
        <f t="shared" si="26"/>
        <v>-1.1440046161522721E-2</v>
      </c>
    </row>
    <row r="530" spans="1:13" x14ac:dyDescent="0.45">
      <c r="A530" s="2">
        <v>45191</v>
      </c>
      <c r="B530" s="1">
        <v>1542.3</v>
      </c>
      <c r="D530" s="2">
        <v>45191</v>
      </c>
      <c r="E530" s="3">
        <v>7472.5</v>
      </c>
      <c r="G530" s="3">
        <v>1594100000</v>
      </c>
      <c r="H530" s="3">
        <f t="shared" si="24"/>
        <v>2458580430000</v>
      </c>
      <c r="J530" s="3">
        <v>317816130</v>
      </c>
      <c r="K530" s="3">
        <f t="shared" si="25"/>
        <v>2374881031425</v>
      </c>
      <c r="M530" s="4">
        <f t="shared" si="26"/>
        <v>-3.5243617455977594E-2</v>
      </c>
    </row>
    <row r="531" spans="1:13" x14ac:dyDescent="0.45">
      <c r="A531" s="2">
        <v>45190</v>
      </c>
      <c r="B531" s="1">
        <v>1525.3</v>
      </c>
      <c r="D531" s="2">
        <v>45190</v>
      </c>
      <c r="E531" s="3">
        <v>7479.15</v>
      </c>
      <c r="G531" s="3">
        <v>1594100000</v>
      </c>
      <c r="H531" s="3">
        <f t="shared" si="24"/>
        <v>2431480730000</v>
      </c>
      <c r="J531" s="3">
        <v>317816130</v>
      </c>
      <c r="K531" s="3">
        <f t="shared" si="25"/>
        <v>2376994508689.5</v>
      </c>
      <c r="M531" s="4">
        <f t="shared" si="26"/>
        <v>-2.2922316863297931E-2</v>
      </c>
    </row>
    <row r="532" spans="1:13" x14ac:dyDescent="0.45">
      <c r="A532" s="2">
        <v>45189</v>
      </c>
      <c r="B532" s="1">
        <v>1551.2</v>
      </c>
      <c r="D532" s="2">
        <v>45189</v>
      </c>
      <c r="E532" s="3">
        <v>7541.2</v>
      </c>
      <c r="G532" s="3">
        <v>1594100000</v>
      </c>
      <c r="H532" s="3">
        <f t="shared" si="24"/>
        <v>2472767920000</v>
      </c>
      <c r="J532" s="3">
        <v>317816130</v>
      </c>
      <c r="K532" s="3">
        <f t="shared" si="25"/>
        <v>2396714999556</v>
      </c>
      <c r="M532" s="4">
        <f t="shared" si="26"/>
        <v>-3.1732150238175549E-2</v>
      </c>
    </row>
    <row r="533" spans="1:13" x14ac:dyDescent="0.45">
      <c r="A533" s="2">
        <v>45187</v>
      </c>
      <c r="B533" s="1">
        <v>1559.15</v>
      </c>
      <c r="D533" s="2">
        <v>45187</v>
      </c>
      <c r="E533" s="3">
        <v>7546.15</v>
      </c>
      <c r="G533" s="3">
        <v>1594100000</v>
      </c>
      <c r="H533" s="3">
        <f t="shared" si="24"/>
        <v>2485441015000</v>
      </c>
      <c r="J533" s="3">
        <v>317816130</v>
      </c>
      <c r="K533" s="3">
        <f t="shared" si="25"/>
        <v>2398288189399.5</v>
      </c>
      <c r="M533" s="4">
        <f t="shared" si="26"/>
        <v>-3.6339596711403521E-2</v>
      </c>
    </row>
    <row r="534" spans="1:13" x14ac:dyDescent="0.45">
      <c r="A534" s="2">
        <v>45184</v>
      </c>
      <c r="B534" s="1">
        <v>1538.35</v>
      </c>
      <c r="D534" s="2">
        <v>45184</v>
      </c>
      <c r="E534" s="3">
        <v>7493.4</v>
      </c>
      <c r="G534" s="3">
        <v>1594100000</v>
      </c>
      <c r="H534" s="3">
        <f t="shared" si="24"/>
        <v>2452283735000</v>
      </c>
      <c r="J534" s="3">
        <v>317816130</v>
      </c>
      <c r="K534" s="3">
        <f t="shared" si="25"/>
        <v>2381523388542</v>
      </c>
      <c r="M534" s="4">
        <f t="shared" si="26"/>
        <v>-2.9712219833087694E-2</v>
      </c>
    </row>
    <row r="535" spans="1:13" x14ac:dyDescent="0.45">
      <c r="A535" s="2">
        <v>45183</v>
      </c>
      <c r="B535" s="1">
        <v>1550.75</v>
      </c>
      <c r="D535" s="2">
        <v>45183</v>
      </c>
      <c r="E535" s="3">
        <v>7492.55</v>
      </c>
      <c r="G535" s="3">
        <v>1594100000</v>
      </c>
      <c r="H535" s="3">
        <f t="shared" si="24"/>
        <v>2472050575000</v>
      </c>
      <c r="J535" s="3">
        <v>317816130</v>
      </c>
      <c r="K535" s="3">
        <f t="shared" si="25"/>
        <v>2381253244831.5</v>
      </c>
      <c r="M535" s="4">
        <f t="shared" si="26"/>
        <v>-3.8130060448453129E-2</v>
      </c>
    </row>
    <row r="536" spans="1:13" x14ac:dyDescent="0.45">
      <c r="A536" s="2">
        <v>45182</v>
      </c>
      <c r="B536" s="1">
        <v>1552.35</v>
      </c>
      <c r="D536" s="2">
        <v>45182</v>
      </c>
      <c r="E536" s="3">
        <v>7475.5</v>
      </c>
      <c r="G536" s="3">
        <v>1594100000</v>
      </c>
      <c r="H536" s="3">
        <f t="shared" si="24"/>
        <v>2474601135000</v>
      </c>
      <c r="J536" s="3">
        <v>317816130</v>
      </c>
      <c r="K536" s="3">
        <f t="shared" si="25"/>
        <v>2375834479815</v>
      </c>
      <c r="M536" s="4">
        <f t="shared" si="26"/>
        <v>-4.1571353570342362E-2</v>
      </c>
    </row>
    <row r="537" spans="1:13" x14ac:dyDescent="0.45">
      <c r="A537" s="2">
        <v>45181</v>
      </c>
      <c r="B537" s="1">
        <v>1543.65</v>
      </c>
      <c r="D537" s="2">
        <v>45181</v>
      </c>
      <c r="E537" s="3">
        <v>7428.45</v>
      </c>
      <c r="G537" s="3">
        <v>1594100000</v>
      </c>
      <c r="H537" s="3">
        <f t="shared" si="24"/>
        <v>2460732465000</v>
      </c>
      <c r="J537" s="3">
        <v>317816130</v>
      </c>
      <c r="K537" s="3">
        <f t="shared" si="25"/>
        <v>2360881230898.5</v>
      </c>
      <c r="M537" s="4">
        <f t="shared" si="26"/>
        <v>-4.2294052235528401E-2</v>
      </c>
    </row>
    <row r="538" spans="1:13" x14ac:dyDescent="0.45">
      <c r="A538" s="2">
        <v>45180</v>
      </c>
      <c r="B538" s="1">
        <v>1549.4</v>
      </c>
      <c r="D538" s="2">
        <v>45180</v>
      </c>
      <c r="E538" s="3">
        <v>7390.65</v>
      </c>
      <c r="G538" s="3">
        <v>1594100000</v>
      </c>
      <c r="H538" s="3">
        <f t="shared" si="24"/>
        <v>2469898540000</v>
      </c>
      <c r="J538" s="3">
        <v>317816130</v>
      </c>
      <c r="K538" s="3">
        <f t="shared" si="25"/>
        <v>2348867781184.5</v>
      </c>
      <c r="M538" s="4">
        <f t="shared" si="26"/>
        <v>-5.1527276156202451E-2</v>
      </c>
    </row>
    <row r="539" spans="1:13" x14ac:dyDescent="0.45">
      <c r="A539" s="2">
        <v>45177</v>
      </c>
      <c r="B539" s="1">
        <v>1540.6</v>
      </c>
      <c r="D539" s="2">
        <v>45177</v>
      </c>
      <c r="E539" s="3">
        <v>7409.3</v>
      </c>
      <c r="G539" s="3">
        <v>1594100000</v>
      </c>
      <c r="H539" s="3">
        <f t="shared" si="24"/>
        <v>2455870460000</v>
      </c>
      <c r="J539" s="3">
        <v>317816130</v>
      </c>
      <c r="K539" s="3">
        <f t="shared" si="25"/>
        <v>2354795052009</v>
      </c>
      <c r="M539" s="4">
        <f t="shared" si="26"/>
        <v>-4.2923229308116317E-2</v>
      </c>
    </row>
    <row r="540" spans="1:13" x14ac:dyDescent="0.45">
      <c r="A540" s="2">
        <v>45176</v>
      </c>
      <c r="B540" s="1">
        <v>1519.3</v>
      </c>
      <c r="D540" s="2">
        <v>45176</v>
      </c>
      <c r="E540" s="3">
        <v>7362.8</v>
      </c>
      <c r="G540" s="3">
        <v>1594100000</v>
      </c>
      <c r="H540" s="3">
        <f t="shared" si="24"/>
        <v>2421916130000</v>
      </c>
      <c r="J540" s="3">
        <v>317816130</v>
      </c>
      <c r="K540" s="3">
        <f t="shared" si="25"/>
        <v>2340016601964</v>
      </c>
      <c r="M540" s="4">
        <f t="shared" si="26"/>
        <v>-3.4999549989201295E-2</v>
      </c>
    </row>
    <row r="541" spans="1:13" x14ac:dyDescent="0.45">
      <c r="A541" s="2">
        <v>45175</v>
      </c>
      <c r="B541" s="1">
        <v>1519.4</v>
      </c>
      <c r="D541" s="2">
        <v>45175</v>
      </c>
      <c r="E541" s="3">
        <v>7383.65</v>
      </c>
      <c r="G541" s="3">
        <v>1594100000</v>
      </c>
      <c r="H541" s="3">
        <f t="shared" si="24"/>
        <v>2422075540000</v>
      </c>
      <c r="J541" s="3">
        <v>317816130</v>
      </c>
      <c r="K541" s="3">
        <f t="shared" si="25"/>
        <v>2346643068274.5</v>
      </c>
      <c r="M541" s="4">
        <f t="shared" si="26"/>
        <v>-3.2144842454019162E-2</v>
      </c>
    </row>
    <row r="542" spans="1:13" x14ac:dyDescent="0.45">
      <c r="A542" s="2">
        <v>45174</v>
      </c>
      <c r="B542" s="1">
        <v>1509.55</v>
      </c>
      <c r="D542" s="2">
        <v>45174</v>
      </c>
      <c r="E542" s="3">
        <v>7344.95</v>
      </c>
      <c r="G542" s="3">
        <v>1594100000</v>
      </c>
      <c r="H542" s="3">
        <f t="shared" si="24"/>
        <v>2406373655000</v>
      </c>
      <c r="J542" s="3">
        <v>317816130</v>
      </c>
      <c r="K542" s="3">
        <f t="shared" si="25"/>
        <v>2334343584043.5</v>
      </c>
      <c r="M542" s="4">
        <f t="shared" si="26"/>
        <v>-3.0856670564206823E-2</v>
      </c>
    </row>
    <row r="543" spans="1:13" x14ac:dyDescent="0.45">
      <c r="A543" s="2">
        <v>45173</v>
      </c>
      <c r="B543" s="1">
        <v>1510.05</v>
      </c>
      <c r="D543" s="2">
        <v>45173</v>
      </c>
      <c r="E543" s="3">
        <v>7268</v>
      </c>
      <c r="G543" s="3">
        <v>1594100000</v>
      </c>
      <c r="H543" s="3">
        <f t="shared" si="24"/>
        <v>2407170705000</v>
      </c>
      <c r="J543" s="3">
        <v>317816130</v>
      </c>
      <c r="K543" s="3">
        <f t="shared" si="25"/>
        <v>2309887632840</v>
      </c>
      <c r="M543" s="4">
        <f t="shared" si="26"/>
        <v>-4.2115932730628414E-2</v>
      </c>
    </row>
    <row r="544" spans="1:13" x14ac:dyDescent="0.45">
      <c r="A544" s="2">
        <v>45170</v>
      </c>
      <c r="B544" s="1">
        <v>1513.7</v>
      </c>
      <c r="D544" s="2">
        <v>45170</v>
      </c>
      <c r="E544" s="3">
        <v>7317</v>
      </c>
      <c r="G544" s="3">
        <v>1594100000</v>
      </c>
      <c r="H544" s="3">
        <f t="shared" si="24"/>
        <v>2412989170000</v>
      </c>
      <c r="J544" s="3">
        <v>317816130</v>
      </c>
      <c r="K544" s="3">
        <f t="shared" si="25"/>
        <v>2325460623210</v>
      </c>
      <c r="M544" s="4">
        <f t="shared" si="26"/>
        <v>-3.7639229800923601E-2</v>
      </c>
    </row>
    <row r="545" spans="1:13" x14ac:dyDescent="0.45">
      <c r="A545" s="2">
        <v>45169</v>
      </c>
      <c r="B545" s="1">
        <v>1488.25</v>
      </c>
      <c r="D545" s="2">
        <v>45169</v>
      </c>
      <c r="E545" s="3">
        <v>7165.2</v>
      </c>
      <c r="G545" s="3">
        <v>1594100000</v>
      </c>
      <c r="H545" s="3">
        <f t="shared" si="24"/>
        <v>2372419325000</v>
      </c>
      <c r="J545" s="3">
        <v>317816130</v>
      </c>
      <c r="K545" s="3">
        <f t="shared" si="25"/>
        <v>2277216134676</v>
      </c>
      <c r="M545" s="4">
        <f t="shared" si="26"/>
        <v>-4.1806831101495412E-2</v>
      </c>
    </row>
    <row r="546" spans="1:13" x14ac:dyDescent="0.45">
      <c r="A546" s="2">
        <v>45168</v>
      </c>
      <c r="B546" s="1">
        <v>1501.8</v>
      </c>
      <c r="D546" s="2">
        <v>45168</v>
      </c>
      <c r="E546" s="3">
        <v>7262.85</v>
      </c>
      <c r="G546" s="3">
        <v>1594100000</v>
      </c>
      <c r="H546" s="3">
        <f t="shared" si="24"/>
        <v>2394019380000</v>
      </c>
      <c r="J546" s="3">
        <v>317816130</v>
      </c>
      <c r="K546" s="3">
        <f t="shared" si="25"/>
        <v>2308250879770.5</v>
      </c>
      <c r="M546" s="4">
        <f t="shared" si="26"/>
        <v>-3.7157356239382322E-2</v>
      </c>
    </row>
    <row r="547" spans="1:13" x14ac:dyDescent="0.45">
      <c r="A547" s="2">
        <v>45167</v>
      </c>
      <c r="B547" s="1">
        <v>1504.5</v>
      </c>
      <c r="D547" s="2">
        <v>45167</v>
      </c>
      <c r="E547" s="3">
        <v>7289</v>
      </c>
      <c r="G547" s="3">
        <v>1594100000</v>
      </c>
      <c r="H547" s="3">
        <f t="shared" si="24"/>
        <v>2398323450000</v>
      </c>
      <c r="J547" s="3">
        <v>317816130</v>
      </c>
      <c r="K547" s="3">
        <f t="shared" si="25"/>
        <v>2316561771570</v>
      </c>
      <c r="M547" s="4">
        <f t="shared" si="26"/>
        <v>-3.5294408909539943E-2</v>
      </c>
    </row>
    <row r="548" spans="1:13" x14ac:dyDescent="0.45">
      <c r="A548" s="2">
        <v>45166</v>
      </c>
      <c r="B548" s="1">
        <v>1499.25</v>
      </c>
      <c r="D548" s="2">
        <v>45166</v>
      </c>
      <c r="E548" s="3">
        <v>7234.2</v>
      </c>
      <c r="G548" s="3">
        <v>1594100000</v>
      </c>
      <c r="H548" s="3">
        <f t="shared" si="24"/>
        <v>2389954425000</v>
      </c>
      <c r="J548" s="3">
        <v>317816130</v>
      </c>
      <c r="K548" s="3">
        <f t="shared" si="25"/>
        <v>2299145447646</v>
      </c>
      <c r="M548" s="4">
        <f t="shared" si="26"/>
        <v>-3.9496838900286102E-2</v>
      </c>
    </row>
    <row r="549" spans="1:13" x14ac:dyDescent="0.45">
      <c r="A549" s="2">
        <v>45163</v>
      </c>
      <c r="B549" s="1">
        <v>1503.8</v>
      </c>
      <c r="D549" s="2">
        <v>45163</v>
      </c>
      <c r="E549" s="3">
        <v>7208.7</v>
      </c>
      <c r="G549" s="3">
        <v>1594100000</v>
      </c>
      <c r="H549" s="3">
        <f t="shared" si="24"/>
        <v>2397207580000</v>
      </c>
      <c r="J549" s="3">
        <v>317816130</v>
      </c>
      <c r="K549" s="3">
        <f t="shared" si="25"/>
        <v>2291041136331</v>
      </c>
      <c r="M549" s="4">
        <f t="shared" si="26"/>
        <v>-4.6339824277018771E-2</v>
      </c>
    </row>
    <row r="550" spans="1:13" x14ac:dyDescent="0.45">
      <c r="A550" s="2">
        <v>45162</v>
      </c>
      <c r="B550" s="1">
        <v>1469.1</v>
      </c>
      <c r="D550" s="2">
        <v>45162</v>
      </c>
      <c r="E550" s="3">
        <v>7134.6</v>
      </c>
      <c r="G550" s="3">
        <v>1594100000</v>
      </c>
      <c r="H550" s="3">
        <f t="shared" si="24"/>
        <v>2341892310000</v>
      </c>
      <c r="J550" s="3">
        <v>317816130</v>
      </c>
      <c r="K550" s="3">
        <f t="shared" si="25"/>
        <v>2267490961098</v>
      </c>
      <c r="M550" s="4">
        <f t="shared" si="26"/>
        <v>-3.2812192056532963E-2</v>
      </c>
    </row>
    <row r="551" spans="1:13" x14ac:dyDescent="0.45">
      <c r="A551" s="2">
        <v>45161</v>
      </c>
      <c r="B551" s="1">
        <v>1470.05</v>
      </c>
      <c r="D551" s="2">
        <v>45161</v>
      </c>
      <c r="E551" s="3">
        <v>7118.45</v>
      </c>
      <c r="G551" s="3">
        <v>1594100000</v>
      </c>
      <c r="H551" s="3">
        <f t="shared" si="24"/>
        <v>2343406705000</v>
      </c>
      <c r="J551" s="3">
        <v>317816130</v>
      </c>
      <c r="K551" s="3">
        <f t="shared" si="25"/>
        <v>2262358230598.5</v>
      </c>
      <c r="M551" s="4">
        <f t="shared" si="26"/>
        <v>-3.5824774920839575E-2</v>
      </c>
    </row>
    <row r="552" spans="1:13" x14ac:dyDescent="0.45">
      <c r="A552" s="2">
        <v>45160</v>
      </c>
      <c r="B552" s="1">
        <v>1467.5</v>
      </c>
      <c r="D552" s="2">
        <v>45160</v>
      </c>
      <c r="E552" s="3">
        <v>7067.15</v>
      </c>
      <c r="G552" s="3">
        <v>1594100000</v>
      </c>
      <c r="H552" s="3">
        <f t="shared" si="24"/>
        <v>2339341750000</v>
      </c>
      <c r="J552" s="3">
        <v>317816130</v>
      </c>
      <c r="K552" s="3">
        <f t="shared" si="25"/>
        <v>2246054263129.5</v>
      </c>
      <c r="M552" s="4">
        <f t="shared" si="26"/>
        <v>-4.153394172254754E-2</v>
      </c>
    </row>
    <row r="553" spans="1:13" x14ac:dyDescent="0.45">
      <c r="A553" s="2">
        <v>45159</v>
      </c>
      <c r="B553" s="1">
        <v>1478.55</v>
      </c>
      <c r="D553" s="2">
        <v>45159</v>
      </c>
      <c r="E553" s="3">
        <v>7046.7</v>
      </c>
      <c r="G553" s="3">
        <v>1594100000</v>
      </c>
      <c r="H553" s="3">
        <f t="shared" si="24"/>
        <v>2356956555000</v>
      </c>
      <c r="J553" s="3">
        <v>317816130</v>
      </c>
      <c r="K553" s="3">
        <f t="shared" si="25"/>
        <v>2239554923271</v>
      </c>
      <c r="M553" s="4">
        <f t="shared" si="26"/>
        <v>-5.2421858695712586E-2</v>
      </c>
    </row>
    <row r="554" spans="1:13" x14ac:dyDescent="0.45">
      <c r="A554" s="2">
        <v>45156</v>
      </c>
      <c r="B554" s="1">
        <v>1459.6</v>
      </c>
      <c r="D554" s="2">
        <v>45156</v>
      </c>
      <c r="E554" s="3">
        <v>6861.7</v>
      </c>
      <c r="G554" s="3">
        <v>1594100000</v>
      </c>
      <c r="H554" s="3">
        <f t="shared" si="24"/>
        <v>2326748360000</v>
      </c>
      <c r="J554" s="3">
        <v>317816130</v>
      </c>
      <c r="K554" s="3">
        <f t="shared" si="25"/>
        <v>2180758939221</v>
      </c>
      <c r="M554" s="4">
        <f t="shared" si="26"/>
        <v>-6.6944318399148495E-2</v>
      </c>
    </row>
    <row r="555" spans="1:13" x14ac:dyDescent="0.45">
      <c r="A555" s="2">
        <v>45155</v>
      </c>
      <c r="B555" s="1">
        <v>1477.15</v>
      </c>
      <c r="D555" s="2">
        <v>45155</v>
      </c>
      <c r="E555" s="3">
        <v>6919.95</v>
      </c>
      <c r="G555" s="3">
        <v>1594100000</v>
      </c>
      <c r="H555" s="3">
        <f t="shared" si="24"/>
        <v>2354724815000</v>
      </c>
      <c r="J555" s="3">
        <v>317816130</v>
      </c>
      <c r="K555" s="3">
        <f t="shared" si="25"/>
        <v>2199271728793.5</v>
      </c>
      <c r="M555" s="4">
        <f t="shared" si="26"/>
        <v>-7.0683892386403713E-2</v>
      </c>
    </row>
    <row r="556" spans="1:13" x14ac:dyDescent="0.45">
      <c r="A556" s="2">
        <v>45154</v>
      </c>
      <c r="B556" s="1">
        <v>1469.4</v>
      </c>
      <c r="D556" s="2">
        <v>45154</v>
      </c>
      <c r="E556" s="3">
        <v>6979.45</v>
      </c>
      <c r="G556" s="3">
        <v>1594100000</v>
      </c>
      <c r="H556" s="3">
        <f t="shared" si="24"/>
        <v>2342370540000</v>
      </c>
      <c r="J556" s="3">
        <v>317816130</v>
      </c>
      <c r="K556" s="3">
        <f t="shared" si="25"/>
        <v>2218181788528.5</v>
      </c>
      <c r="M556" s="4">
        <f t="shared" si="26"/>
        <v>-5.5986732969205644E-2</v>
      </c>
    </row>
    <row r="557" spans="1:13" x14ac:dyDescent="0.45">
      <c r="A557" s="2">
        <v>45152</v>
      </c>
      <c r="B557" s="1">
        <v>1482.1</v>
      </c>
      <c r="D557" s="2">
        <v>45152</v>
      </c>
      <c r="E557" s="3">
        <v>7018.65</v>
      </c>
      <c r="G557" s="3">
        <v>1594100000</v>
      </c>
      <c r="H557" s="3">
        <f t="shared" si="24"/>
        <v>2362615610000</v>
      </c>
      <c r="J557" s="3">
        <v>317816130</v>
      </c>
      <c r="K557" s="3">
        <f t="shared" si="25"/>
        <v>2230640180824.5</v>
      </c>
      <c r="M557" s="4">
        <f t="shared" si="26"/>
        <v>-5.9164821969053927E-2</v>
      </c>
    </row>
    <row r="558" spans="1:13" x14ac:dyDescent="0.45">
      <c r="A558" s="2">
        <v>45149</v>
      </c>
      <c r="B558" s="1">
        <v>1503.05</v>
      </c>
      <c r="D558" s="2">
        <v>45149</v>
      </c>
      <c r="E558" s="3">
        <v>7063.6</v>
      </c>
      <c r="G558" s="3">
        <v>1594100000</v>
      </c>
      <c r="H558" s="3">
        <f t="shared" si="24"/>
        <v>2396012005000</v>
      </c>
      <c r="J558" s="3">
        <v>317816130</v>
      </c>
      <c r="K558" s="3">
        <f t="shared" si="25"/>
        <v>2244926015868</v>
      </c>
      <c r="M558" s="4">
        <f t="shared" si="26"/>
        <v>-6.7301099485714166E-2</v>
      </c>
    </row>
    <row r="559" spans="1:13" x14ac:dyDescent="0.45">
      <c r="A559" s="2">
        <v>45148</v>
      </c>
      <c r="B559" s="1">
        <v>1519.55</v>
      </c>
      <c r="D559" s="2">
        <v>45148</v>
      </c>
      <c r="E559" s="3">
        <v>7155.85</v>
      </c>
      <c r="G559" s="3">
        <v>1594100000</v>
      </c>
      <c r="H559" s="3">
        <f t="shared" si="24"/>
        <v>2422314655000</v>
      </c>
      <c r="J559" s="3">
        <v>317816130</v>
      </c>
      <c r="K559" s="3">
        <f t="shared" si="25"/>
        <v>2274244553860.5</v>
      </c>
      <c r="M559" s="4">
        <f t="shared" si="26"/>
        <v>-6.510737857463611E-2</v>
      </c>
    </row>
    <row r="560" spans="1:13" x14ac:dyDescent="0.45">
      <c r="A560" s="2">
        <v>45147</v>
      </c>
      <c r="B560" s="1">
        <v>1516.25</v>
      </c>
      <c r="D560" s="2">
        <v>45147</v>
      </c>
      <c r="E560" s="3">
        <v>7123.7</v>
      </c>
      <c r="G560" s="3">
        <v>1594100000</v>
      </c>
      <c r="H560" s="3">
        <f t="shared" si="24"/>
        <v>2417054125000</v>
      </c>
      <c r="J560" s="3">
        <v>317816130</v>
      </c>
      <c r="K560" s="3">
        <f t="shared" si="25"/>
        <v>2264026765281</v>
      </c>
      <c r="M560" s="4">
        <f t="shared" si="26"/>
        <v>-6.7590790915409871E-2</v>
      </c>
    </row>
    <row r="561" spans="1:13" x14ac:dyDescent="0.45">
      <c r="A561" s="2">
        <v>45146</v>
      </c>
      <c r="B561" s="1">
        <v>1515.95</v>
      </c>
      <c r="D561" s="2">
        <v>45146</v>
      </c>
      <c r="E561" s="3">
        <v>7186.35</v>
      </c>
      <c r="G561" s="3">
        <v>1594100000</v>
      </c>
      <c r="H561" s="3">
        <f t="shared" si="24"/>
        <v>2416575895000</v>
      </c>
      <c r="J561" s="3">
        <v>317816130</v>
      </c>
      <c r="K561" s="3">
        <f t="shared" si="25"/>
        <v>2283937945825.5</v>
      </c>
      <c r="M561" s="4">
        <f t="shared" si="26"/>
        <v>-5.8074235080217917E-2</v>
      </c>
    </row>
    <row r="562" spans="1:13" x14ac:dyDescent="0.45">
      <c r="A562" s="2">
        <v>45145</v>
      </c>
      <c r="B562" s="1">
        <v>1507.5</v>
      </c>
      <c r="D562" s="2">
        <v>45145</v>
      </c>
      <c r="E562" s="3">
        <v>7116.4</v>
      </c>
      <c r="G562" s="3">
        <v>1594100000</v>
      </c>
      <c r="H562" s="3">
        <f t="shared" si="24"/>
        <v>2403105750000</v>
      </c>
      <c r="J562" s="3">
        <v>317816130</v>
      </c>
      <c r="K562" s="3">
        <f t="shared" si="25"/>
        <v>2261706707532</v>
      </c>
      <c r="M562" s="4">
        <f t="shared" si="26"/>
        <v>-6.2518735076086074E-2</v>
      </c>
    </row>
    <row r="563" spans="1:13" x14ac:dyDescent="0.45">
      <c r="A563" s="2">
        <v>45142</v>
      </c>
      <c r="B563" s="1">
        <v>1486.1</v>
      </c>
      <c r="D563" s="2">
        <v>45142</v>
      </c>
      <c r="E563" s="3">
        <v>7145.05</v>
      </c>
      <c r="G563" s="3">
        <v>1594100000</v>
      </c>
      <c r="H563" s="3">
        <f t="shared" si="24"/>
        <v>2368992010000</v>
      </c>
      <c r="J563" s="3">
        <v>317816130</v>
      </c>
      <c r="K563" s="3">
        <f t="shared" si="25"/>
        <v>2270812139656.5</v>
      </c>
      <c r="M563" s="4">
        <f t="shared" si="26"/>
        <v>-4.3235575778783453E-2</v>
      </c>
    </row>
    <row r="564" spans="1:13" x14ac:dyDescent="0.45">
      <c r="A564" s="2">
        <v>45141</v>
      </c>
      <c r="B564" s="1">
        <v>1494.9</v>
      </c>
      <c r="D564" s="2">
        <v>45141</v>
      </c>
      <c r="E564" s="3">
        <v>7107.95</v>
      </c>
      <c r="G564" s="3">
        <v>1594100000</v>
      </c>
      <c r="H564" s="3">
        <f t="shared" si="24"/>
        <v>2383020090000</v>
      </c>
      <c r="J564" s="3">
        <v>317816130</v>
      </c>
      <c r="K564" s="3">
        <f t="shared" si="25"/>
        <v>2259021161233.5</v>
      </c>
      <c r="M564" s="4">
        <f t="shared" si="26"/>
        <v>-5.4890556535907908E-2</v>
      </c>
    </row>
    <row r="565" spans="1:13" x14ac:dyDescent="0.45">
      <c r="A565" s="2">
        <v>45140</v>
      </c>
      <c r="B565" s="1">
        <v>1526.95</v>
      </c>
      <c r="D565" s="2">
        <v>45140</v>
      </c>
      <c r="E565" s="3">
        <v>7202.4</v>
      </c>
      <c r="G565" s="3">
        <v>1594100000</v>
      </c>
      <c r="H565" s="3">
        <f t="shared" si="24"/>
        <v>2434110995000</v>
      </c>
      <c r="J565" s="3">
        <v>317816130</v>
      </c>
      <c r="K565" s="3">
        <f t="shared" si="25"/>
        <v>2289038894712</v>
      </c>
      <c r="M565" s="4">
        <f t="shared" si="26"/>
        <v>-6.3376861189705869E-2</v>
      </c>
    </row>
    <row r="566" spans="1:13" x14ac:dyDescent="0.45">
      <c r="A566" s="2">
        <v>45139</v>
      </c>
      <c r="B566" s="1">
        <v>1572.45</v>
      </c>
      <c r="D566" s="2">
        <v>45139</v>
      </c>
      <c r="E566" s="3">
        <v>7268.8</v>
      </c>
      <c r="G566" s="3">
        <v>1594100000</v>
      </c>
      <c r="H566" s="3">
        <f t="shared" si="24"/>
        <v>2506642545000</v>
      </c>
      <c r="J566" s="3">
        <v>317816130</v>
      </c>
      <c r="K566" s="3">
        <f t="shared" si="25"/>
        <v>2310141885744</v>
      </c>
      <c r="M566" s="4">
        <f t="shared" si="26"/>
        <v>-8.5059995868052685E-2</v>
      </c>
    </row>
    <row r="567" spans="1:13" x14ac:dyDescent="0.45">
      <c r="A567" s="2">
        <v>45138</v>
      </c>
      <c r="B567" s="1">
        <v>1598.35</v>
      </c>
      <c r="D567" s="2">
        <v>45138</v>
      </c>
      <c r="E567" s="3">
        <v>7299.7</v>
      </c>
      <c r="G567" s="3">
        <v>1594100000</v>
      </c>
      <c r="H567" s="3">
        <f t="shared" si="24"/>
        <v>2547929735000</v>
      </c>
      <c r="J567" s="3">
        <v>317816130</v>
      </c>
      <c r="K567" s="3">
        <f t="shared" si="25"/>
        <v>2319962404161</v>
      </c>
      <c r="M567" s="4">
        <f t="shared" si="26"/>
        <v>-9.8263372902132495E-2</v>
      </c>
    </row>
    <row r="568" spans="1:13" x14ac:dyDescent="0.45">
      <c r="A568" s="2">
        <v>45135</v>
      </c>
      <c r="B568" s="1">
        <v>1584.15</v>
      </c>
      <c r="D568" s="2">
        <v>45135</v>
      </c>
      <c r="E568" s="3">
        <v>7382.15</v>
      </c>
      <c r="G568" s="3">
        <v>1594100000</v>
      </c>
      <c r="H568" s="3">
        <f t="shared" si="24"/>
        <v>2525293515000</v>
      </c>
      <c r="J568" s="3">
        <v>317816130</v>
      </c>
      <c r="K568" s="3">
        <f t="shared" si="25"/>
        <v>2346166344079.5</v>
      </c>
      <c r="M568" s="4">
        <f t="shared" si="26"/>
        <v>-7.6348879256802782E-2</v>
      </c>
    </row>
    <row r="569" spans="1:13" x14ac:dyDescent="0.45">
      <c r="A569" s="2">
        <v>45134</v>
      </c>
      <c r="B569" s="1">
        <v>1612.3</v>
      </c>
      <c r="D569" s="2">
        <v>45134</v>
      </c>
      <c r="E569" s="3">
        <v>7284.1</v>
      </c>
      <c r="G569" s="3">
        <v>1594100000</v>
      </c>
      <c r="H569" s="3">
        <f t="shared" si="24"/>
        <v>2570167430000</v>
      </c>
      <c r="J569" s="3">
        <v>317816130</v>
      </c>
      <c r="K569" s="3">
        <f t="shared" si="25"/>
        <v>2315004472533</v>
      </c>
      <c r="M569" s="4">
        <f t="shared" si="26"/>
        <v>-0.11022136695390894</v>
      </c>
    </row>
    <row r="570" spans="1:13" x14ac:dyDescent="0.45">
      <c r="A570" s="2">
        <v>45133</v>
      </c>
      <c r="B570" s="1">
        <v>1625.65</v>
      </c>
      <c r="D570" s="2">
        <v>45133</v>
      </c>
      <c r="E570" s="3">
        <v>7431.05</v>
      </c>
      <c r="G570" s="3">
        <v>1594100000</v>
      </c>
      <c r="H570" s="3">
        <f t="shared" si="24"/>
        <v>2591448665000</v>
      </c>
      <c r="J570" s="3">
        <v>317816130</v>
      </c>
      <c r="K570" s="3">
        <f t="shared" si="25"/>
        <v>2361707552836.5</v>
      </c>
      <c r="M570" s="4">
        <f t="shared" si="26"/>
        <v>-9.7277544752555123E-2</v>
      </c>
    </row>
    <row r="571" spans="1:13" x14ac:dyDescent="0.45">
      <c r="A571" s="2">
        <v>45132</v>
      </c>
      <c r="B571" s="1">
        <v>1648.25</v>
      </c>
      <c r="D571" s="2">
        <v>45132</v>
      </c>
      <c r="E571" s="3">
        <v>7604.9</v>
      </c>
      <c r="G571" s="3">
        <v>1594100000</v>
      </c>
      <c r="H571" s="3">
        <f t="shared" si="24"/>
        <v>2627475325000</v>
      </c>
      <c r="J571" s="3">
        <v>317816130</v>
      </c>
      <c r="K571" s="3">
        <f t="shared" si="25"/>
        <v>2416959887037</v>
      </c>
      <c r="M571" s="4">
        <f t="shared" si="26"/>
        <v>-8.7099268420658404E-2</v>
      </c>
    </row>
    <row r="572" spans="1:13" x14ac:dyDescent="0.45">
      <c r="A572" s="2">
        <v>45131</v>
      </c>
      <c r="B572" s="1">
        <v>1657.7</v>
      </c>
      <c r="D572" s="2">
        <v>45131</v>
      </c>
      <c r="E572" s="3">
        <v>7579.15</v>
      </c>
      <c r="G572" s="3">
        <v>1594100000</v>
      </c>
      <c r="H572" s="3">
        <f t="shared" si="24"/>
        <v>2642539570000</v>
      </c>
      <c r="J572" s="3">
        <v>317816130</v>
      </c>
      <c r="K572" s="3">
        <f t="shared" si="25"/>
        <v>2408776121689.5</v>
      </c>
      <c r="M572" s="4">
        <f t="shared" si="26"/>
        <v>-9.7046564936279722E-2</v>
      </c>
    </row>
    <row r="573" spans="1:13" x14ac:dyDescent="0.45">
      <c r="A573" s="2">
        <v>45128</v>
      </c>
      <c r="B573" s="1">
        <v>1631</v>
      </c>
      <c r="D573" s="2">
        <v>45128</v>
      </c>
      <c r="E573" s="3">
        <v>7582.3</v>
      </c>
      <c r="G573" s="3">
        <v>1594100000</v>
      </c>
      <c r="H573" s="3">
        <f t="shared" si="24"/>
        <v>2599977100000</v>
      </c>
      <c r="J573" s="3">
        <v>317816130</v>
      </c>
      <c r="K573" s="3">
        <f t="shared" si="25"/>
        <v>2409777242499</v>
      </c>
      <c r="M573" s="4">
        <f t="shared" si="26"/>
        <v>-7.8928398088678797E-2</v>
      </c>
    </row>
    <row r="574" spans="1:13" x14ac:dyDescent="0.45">
      <c r="A574" s="2">
        <v>45127</v>
      </c>
      <c r="B574" s="1">
        <v>1635.15</v>
      </c>
      <c r="D574" s="2">
        <v>45127</v>
      </c>
      <c r="E574" s="3">
        <v>7595.05</v>
      </c>
      <c r="G574" s="3">
        <v>1594100000</v>
      </c>
      <c r="H574" s="3">
        <f t="shared" si="24"/>
        <v>2606592615000</v>
      </c>
      <c r="J574" s="3">
        <v>317816130</v>
      </c>
      <c r="K574" s="3">
        <f t="shared" si="25"/>
        <v>2413829398156.5</v>
      </c>
      <c r="M574" s="4">
        <f t="shared" si="26"/>
        <v>-7.9857846205170002E-2</v>
      </c>
    </row>
    <row r="575" spans="1:13" x14ac:dyDescent="0.45">
      <c r="A575" s="2">
        <v>45126</v>
      </c>
      <c r="B575" s="1">
        <v>1644.15</v>
      </c>
      <c r="D575" s="2">
        <v>45126</v>
      </c>
      <c r="E575" s="3">
        <v>7582.25</v>
      </c>
      <c r="G575" s="3">
        <v>1594100000</v>
      </c>
      <c r="H575" s="3">
        <f t="shared" si="24"/>
        <v>2620939515000</v>
      </c>
      <c r="J575" s="3">
        <v>317816130</v>
      </c>
      <c r="K575" s="3">
        <f t="shared" si="25"/>
        <v>2409761351692.5</v>
      </c>
      <c r="M575" s="4">
        <f t="shared" si="26"/>
        <v>-8.7634471836465666E-2</v>
      </c>
    </row>
    <row r="576" spans="1:13" x14ac:dyDescent="0.45">
      <c r="A576" s="2">
        <v>45125</v>
      </c>
      <c r="B576" s="1">
        <v>1617.65</v>
      </c>
      <c r="D576" s="2">
        <v>45125</v>
      </c>
      <c r="E576" s="3">
        <v>7419.25</v>
      </c>
      <c r="G576" s="3">
        <v>1594100000</v>
      </c>
      <c r="H576" s="3">
        <f t="shared" si="24"/>
        <v>2578695865000</v>
      </c>
      <c r="J576" s="3">
        <v>317816130</v>
      </c>
      <c r="K576" s="3">
        <f t="shared" si="25"/>
        <v>2357957322502.5</v>
      </c>
      <c r="M576" s="4">
        <f t="shared" si="26"/>
        <v>-9.3614307770095717E-2</v>
      </c>
    </row>
    <row r="577" spans="1:13" x14ac:dyDescent="0.45">
      <c r="A577" s="2">
        <v>45124</v>
      </c>
      <c r="B577" s="1">
        <v>1610.65</v>
      </c>
      <c r="D577" s="2">
        <v>45124</v>
      </c>
      <c r="E577" s="3">
        <v>7507.95</v>
      </c>
      <c r="G577" s="3">
        <v>1594100000</v>
      </c>
      <c r="H577" s="3">
        <f t="shared" si="24"/>
        <v>2567537165000</v>
      </c>
      <c r="J577" s="3">
        <v>317816130</v>
      </c>
      <c r="K577" s="3">
        <f t="shared" si="25"/>
        <v>2386147613233.5</v>
      </c>
      <c r="M577" s="4">
        <f t="shared" si="26"/>
        <v>-7.6017741216226176E-2</v>
      </c>
    </row>
    <row r="578" spans="1:13" x14ac:dyDescent="0.45">
      <c r="A578" s="2">
        <v>45121</v>
      </c>
      <c r="B578" s="1">
        <v>1614.05</v>
      </c>
      <c r="D578" s="2">
        <v>45121</v>
      </c>
      <c r="E578" s="3">
        <v>7481</v>
      </c>
      <c r="G578" s="3">
        <v>1594100000</v>
      </c>
      <c r="H578" s="3">
        <f t="shared" si="24"/>
        <v>2572957105000</v>
      </c>
      <c r="J578" s="3">
        <v>317816130</v>
      </c>
      <c r="K578" s="3">
        <f t="shared" si="25"/>
        <v>2377582468530</v>
      </c>
      <c r="M578" s="4">
        <f t="shared" si="26"/>
        <v>-8.2173652883130277E-2</v>
      </c>
    </row>
    <row r="579" spans="1:13" x14ac:dyDescent="0.45">
      <c r="A579" s="2">
        <v>45120</v>
      </c>
      <c r="B579" s="1">
        <v>1616.3</v>
      </c>
      <c r="D579" s="2">
        <v>45120</v>
      </c>
      <c r="E579" s="3">
        <v>7474.45</v>
      </c>
      <c r="G579" s="3">
        <v>1594100000</v>
      </c>
      <c r="H579" s="3">
        <f t="shared" si="24"/>
        <v>2576543830000</v>
      </c>
      <c r="J579" s="3">
        <v>317816130</v>
      </c>
      <c r="K579" s="3">
        <f t="shared" si="25"/>
        <v>2375500772878.5</v>
      </c>
      <c r="M579" s="4">
        <f t="shared" si="26"/>
        <v>-8.4631863486151149E-2</v>
      </c>
    </row>
    <row r="580" spans="1:13" x14ac:dyDescent="0.45">
      <c r="A580" s="2">
        <v>45119</v>
      </c>
      <c r="B580" s="1">
        <v>1592.3</v>
      </c>
      <c r="D580" s="2">
        <v>45119</v>
      </c>
      <c r="E580" s="3">
        <v>7430.8</v>
      </c>
      <c r="G580" s="3">
        <v>1594100000</v>
      </c>
      <c r="H580" s="3">
        <f t="shared" ref="H580:H643" si="27">+G580*B580</f>
        <v>2538285430000</v>
      </c>
      <c r="J580" s="3">
        <v>317816130</v>
      </c>
      <c r="K580" s="3">
        <f t="shared" ref="K580:K643" si="28">+J580*E580</f>
        <v>2361628098804</v>
      </c>
      <c r="M580" s="4">
        <f t="shared" ref="M580:M643" si="29">1- (H580/K580)</f>
        <v>-7.4803196695307106E-2</v>
      </c>
    </row>
    <row r="581" spans="1:13" x14ac:dyDescent="0.45">
      <c r="A581" s="2">
        <v>45118</v>
      </c>
      <c r="B581" s="1">
        <v>1592.5</v>
      </c>
      <c r="D581" s="2">
        <v>45118</v>
      </c>
      <c r="E581" s="3">
        <v>7441.1</v>
      </c>
      <c r="G581" s="3">
        <v>1594100000</v>
      </c>
      <c r="H581" s="3">
        <f t="shared" si="27"/>
        <v>2538604250000</v>
      </c>
      <c r="J581" s="3">
        <v>317816130</v>
      </c>
      <c r="K581" s="3">
        <f t="shared" si="28"/>
        <v>2364901604943</v>
      </c>
      <c r="M581" s="4">
        <f t="shared" si="29"/>
        <v>-7.3450263086605849E-2</v>
      </c>
    </row>
    <row r="582" spans="1:13" x14ac:dyDescent="0.45">
      <c r="A582" s="2">
        <v>45117</v>
      </c>
      <c r="B582" s="1">
        <v>1598.4</v>
      </c>
      <c r="D582" s="2">
        <v>45117</v>
      </c>
      <c r="E582" s="3">
        <v>7533.8</v>
      </c>
      <c r="G582" s="3">
        <v>1594100000</v>
      </c>
      <c r="H582" s="3">
        <f t="shared" si="27"/>
        <v>2548009440000</v>
      </c>
      <c r="J582" s="3">
        <v>317816130</v>
      </c>
      <c r="K582" s="3">
        <f t="shared" si="28"/>
        <v>2394363160194</v>
      </c>
      <c r="M582" s="4">
        <f t="shared" si="29"/>
        <v>-6.4169998252709082E-2</v>
      </c>
    </row>
    <row r="583" spans="1:13" x14ac:dyDescent="0.45">
      <c r="A583" s="2">
        <v>45114</v>
      </c>
      <c r="B583" s="1">
        <v>1614.45</v>
      </c>
      <c r="D583" s="2">
        <v>45114</v>
      </c>
      <c r="E583" s="3">
        <v>7621.35</v>
      </c>
      <c r="G583" s="3">
        <v>1594100000</v>
      </c>
      <c r="H583" s="3">
        <f t="shared" si="27"/>
        <v>2573594745000</v>
      </c>
      <c r="J583" s="3">
        <v>317816130</v>
      </c>
      <c r="K583" s="3">
        <f t="shared" si="28"/>
        <v>2422187962375.5</v>
      </c>
      <c r="M583" s="4">
        <f t="shared" si="29"/>
        <v>-6.250827143737081E-2</v>
      </c>
    </row>
    <row r="584" spans="1:13" x14ac:dyDescent="0.45">
      <c r="A584" s="2">
        <v>45113</v>
      </c>
      <c r="B584" s="1">
        <v>1620.1</v>
      </c>
      <c r="D584" s="2">
        <v>45113</v>
      </c>
      <c r="E584" s="3">
        <v>7771.45</v>
      </c>
      <c r="G584" s="3">
        <v>1594100000</v>
      </c>
      <c r="H584" s="3">
        <f t="shared" si="27"/>
        <v>2582601410000</v>
      </c>
      <c r="J584" s="3">
        <v>317816130</v>
      </c>
      <c r="K584" s="3">
        <f t="shared" si="28"/>
        <v>2469892163488.5</v>
      </c>
      <c r="M584" s="4">
        <f t="shared" si="29"/>
        <v>-4.5633266171551501E-2</v>
      </c>
    </row>
    <row r="585" spans="1:13" x14ac:dyDescent="0.45">
      <c r="A585" s="2">
        <v>45112</v>
      </c>
      <c r="B585" s="1">
        <v>1614.7</v>
      </c>
      <c r="D585" s="2">
        <v>45112</v>
      </c>
      <c r="E585" s="3">
        <v>7837.7</v>
      </c>
      <c r="G585" s="3">
        <v>1594100000</v>
      </c>
      <c r="H585" s="3">
        <f t="shared" si="27"/>
        <v>2573993270000</v>
      </c>
      <c r="J585" s="3">
        <v>317816130</v>
      </c>
      <c r="K585" s="3">
        <f t="shared" si="28"/>
        <v>2490947482101</v>
      </c>
      <c r="M585" s="4">
        <f t="shared" si="29"/>
        <v>-3.33390360478234E-2</v>
      </c>
    </row>
    <row r="586" spans="1:13" x14ac:dyDescent="0.45">
      <c r="A586" s="2">
        <v>45111</v>
      </c>
      <c r="B586" s="1">
        <v>1629.45</v>
      </c>
      <c r="D586" s="2">
        <v>45111</v>
      </c>
      <c r="E586" s="3">
        <v>7861.4</v>
      </c>
      <c r="G586" s="3">
        <v>1594100000</v>
      </c>
      <c r="H586" s="3">
        <f t="shared" si="27"/>
        <v>2597506245000</v>
      </c>
      <c r="J586" s="3">
        <v>317816130</v>
      </c>
      <c r="K586" s="3">
        <f t="shared" si="28"/>
        <v>2498479724382</v>
      </c>
      <c r="M586" s="4">
        <f t="shared" si="29"/>
        <v>-3.9634710520812577E-2</v>
      </c>
    </row>
    <row r="587" spans="1:13" x14ac:dyDescent="0.45">
      <c r="A587" s="2">
        <v>45110</v>
      </c>
      <c r="B587" s="1">
        <v>1540.65</v>
      </c>
      <c r="D587" s="2">
        <v>45110</v>
      </c>
      <c r="E587" s="3">
        <v>7335.35</v>
      </c>
      <c r="G587" s="3">
        <v>1594100000</v>
      </c>
      <c r="H587" s="3">
        <f t="shared" si="27"/>
        <v>2455950165000</v>
      </c>
      <c r="J587" s="3">
        <v>317816130</v>
      </c>
      <c r="K587" s="3">
        <f t="shared" si="28"/>
        <v>2331292549195.5</v>
      </c>
      <c r="M587" s="4">
        <f t="shared" si="29"/>
        <v>-5.347145979062895E-2</v>
      </c>
    </row>
    <row r="588" spans="1:13" x14ac:dyDescent="0.45">
      <c r="A588" s="2">
        <v>45107</v>
      </c>
      <c r="B588" s="1">
        <v>1527.35</v>
      </c>
      <c r="D588" s="2">
        <v>45107</v>
      </c>
      <c r="E588" s="3">
        <v>7159.3</v>
      </c>
      <c r="G588" s="3">
        <v>1594100000</v>
      </c>
      <c r="H588" s="3">
        <f t="shared" si="27"/>
        <v>2434748635000</v>
      </c>
      <c r="J588" s="3">
        <v>317816130</v>
      </c>
      <c r="K588" s="3">
        <f t="shared" si="28"/>
        <v>2275341019509</v>
      </c>
      <c r="M588" s="4">
        <f t="shared" si="29"/>
        <v>-7.0058779815519223E-2</v>
      </c>
    </row>
    <row r="589" spans="1:13" x14ac:dyDescent="0.45">
      <c r="A589" s="2">
        <v>45105</v>
      </c>
      <c r="B589" s="1">
        <v>1518.5</v>
      </c>
      <c r="D589" s="2">
        <v>45105</v>
      </c>
      <c r="E589" s="3">
        <v>7090.35</v>
      </c>
      <c r="G589" s="3">
        <v>1594100000</v>
      </c>
      <c r="H589" s="3">
        <f t="shared" si="27"/>
        <v>2420640850000</v>
      </c>
      <c r="J589" s="3">
        <v>317816130</v>
      </c>
      <c r="K589" s="3">
        <f t="shared" si="28"/>
        <v>2253427597345.5</v>
      </c>
      <c r="M589" s="4">
        <f t="shared" si="29"/>
        <v>-7.4203960602716723E-2</v>
      </c>
    </row>
    <row r="590" spans="1:13" x14ac:dyDescent="0.45">
      <c r="A590" s="2">
        <v>45104</v>
      </c>
      <c r="B590" s="1">
        <v>1522.4</v>
      </c>
      <c r="D590" s="2">
        <v>45104</v>
      </c>
      <c r="E590" s="3">
        <v>7018.3</v>
      </c>
      <c r="G590" s="3">
        <v>1594100000</v>
      </c>
      <c r="H590" s="3">
        <f t="shared" si="27"/>
        <v>2426857840000</v>
      </c>
      <c r="J590" s="3">
        <v>317816130</v>
      </c>
      <c r="K590" s="3">
        <f t="shared" si="28"/>
        <v>2230528945179</v>
      </c>
      <c r="M590" s="4">
        <f t="shared" si="29"/>
        <v>-8.8018985472185562E-2</v>
      </c>
    </row>
    <row r="591" spans="1:13" x14ac:dyDescent="0.45">
      <c r="A591" s="2">
        <v>45103</v>
      </c>
      <c r="B591" s="1">
        <v>1508.5</v>
      </c>
      <c r="D591" s="2">
        <v>45103</v>
      </c>
      <c r="E591" s="3">
        <v>6996.2</v>
      </c>
      <c r="G591" s="3">
        <v>1594100000</v>
      </c>
      <c r="H591" s="3">
        <f t="shared" si="27"/>
        <v>2404699850000</v>
      </c>
      <c r="J591" s="3">
        <v>317816130</v>
      </c>
      <c r="K591" s="3">
        <f t="shared" si="28"/>
        <v>2223505208706</v>
      </c>
      <c r="M591" s="4">
        <f t="shared" si="29"/>
        <v>-8.149054051438398E-2</v>
      </c>
    </row>
    <row r="592" spans="1:13" x14ac:dyDescent="0.45">
      <c r="A592" s="2">
        <v>45100</v>
      </c>
      <c r="B592" s="1">
        <v>1501.6</v>
      </c>
      <c r="D592" s="2">
        <v>45100</v>
      </c>
      <c r="E592" s="3">
        <v>6988.8</v>
      </c>
      <c r="G592" s="3">
        <v>1594100000</v>
      </c>
      <c r="H592" s="3">
        <f t="shared" si="27"/>
        <v>2393700560000</v>
      </c>
      <c r="J592" s="3">
        <v>317816130</v>
      </c>
      <c r="K592" s="3">
        <f t="shared" si="28"/>
        <v>2221153369344</v>
      </c>
      <c r="M592" s="4">
        <f t="shared" si="29"/>
        <v>-7.7683600348120274E-2</v>
      </c>
    </row>
    <row r="593" spans="1:13" x14ac:dyDescent="0.45">
      <c r="A593" s="2">
        <v>45099</v>
      </c>
      <c r="B593" s="1">
        <v>1508.5</v>
      </c>
      <c r="D593" s="2">
        <v>45099</v>
      </c>
      <c r="E593" s="3">
        <v>7033.8</v>
      </c>
      <c r="G593" s="3">
        <v>1594100000</v>
      </c>
      <c r="H593" s="3">
        <f t="shared" si="27"/>
        <v>2404699850000</v>
      </c>
      <c r="J593" s="3">
        <v>317816130</v>
      </c>
      <c r="K593" s="3">
        <f t="shared" si="28"/>
        <v>2235455095194</v>
      </c>
      <c r="M593" s="4">
        <f t="shared" si="29"/>
        <v>-7.5709306427071077E-2</v>
      </c>
    </row>
    <row r="594" spans="1:13" x14ac:dyDescent="0.45">
      <c r="A594" s="2">
        <v>45098</v>
      </c>
      <c r="B594" s="1">
        <v>1519.1</v>
      </c>
      <c r="D594" s="2">
        <v>45098</v>
      </c>
      <c r="E594" s="3">
        <v>7203.25</v>
      </c>
      <c r="G594" s="3">
        <v>1594100000</v>
      </c>
      <c r="H594" s="3">
        <f t="shared" si="27"/>
        <v>2421597310000</v>
      </c>
      <c r="J594" s="3">
        <v>317816130</v>
      </c>
      <c r="K594" s="3">
        <f t="shared" si="28"/>
        <v>2289309038422.5</v>
      </c>
      <c r="M594" s="4">
        <f t="shared" si="29"/>
        <v>-5.778523971960392E-2</v>
      </c>
    </row>
    <row r="595" spans="1:13" x14ac:dyDescent="0.45">
      <c r="A595" s="2">
        <v>45097</v>
      </c>
      <c r="B595" s="1">
        <v>1521.15</v>
      </c>
      <c r="D595" s="2">
        <v>45097</v>
      </c>
      <c r="E595" s="3">
        <v>7247.85</v>
      </c>
      <c r="G595" s="3">
        <v>1594100000</v>
      </c>
      <c r="H595" s="3">
        <f t="shared" si="27"/>
        <v>2424865215000</v>
      </c>
      <c r="J595" s="3">
        <v>317816130</v>
      </c>
      <c r="K595" s="3">
        <f t="shared" si="28"/>
        <v>2303483637820.5</v>
      </c>
      <c r="M595" s="4">
        <f t="shared" si="29"/>
        <v>-5.2694785926219234E-2</v>
      </c>
    </row>
    <row r="596" spans="1:13" x14ac:dyDescent="0.45">
      <c r="A596" s="2">
        <v>45096</v>
      </c>
      <c r="B596" s="1">
        <v>1541.9</v>
      </c>
      <c r="D596" s="2">
        <v>45096</v>
      </c>
      <c r="E596" s="3">
        <v>7384.95</v>
      </c>
      <c r="G596" s="3">
        <v>1594100000</v>
      </c>
      <c r="H596" s="3">
        <f t="shared" si="27"/>
        <v>2457942790000</v>
      </c>
      <c r="J596" s="3">
        <v>317816130</v>
      </c>
      <c r="K596" s="3">
        <f t="shared" si="28"/>
        <v>2347056229243.5</v>
      </c>
      <c r="M596" s="4">
        <f t="shared" si="29"/>
        <v>-4.7244952794437634E-2</v>
      </c>
    </row>
    <row r="597" spans="1:13" x14ac:dyDescent="0.45">
      <c r="A597" s="2">
        <v>45093</v>
      </c>
      <c r="B597" s="1">
        <v>1508.5</v>
      </c>
      <c r="D597" s="2">
        <v>45093</v>
      </c>
      <c r="E597" s="3">
        <v>7203.4</v>
      </c>
      <c r="G597" s="3">
        <v>1594100000</v>
      </c>
      <c r="H597" s="3">
        <f t="shared" si="27"/>
        <v>2404699850000</v>
      </c>
      <c r="J597" s="3">
        <v>317816130</v>
      </c>
      <c r="K597" s="3">
        <f t="shared" si="28"/>
        <v>2289356710842</v>
      </c>
      <c r="M597" s="4">
        <f t="shared" si="29"/>
        <v>-5.038233605613085E-2</v>
      </c>
    </row>
    <row r="598" spans="1:13" x14ac:dyDescent="0.45">
      <c r="A598" s="2">
        <v>45092</v>
      </c>
      <c r="B598" s="1">
        <v>1475.95</v>
      </c>
      <c r="D598" s="2">
        <v>45092</v>
      </c>
      <c r="E598" s="3">
        <v>7128.7</v>
      </c>
      <c r="G598" s="3">
        <v>1594100000</v>
      </c>
      <c r="H598" s="3">
        <f t="shared" si="27"/>
        <v>2352811895000</v>
      </c>
      <c r="J598" s="3">
        <v>317816130</v>
      </c>
      <c r="K598" s="3">
        <f t="shared" si="28"/>
        <v>2265615845931</v>
      </c>
      <c r="M598" s="4">
        <f t="shared" si="29"/>
        <v>-3.8486687505122408E-2</v>
      </c>
    </row>
    <row r="599" spans="1:13" x14ac:dyDescent="0.45">
      <c r="A599" s="2">
        <v>45091</v>
      </c>
      <c r="B599" s="1">
        <v>1480.25</v>
      </c>
      <c r="D599" s="2">
        <v>45091</v>
      </c>
      <c r="E599" s="3">
        <v>7096.1</v>
      </c>
      <c r="G599" s="3">
        <v>1594100000</v>
      </c>
      <c r="H599" s="3">
        <f t="shared" si="27"/>
        <v>2359666525000</v>
      </c>
      <c r="J599" s="3">
        <v>317816130</v>
      </c>
      <c r="K599" s="3">
        <f t="shared" si="28"/>
        <v>2255255040093</v>
      </c>
      <c r="M599" s="4">
        <f t="shared" si="29"/>
        <v>-4.6296974422322723E-2</v>
      </c>
    </row>
    <row r="600" spans="1:13" x14ac:dyDescent="0.45">
      <c r="A600" s="2">
        <v>45090</v>
      </c>
      <c r="B600" s="1">
        <v>1487.5</v>
      </c>
      <c r="D600" s="2">
        <v>45090</v>
      </c>
      <c r="E600" s="3">
        <v>7166.05</v>
      </c>
      <c r="G600" s="3">
        <v>1594100000</v>
      </c>
      <c r="H600" s="3">
        <f t="shared" si="27"/>
        <v>2371223750000</v>
      </c>
      <c r="J600" s="3">
        <v>317816130</v>
      </c>
      <c r="K600" s="3">
        <f t="shared" si="28"/>
        <v>2277486278386.5</v>
      </c>
      <c r="M600" s="4">
        <f t="shared" si="29"/>
        <v>-4.1158303566118049E-2</v>
      </c>
    </row>
    <row r="601" spans="1:13" x14ac:dyDescent="0.45">
      <c r="A601" s="2">
        <v>45089</v>
      </c>
      <c r="B601" s="1">
        <v>1465.65</v>
      </c>
      <c r="D601" s="2">
        <v>45089</v>
      </c>
      <c r="E601" s="3">
        <v>7096</v>
      </c>
      <c r="G601" s="3">
        <v>1594100000</v>
      </c>
      <c r="H601" s="3">
        <f t="shared" si="27"/>
        <v>2336392665000</v>
      </c>
      <c r="J601" s="3">
        <v>317816130</v>
      </c>
      <c r="K601" s="3">
        <f t="shared" si="28"/>
        <v>2255223258480</v>
      </c>
      <c r="M601" s="4">
        <f t="shared" si="29"/>
        <v>-3.5991738828867526E-2</v>
      </c>
    </row>
    <row r="602" spans="1:13" x14ac:dyDescent="0.45">
      <c r="A602" s="2">
        <v>45086</v>
      </c>
      <c r="B602" s="1">
        <v>1466.05</v>
      </c>
      <c r="D602" s="2">
        <v>45086</v>
      </c>
      <c r="E602" s="1">
        <v>7036.45</v>
      </c>
      <c r="G602" s="3">
        <v>1594100000</v>
      </c>
      <c r="H602" s="3">
        <f t="shared" si="27"/>
        <v>2337030305000</v>
      </c>
      <c r="J602" s="3">
        <v>317816130</v>
      </c>
      <c r="K602" s="3">
        <f t="shared" si="28"/>
        <v>2236297307938.5</v>
      </c>
      <c r="M602" s="4">
        <f t="shared" si="29"/>
        <v>-4.5044546046679068E-2</v>
      </c>
    </row>
    <row r="603" spans="1:13" x14ac:dyDescent="0.45">
      <c r="A603" s="2">
        <v>45085</v>
      </c>
      <c r="B603" s="1">
        <v>1467.4</v>
      </c>
      <c r="D603" s="2">
        <v>45085</v>
      </c>
      <c r="E603" s="1">
        <v>7007.7</v>
      </c>
      <c r="G603" s="3">
        <v>1594100000</v>
      </c>
      <c r="H603" s="3">
        <f t="shared" si="27"/>
        <v>2339182340000</v>
      </c>
      <c r="J603" s="3">
        <v>317816130</v>
      </c>
      <c r="K603" s="3">
        <f t="shared" si="28"/>
        <v>2227160094201</v>
      </c>
      <c r="M603" s="4">
        <f t="shared" si="29"/>
        <v>-5.0298245775272088E-2</v>
      </c>
    </row>
    <row r="604" spans="1:13" x14ac:dyDescent="0.45">
      <c r="A604" s="2">
        <v>45084</v>
      </c>
      <c r="B604" s="1">
        <v>1481.05</v>
      </c>
      <c r="D604" s="2">
        <v>45084</v>
      </c>
      <c r="E604" s="1">
        <v>7080.4</v>
      </c>
      <c r="G604" s="3">
        <v>1594100000</v>
      </c>
      <c r="H604" s="3">
        <f t="shared" si="27"/>
        <v>2360941805000</v>
      </c>
      <c r="J604" s="3">
        <v>317816130</v>
      </c>
      <c r="K604" s="3">
        <f t="shared" si="28"/>
        <v>2250265326852</v>
      </c>
      <c r="M604" s="4">
        <f t="shared" si="29"/>
        <v>-4.9183745946452584E-2</v>
      </c>
    </row>
    <row r="605" spans="1:13" x14ac:dyDescent="0.45">
      <c r="A605" s="2">
        <v>45083</v>
      </c>
      <c r="B605" s="1">
        <v>1475</v>
      </c>
      <c r="D605" s="2">
        <v>45083</v>
      </c>
      <c r="E605" s="3">
        <v>7116.35</v>
      </c>
      <c r="G605" s="3">
        <v>1594100000</v>
      </c>
      <c r="H605" s="3">
        <f t="shared" si="27"/>
        <v>2351297500000</v>
      </c>
      <c r="J605" s="3">
        <v>317816130</v>
      </c>
      <c r="K605" s="3">
        <f t="shared" si="28"/>
        <v>2261690816725.5</v>
      </c>
      <c r="M605" s="4">
        <f t="shared" si="29"/>
        <v>-3.9619333735560591E-2</v>
      </c>
    </row>
    <row r="606" spans="1:13" x14ac:dyDescent="0.45">
      <c r="A606" s="2">
        <v>45082</v>
      </c>
      <c r="B606" s="1">
        <v>1458.7</v>
      </c>
      <c r="D606" s="2">
        <v>45082</v>
      </c>
      <c r="E606" s="1">
        <v>7039.6</v>
      </c>
      <c r="G606" s="3">
        <v>1594100000</v>
      </c>
      <c r="H606" s="3">
        <f t="shared" si="27"/>
        <v>2325313670000</v>
      </c>
      <c r="J606" s="3">
        <v>317816130</v>
      </c>
      <c r="K606" s="3">
        <f t="shared" si="28"/>
        <v>2237298428748</v>
      </c>
      <c r="M606" s="4">
        <f t="shared" si="29"/>
        <v>-3.9339964718633214E-2</v>
      </c>
    </row>
    <row r="607" spans="1:13" x14ac:dyDescent="0.45">
      <c r="A607" s="2">
        <v>45079</v>
      </c>
      <c r="B607" s="1">
        <v>1456.55</v>
      </c>
      <c r="D607" s="2">
        <v>45079</v>
      </c>
      <c r="E607" s="1">
        <v>7023</v>
      </c>
      <c r="G607" s="3">
        <v>1594100000</v>
      </c>
      <c r="H607" s="3">
        <f t="shared" si="27"/>
        <v>2321886355000</v>
      </c>
      <c r="J607" s="3">
        <v>317816130</v>
      </c>
      <c r="K607" s="3">
        <f t="shared" si="28"/>
        <v>2232022680990</v>
      </c>
      <c r="M607" s="4">
        <f t="shared" si="29"/>
        <v>-4.0261093570134188E-2</v>
      </c>
    </row>
    <row r="608" spans="1:13" x14ac:dyDescent="0.45">
      <c r="A608" s="2">
        <v>45078</v>
      </c>
      <c r="B608" s="1">
        <v>1450.4</v>
      </c>
      <c r="D608" s="2">
        <v>45078</v>
      </c>
      <c r="E608" s="1">
        <v>7040.8</v>
      </c>
      <c r="G608" s="3">
        <v>1594100000</v>
      </c>
      <c r="H608" s="3">
        <f t="shared" si="27"/>
        <v>2312082640000</v>
      </c>
      <c r="J608" s="3">
        <v>317816130</v>
      </c>
      <c r="K608" s="3">
        <f t="shared" si="28"/>
        <v>2237679808104</v>
      </c>
      <c r="M608" s="4">
        <f t="shared" si="29"/>
        <v>-3.3249990291972065E-2</v>
      </c>
    </row>
    <row r="609" spans="1:13" x14ac:dyDescent="0.45">
      <c r="A609" s="2">
        <v>45077</v>
      </c>
      <c r="B609" s="1">
        <v>1452.7</v>
      </c>
      <c r="D609" s="2">
        <v>45077</v>
      </c>
      <c r="E609" s="1">
        <v>6992.7</v>
      </c>
      <c r="G609" s="3">
        <v>1594100000</v>
      </c>
      <c r="H609" s="3">
        <f t="shared" si="27"/>
        <v>2315749070000</v>
      </c>
      <c r="J609" s="3">
        <v>317816130</v>
      </c>
      <c r="K609" s="3">
        <f t="shared" si="28"/>
        <v>2222392852251</v>
      </c>
      <c r="M609" s="4">
        <f t="shared" si="29"/>
        <v>-4.2007072536451862E-2</v>
      </c>
    </row>
    <row r="610" spans="1:13" x14ac:dyDescent="0.45">
      <c r="A610" s="2">
        <v>45076</v>
      </c>
      <c r="B610" s="1">
        <v>1465.25</v>
      </c>
      <c r="D610" s="2">
        <v>45076</v>
      </c>
      <c r="E610" s="1">
        <v>7003.1</v>
      </c>
      <c r="G610" s="3">
        <v>1594100000</v>
      </c>
      <c r="H610" s="3">
        <f t="shared" si="27"/>
        <v>2335755025000</v>
      </c>
      <c r="J610" s="3">
        <v>317816130</v>
      </c>
      <c r="K610" s="3">
        <f t="shared" si="28"/>
        <v>2225698140003</v>
      </c>
      <c r="M610" s="4">
        <f t="shared" si="29"/>
        <v>-4.9448253120637276E-2</v>
      </c>
    </row>
    <row r="611" spans="1:13" x14ac:dyDescent="0.45">
      <c r="A611" s="2">
        <v>45075</v>
      </c>
      <c r="B611" s="1">
        <v>1449.65</v>
      </c>
      <c r="D611" s="2">
        <v>45075</v>
      </c>
      <c r="E611" s="1">
        <v>6932.3</v>
      </c>
      <c r="G611" s="3">
        <v>1594100000</v>
      </c>
      <c r="H611" s="3">
        <f t="shared" si="27"/>
        <v>2310887065000</v>
      </c>
      <c r="J611" s="3">
        <v>317816130</v>
      </c>
      <c r="K611" s="3">
        <f t="shared" si="28"/>
        <v>2203196757999</v>
      </c>
      <c r="M611" s="4">
        <f t="shared" si="29"/>
        <v>-4.8879114681889435E-2</v>
      </c>
    </row>
    <row r="612" spans="1:13" x14ac:dyDescent="0.45">
      <c r="A612" s="2">
        <v>45072</v>
      </c>
      <c r="B612" s="1">
        <v>1438.05</v>
      </c>
      <c r="D612" s="2">
        <v>45072</v>
      </c>
      <c r="E612" s="1">
        <v>6902.65</v>
      </c>
      <c r="G612" s="3">
        <v>1594100000</v>
      </c>
      <c r="H612" s="3">
        <f t="shared" si="27"/>
        <v>2292395505000</v>
      </c>
      <c r="J612" s="3">
        <v>317816130</v>
      </c>
      <c r="K612" s="3">
        <f t="shared" si="28"/>
        <v>2193773509744.5</v>
      </c>
      <c r="M612" s="4">
        <f t="shared" si="29"/>
        <v>-4.4955413499812913E-2</v>
      </c>
    </row>
    <row r="613" spans="1:13" x14ac:dyDescent="0.45">
      <c r="A613" s="2">
        <v>45071</v>
      </c>
      <c r="B613" s="1">
        <v>1427.35</v>
      </c>
      <c r="D613" s="2">
        <v>45071</v>
      </c>
      <c r="E613" s="1">
        <v>6837.6</v>
      </c>
      <c r="G613" s="3">
        <v>1594100000</v>
      </c>
      <c r="H613" s="3">
        <f t="shared" si="27"/>
        <v>2275338635000</v>
      </c>
      <c r="J613" s="3">
        <v>317816130</v>
      </c>
      <c r="K613" s="3">
        <f t="shared" si="28"/>
        <v>2173099570488</v>
      </c>
      <c r="M613" s="4">
        <f t="shared" si="29"/>
        <v>-4.7047574763930733E-2</v>
      </c>
    </row>
    <row r="614" spans="1:13" x14ac:dyDescent="0.45">
      <c r="A614" s="2">
        <v>45070</v>
      </c>
      <c r="B614" s="1">
        <v>1426</v>
      </c>
      <c r="D614" s="2">
        <v>45070</v>
      </c>
      <c r="E614" s="1">
        <v>6784.7</v>
      </c>
      <c r="G614" s="3">
        <v>1594100000</v>
      </c>
      <c r="H614" s="3">
        <f t="shared" si="27"/>
        <v>2273186600000</v>
      </c>
      <c r="J614" s="3">
        <v>317816130</v>
      </c>
      <c r="K614" s="3">
        <f t="shared" si="28"/>
        <v>2156287097211</v>
      </c>
      <c r="M614" s="4">
        <f t="shared" si="29"/>
        <v>-5.4213329449589898E-2</v>
      </c>
    </row>
    <row r="615" spans="1:13" x14ac:dyDescent="0.45">
      <c r="A615" s="2">
        <v>45069</v>
      </c>
      <c r="B615" s="1">
        <v>1437.55</v>
      </c>
      <c r="D615" s="2">
        <v>45069</v>
      </c>
      <c r="E615" s="1">
        <v>6778.75</v>
      </c>
      <c r="G615" s="3">
        <v>1594100000</v>
      </c>
      <c r="H615" s="3">
        <f t="shared" si="27"/>
        <v>2291598455000</v>
      </c>
      <c r="J615" s="3">
        <v>317816130</v>
      </c>
      <c r="K615" s="3">
        <f t="shared" si="28"/>
        <v>2154396091237.5</v>
      </c>
      <c r="M615" s="4">
        <f t="shared" si="29"/>
        <v>-6.3684836934368105E-2</v>
      </c>
    </row>
    <row r="616" spans="1:13" x14ac:dyDescent="0.45">
      <c r="A616" s="2">
        <v>45068</v>
      </c>
      <c r="B616" s="1">
        <v>1412.8</v>
      </c>
      <c r="D616" s="2">
        <v>45068</v>
      </c>
      <c r="E616" s="1">
        <v>6791.85</v>
      </c>
      <c r="G616" s="3">
        <v>1594100000</v>
      </c>
      <c r="H616" s="3">
        <f t="shared" si="27"/>
        <v>2252144480000</v>
      </c>
      <c r="J616" s="3">
        <v>317816130</v>
      </c>
      <c r="K616" s="3">
        <f t="shared" si="28"/>
        <v>2158559482540.5</v>
      </c>
      <c r="M616" s="4">
        <f t="shared" si="29"/>
        <v>-4.3355301633548615E-2</v>
      </c>
    </row>
    <row r="617" spans="1:13" x14ac:dyDescent="0.45">
      <c r="A617" s="2">
        <v>45065</v>
      </c>
      <c r="B617" s="1">
        <v>1415.85</v>
      </c>
      <c r="D617" s="2">
        <v>45065</v>
      </c>
      <c r="E617" s="1">
        <v>6784.2</v>
      </c>
      <c r="G617" s="3">
        <v>1594100000</v>
      </c>
      <c r="H617" s="3">
        <f t="shared" si="27"/>
        <v>2257006485000</v>
      </c>
      <c r="J617" s="3">
        <v>317816130</v>
      </c>
      <c r="K617" s="3">
        <f t="shared" si="28"/>
        <v>2156128189146</v>
      </c>
      <c r="M617" s="4">
        <f t="shared" si="29"/>
        <v>-4.6786780285988483E-2</v>
      </c>
    </row>
    <row r="618" spans="1:13" x14ac:dyDescent="0.45">
      <c r="A618" s="2">
        <v>45064</v>
      </c>
      <c r="B618" s="1">
        <v>1415</v>
      </c>
      <c r="D618" s="2">
        <v>45064</v>
      </c>
      <c r="E618" s="1">
        <v>6788.8</v>
      </c>
      <c r="G618" s="3">
        <v>1594100000</v>
      </c>
      <c r="H618" s="3">
        <f t="shared" si="27"/>
        <v>2255651500000</v>
      </c>
      <c r="J618" s="3">
        <v>317816130</v>
      </c>
      <c r="K618" s="3">
        <f t="shared" si="28"/>
        <v>2157590143344</v>
      </c>
      <c r="M618" s="4">
        <f t="shared" si="29"/>
        <v>-4.544948305335561E-2</v>
      </c>
    </row>
    <row r="619" spans="1:13" x14ac:dyDescent="0.45">
      <c r="A619" s="2">
        <v>45063</v>
      </c>
      <c r="B619" s="1">
        <v>1415.3</v>
      </c>
      <c r="D619" s="2">
        <v>45063</v>
      </c>
      <c r="E619" s="1">
        <v>6708.05</v>
      </c>
      <c r="G619" s="3">
        <v>1594100000</v>
      </c>
      <c r="H619" s="3">
        <f t="shared" si="27"/>
        <v>2256129730000</v>
      </c>
      <c r="J619" s="3">
        <v>317816130</v>
      </c>
      <c r="K619" s="3">
        <f t="shared" si="28"/>
        <v>2131926490846.5</v>
      </c>
      <c r="M619" s="4">
        <f t="shared" si="29"/>
        <v>-5.8258687476688831E-2</v>
      </c>
    </row>
    <row r="620" spans="1:13" x14ac:dyDescent="0.45">
      <c r="A620" s="2">
        <v>45062</v>
      </c>
      <c r="B620" s="1">
        <v>1428.35</v>
      </c>
      <c r="D620" s="2">
        <v>45062</v>
      </c>
      <c r="E620" s="1">
        <v>6789.45</v>
      </c>
      <c r="G620" s="3">
        <v>1594100000</v>
      </c>
      <c r="H620" s="3">
        <f t="shared" si="27"/>
        <v>2276932735000</v>
      </c>
      <c r="J620" s="3">
        <v>317816130</v>
      </c>
      <c r="K620" s="3">
        <f t="shared" si="28"/>
        <v>2157796723828.5</v>
      </c>
      <c r="M620" s="4">
        <f t="shared" si="29"/>
        <v>-5.521187879093703E-2</v>
      </c>
    </row>
    <row r="621" spans="1:13" x14ac:dyDescent="0.45">
      <c r="A621" s="2">
        <v>45061</v>
      </c>
      <c r="B621" s="1">
        <v>1421.3</v>
      </c>
      <c r="D621" s="2">
        <v>45061</v>
      </c>
      <c r="E621" s="1">
        <v>6710.5</v>
      </c>
      <c r="G621" s="3">
        <v>1594100000</v>
      </c>
      <c r="H621" s="3">
        <f t="shared" si="27"/>
        <v>2265694330000</v>
      </c>
      <c r="J621" s="3">
        <v>317816130</v>
      </c>
      <c r="K621" s="3">
        <f t="shared" si="28"/>
        <v>2132705140365</v>
      </c>
      <c r="M621" s="4">
        <f t="shared" si="29"/>
        <v>-6.2357044636859538E-2</v>
      </c>
    </row>
    <row r="622" spans="1:13" x14ac:dyDescent="0.45">
      <c r="A622" s="2">
        <v>45058</v>
      </c>
      <c r="B622" s="1">
        <v>1423.4</v>
      </c>
      <c r="D622" s="2">
        <v>45058</v>
      </c>
      <c r="E622" s="1">
        <v>6713.05</v>
      </c>
      <c r="G622" s="3">
        <v>1594100000</v>
      </c>
      <c r="H622" s="3">
        <f t="shared" si="27"/>
        <v>2269041940000</v>
      </c>
      <c r="J622" s="3">
        <v>317816130</v>
      </c>
      <c r="K622" s="3">
        <f t="shared" si="28"/>
        <v>2133515571496.5</v>
      </c>
      <c r="M622" s="4">
        <f t="shared" si="29"/>
        <v>-6.3522558876117463E-2</v>
      </c>
    </row>
    <row r="623" spans="1:13" x14ac:dyDescent="0.45">
      <c r="A623" s="2">
        <v>45057</v>
      </c>
      <c r="B623" s="1">
        <v>1419.7</v>
      </c>
      <c r="D623" s="2">
        <v>45057</v>
      </c>
      <c r="E623" s="1">
        <v>6660.25</v>
      </c>
      <c r="G623" s="3">
        <v>1594100000</v>
      </c>
      <c r="H623" s="3">
        <f t="shared" si="27"/>
        <v>2263143770000</v>
      </c>
      <c r="J623" s="3">
        <v>317816130</v>
      </c>
      <c r="K623" s="3">
        <f t="shared" si="28"/>
        <v>2116734879832.5</v>
      </c>
      <c r="M623" s="4">
        <f t="shared" si="29"/>
        <v>-6.9167325375715238E-2</v>
      </c>
    </row>
    <row r="624" spans="1:13" x14ac:dyDescent="0.45">
      <c r="A624" s="2">
        <v>45056</v>
      </c>
      <c r="B624" s="1">
        <v>1413.75</v>
      </c>
      <c r="D624" s="2">
        <v>45056</v>
      </c>
      <c r="E624" s="1">
        <v>6631.2</v>
      </c>
      <c r="G624" s="3">
        <v>1594100000</v>
      </c>
      <c r="H624" s="3">
        <f t="shared" si="27"/>
        <v>2253658875000</v>
      </c>
      <c r="J624" s="3">
        <v>317816130</v>
      </c>
      <c r="K624" s="3">
        <f t="shared" si="28"/>
        <v>2107502321256</v>
      </c>
      <c r="M624" s="4">
        <f t="shared" si="29"/>
        <v>-6.9350601548517243E-2</v>
      </c>
    </row>
    <row r="625" spans="1:13" x14ac:dyDescent="0.45">
      <c r="A625" s="2">
        <v>45055</v>
      </c>
      <c r="B625" s="1">
        <v>1407.9</v>
      </c>
      <c r="D625" s="2">
        <v>45055</v>
      </c>
      <c r="E625" s="1">
        <v>6549.75</v>
      </c>
      <c r="G625" s="3">
        <v>1594100000</v>
      </c>
      <c r="H625" s="3">
        <f t="shared" si="27"/>
        <v>2244333390000</v>
      </c>
      <c r="J625" s="3">
        <v>317816130</v>
      </c>
      <c r="K625" s="3">
        <f t="shared" si="28"/>
        <v>2081616197467.5</v>
      </c>
      <c r="M625" s="4">
        <f t="shared" si="29"/>
        <v>-7.8168681013561558E-2</v>
      </c>
    </row>
    <row r="626" spans="1:13" x14ac:dyDescent="0.45">
      <c r="A626" s="2">
        <v>45054</v>
      </c>
      <c r="B626" s="1">
        <v>1404.75</v>
      </c>
      <c r="D626" s="2">
        <v>45054</v>
      </c>
      <c r="E626" s="1">
        <v>6657.15</v>
      </c>
      <c r="G626" s="3">
        <v>1594100000</v>
      </c>
      <c r="H626" s="3">
        <f t="shared" si="27"/>
        <v>2239311975000</v>
      </c>
      <c r="J626" s="3">
        <v>317816130</v>
      </c>
      <c r="K626" s="3">
        <f t="shared" si="28"/>
        <v>2115749649829.5</v>
      </c>
      <c r="M626" s="4">
        <f t="shared" si="29"/>
        <v>-5.8401203176593919E-2</v>
      </c>
    </row>
    <row r="627" spans="1:13" x14ac:dyDescent="0.45">
      <c r="A627" s="2">
        <v>45051</v>
      </c>
      <c r="B627" s="1">
        <v>1359.55</v>
      </c>
      <c r="D627" s="2">
        <v>45051</v>
      </c>
      <c r="E627" s="1">
        <v>6388.25</v>
      </c>
      <c r="G627" s="3">
        <v>1594100000</v>
      </c>
      <c r="H627" s="3">
        <f t="shared" si="27"/>
        <v>2167258655000</v>
      </c>
      <c r="J627" s="3">
        <v>317816130</v>
      </c>
      <c r="K627" s="3">
        <f t="shared" si="28"/>
        <v>2030288892472.5</v>
      </c>
      <c r="M627" s="4">
        <f t="shared" si="29"/>
        <v>-6.7463188630607851E-2</v>
      </c>
    </row>
    <row r="628" spans="1:13" x14ac:dyDescent="0.45">
      <c r="A628" s="2">
        <v>45050</v>
      </c>
      <c r="B628" s="1">
        <v>1374.05</v>
      </c>
      <c r="D628" s="2">
        <v>45050</v>
      </c>
      <c r="E628" s="1">
        <v>6390.15</v>
      </c>
      <c r="G628" s="3">
        <v>1594100000</v>
      </c>
      <c r="H628" s="3">
        <f t="shared" si="27"/>
        <v>2190373105000</v>
      </c>
      <c r="J628" s="3">
        <v>317816130</v>
      </c>
      <c r="K628" s="3">
        <f t="shared" si="28"/>
        <v>2030892743119.5</v>
      </c>
      <c r="M628" s="4">
        <f t="shared" si="29"/>
        <v>-7.8527220317669011E-2</v>
      </c>
    </row>
    <row r="629" spans="1:13" x14ac:dyDescent="0.45">
      <c r="A629" s="2">
        <v>45049</v>
      </c>
      <c r="B629" s="1">
        <v>1346.25</v>
      </c>
      <c r="D629" s="2">
        <v>45049</v>
      </c>
      <c r="E629" s="1">
        <v>6178.2</v>
      </c>
      <c r="G629" s="3">
        <v>1594100000</v>
      </c>
      <c r="H629" s="3">
        <f t="shared" si="27"/>
        <v>2146057125000</v>
      </c>
      <c r="J629" s="3">
        <v>317816130</v>
      </c>
      <c r="K629" s="3">
        <f t="shared" si="28"/>
        <v>1963531614366</v>
      </c>
      <c r="M629" s="4">
        <f t="shared" si="29"/>
        <v>-9.2957765130221803E-2</v>
      </c>
    </row>
    <row r="630" spans="1:13" x14ac:dyDescent="0.45">
      <c r="A630" s="2">
        <v>45048</v>
      </c>
      <c r="B630" s="1">
        <v>1349.1</v>
      </c>
      <c r="D630" s="2">
        <v>45048</v>
      </c>
      <c r="E630" s="1">
        <v>6248.3</v>
      </c>
      <c r="G630" s="3">
        <v>1594100000</v>
      </c>
      <c r="H630" s="3">
        <f t="shared" si="27"/>
        <v>2150600309999.9998</v>
      </c>
      <c r="J630" s="3">
        <v>317816130</v>
      </c>
      <c r="K630" s="3">
        <f t="shared" si="28"/>
        <v>1985810525079</v>
      </c>
      <c r="M630" s="4">
        <f t="shared" si="29"/>
        <v>-8.2983639596956982E-2</v>
      </c>
    </row>
    <row r="631" spans="1:13" x14ac:dyDescent="0.45">
      <c r="A631" s="2">
        <v>45044</v>
      </c>
      <c r="B631" s="1">
        <v>1351.35</v>
      </c>
      <c r="D631" s="2">
        <v>45044</v>
      </c>
      <c r="E631" s="1">
        <v>6280.4</v>
      </c>
      <c r="G631" s="3">
        <v>1594100000</v>
      </c>
      <c r="H631" s="3">
        <f t="shared" si="27"/>
        <v>2154187034999.9998</v>
      </c>
      <c r="J631" s="3">
        <v>317816130</v>
      </c>
      <c r="K631" s="3">
        <f t="shared" si="28"/>
        <v>1996012422852</v>
      </c>
      <c r="M631" s="4">
        <f t="shared" si="29"/>
        <v>-7.9245304456568633E-2</v>
      </c>
    </row>
    <row r="632" spans="1:13" x14ac:dyDescent="0.45">
      <c r="A632" s="2">
        <v>45043</v>
      </c>
      <c r="B632" s="1">
        <v>1359.95</v>
      </c>
      <c r="D632" s="2">
        <v>45043</v>
      </c>
      <c r="E632" s="1">
        <v>6199.25</v>
      </c>
      <c r="G632" s="3">
        <v>1594100000</v>
      </c>
      <c r="H632" s="3">
        <f t="shared" si="27"/>
        <v>2167896295000</v>
      </c>
      <c r="J632" s="3">
        <v>317816130</v>
      </c>
      <c r="K632" s="3">
        <f t="shared" si="28"/>
        <v>1970221643902.5</v>
      </c>
      <c r="M632" s="4">
        <f t="shared" si="29"/>
        <v>-0.10033117426624028</v>
      </c>
    </row>
    <row r="633" spans="1:13" x14ac:dyDescent="0.45">
      <c r="A633" s="2">
        <v>45042</v>
      </c>
      <c r="B633" s="1">
        <v>1334.65</v>
      </c>
      <c r="D633" s="2">
        <v>45042</v>
      </c>
      <c r="E633" s="1">
        <v>6054.8</v>
      </c>
      <c r="G633" s="3">
        <v>1594100000</v>
      </c>
      <c r="H633" s="3">
        <f t="shared" si="27"/>
        <v>2127565565000.0002</v>
      </c>
      <c r="J633" s="3">
        <v>317816130</v>
      </c>
      <c r="K633" s="3">
        <f t="shared" si="28"/>
        <v>1924313103924</v>
      </c>
      <c r="M633" s="4">
        <f t="shared" si="29"/>
        <v>-0.10562338356556111</v>
      </c>
    </row>
    <row r="634" spans="1:13" x14ac:dyDescent="0.45">
      <c r="A634" s="2">
        <v>45041</v>
      </c>
      <c r="B634" s="1">
        <v>1345.95</v>
      </c>
      <c r="D634" s="2">
        <v>45041</v>
      </c>
      <c r="E634" s="1">
        <v>6078.75</v>
      </c>
      <c r="G634" s="3">
        <v>1594100000</v>
      </c>
      <c r="H634" s="3">
        <f t="shared" si="27"/>
        <v>2145578895000</v>
      </c>
      <c r="J634" s="3">
        <v>317816130</v>
      </c>
      <c r="K634" s="3">
        <f t="shared" si="28"/>
        <v>1931924800237.5</v>
      </c>
      <c r="M634" s="4">
        <f t="shared" si="29"/>
        <v>-0.11059131014635493</v>
      </c>
    </row>
    <row r="635" spans="1:13" x14ac:dyDescent="0.45">
      <c r="A635" s="2">
        <v>45040</v>
      </c>
      <c r="B635" s="1">
        <v>1319.15</v>
      </c>
      <c r="D635" s="2">
        <v>45040</v>
      </c>
      <c r="E635" s="1">
        <v>5933.05</v>
      </c>
      <c r="G635" s="3">
        <v>1594100000</v>
      </c>
      <c r="H635" s="3">
        <f t="shared" si="27"/>
        <v>2102857015000.0002</v>
      </c>
      <c r="J635" s="3">
        <v>317816130</v>
      </c>
      <c r="K635" s="3">
        <f t="shared" si="28"/>
        <v>1885618990096.5</v>
      </c>
      <c r="M635" s="4">
        <f t="shared" si="29"/>
        <v>-0.11520780499372396</v>
      </c>
    </row>
    <row r="636" spans="1:13" x14ac:dyDescent="0.45">
      <c r="A636" s="2">
        <v>45037</v>
      </c>
      <c r="B636" s="1">
        <v>1316.7</v>
      </c>
      <c r="D636" s="2">
        <v>45037</v>
      </c>
      <c r="E636" s="1">
        <v>5937.45</v>
      </c>
      <c r="G636" s="3">
        <v>1594100000</v>
      </c>
      <c r="H636" s="3">
        <f t="shared" si="27"/>
        <v>2098951470000</v>
      </c>
      <c r="J636" s="3">
        <v>317816130</v>
      </c>
      <c r="K636" s="3">
        <f t="shared" si="28"/>
        <v>1887017381068.5</v>
      </c>
      <c r="M636" s="4">
        <f t="shared" si="29"/>
        <v>-0.11231167823769317</v>
      </c>
    </row>
    <row r="637" spans="1:13" x14ac:dyDescent="0.45">
      <c r="A637" s="2">
        <v>45036</v>
      </c>
      <c r="B637" s="1">
        <v>1331.6</v>
      </c>
      <c r="D637" s="2">
        <v>45036</v>
      </c>
      <c r="E637" s="1">
        <v>5911.45</v>
      </c>
      <c r="G637" s="3">
        <v>1594100000</v>
      </c>
      <c r="H637" s="3">
        <f t="shared" si="27"/>
        <v>2122703559999.9998</v>
      </c>
      <c r="J637" s="3">
        <v>317816130</v>
      </c>
      <c r="K637" s="3">
        <f t="shared" si="28"/>
        <v>1878754161688.5</v>
      </c>
      <c r="M637" s="4">
        <f t="shared" si="29"/>
        <v>-0.12984636483373335</v>
      </c>
    </row>
    <row r="638" spans="1:13" x14ac:dyDescent="0.45">
      <c r="A638" s="2">
        <v>45035</v>
      </c>
      <c r="B638" s="1">
        <v>1331.35</v>
      </c>
      <c r="D638" s="2">
        <v>45035</v>
      </c>
      <c r="E638" s="1">
        <v>5947.9</v>
      </c>
      <c r="G638" s="3">
        <v>1594100000</v>
      </c>
      <c r="H638" s="3">
        <f t="shared" si="27"/>
        <v>2122305034999.9998</v>
      </c>
      <c r="J638" s="3">
        <v>317816130</v>
      </c>
      <c r="K638" s="3">
        <f t="shared" si="28"/>
        <v>1890338559627</v>
      </c>
      <c r="M638" s="4">
        <f t="shared" si="29"/>
        <v>-0.12271160326897812</v>
      </c>
    </row>
    <row r="639" spans="1:13" x14ac:dyDescent="0.45">
      <c r="A639" s="2">
        <v>45034</v>
      </c>
      <c r="B639" s="1">
        <v>1335.1</v>
      </c>
      <c r="D639" s="2">
        <v>45034</v>
      </c>
      <c r="E639" s="1">
        <v>5914.55</v>
      </c>
      <c r="G639" s="3">
        <v>1594100000</v>
      </c>
      <c r="H639" s="3">
        <f t="shared" si="27"/>
        <v>2128282909999.9998</v>
      </c>
      <c r="J639" s="3">
        <v>317816130</v>
      </c>
      <c r="K639" s="3">
        <f t="shared" si="28"/>
        <v>1879739391691.5</v>
      </c>
      <c r="M639" s="4">
        <f t="shared" si="29"/>
        <v>-0.13222232794985778</v>
      </c>
    </row>
    <row r="640" spans="1:13" x14ac:dyDescent="0.45">
      <c r="A640" s="2">
        <v>45033</v>
      </c>
      <c r="B640" s="1">
        <v>1340.25</v>
      </c>
      <c r="D640" s="2">
        <v>45033</v>
      </c>
      <c r="E640" s="1">
        <v>5957.15</v>
      </c>
      <c r="G640" s="3">
        <v>1594100000</v>
      </c>
      <c r="H640" s="3">
        <f t="shared" si="27"/>
        <v>2136492525000</v>
      </c>
      <c r="J640" s="3">
        <v>317816130</v>
      </c>
      <c r="K640" s="3">
        <f t="shared" si="28"/>
        <v>1893278358829.5</v>
      </c>
      <c r="M640" s="4">
        <f t="shared" si="29"/>
        <v>-0.12846191635595772</v>
      </c>
    </row>
    <row r="641" spans="1:13" x14ac:dyDescent="0.45">
      <c r="A641" s="2">
        <v>45029</v>
      </c>
      <c r="B641" s="1">
        <v>1340.8</v>
      </c>
      <c r="D641" s="2">
        <v>45029</v>
      </c>
      <c r="E641" s="1">
        <v>5900.9</v>
      </c>
      <c r="G641" s="3">
        <v>1594100000</v>
      </c>
      <c r="H641" s="3">
        <f t="shared" si="27"/>
        <v>2137369280000</v>
      </c>
      <c r="J641" s="3">
        <v>317816130</v>
      </c>
      <c r="K641" s="3">
        <f t="shared" si="28"/>
        <v>1875401201517</v>
      </c>
      <c r="M641" s="4">
        <f t="shared" si="29"/>
        <v>-0.13968641924250425</v>
      </c>
    </row>
    <row r="642" spans="1:13" x14ac:dyDescent="0.45">
      <c r="A642" s="2">
        <v>45028</v>
      </c>
      <c r="B642" s="1">
        <v>1321.45</v>
      </c>
      <c r="D642" s="2">
        <v>45028</v>
      </c>
      <c r="E642" s="1">
        <v>5852.3</v>
      </c>
      <c r="G642" s="3">
        <v>1594100000</v>
      </c>
      <c r="H642" s="3">
        <f t="shared" si="27"/>
        <v>2106523445000</v>
      </c>
      <c r="J642" s="3">
        <v>317816130</v>
      </c>
      <c r="K642" s="3">
        <f t="shared" si="28"/>
        <v>1859955337599</v>
      </c>
      <c r="M642" s="4">
        <f t="shared" si="29"/>
        <v>-0.13256668179962472</v>
      </c>
    </row>
    <row r="643" spans="1:13" x14ac:dyDescent="0.45">
      <c r="A643" s="2">
        <v>45027</v>
      </c>
      <c r="B643" s="1">
        <v>1323.35</v>
      </c>
      <c r="D643" s="2">
        <v>45027</v>
      </c>
      <c r="E643" s="1">
        <v>5837.05</v>
      </c>
      <c r="G643" s="3">
        <v>1594100000</v>
      </c>
      <c r="H643" s="3">
        <f t="shared" si="27"/>
        <v>2109552234999.9998</v>
      </c>
      <c r="J643" s="3">
        <v>317816130</v>
      </c>
      <c r="K643" s="3">
        <f t="shared" si="28"/>
        <v>1855108641616.5</v>
      </c>
      <c r="M643" s="4">
        <f t="shared" si="29"/>
        <v>-0.13715832467999456</v>
      </c>
    </row>
    <row r="644" spans="1:13" x14ac:dyDescent="0.45">
      <c r="A644" s="2">
        <v>45026</v>
      </c>
      <c r="B644" s="1">
        <v>1304.95</v>
      </c>
      <c r="D644" s="2">
        <v>45026</v>
      </c>
      <c r="E644" s="1">
        <v>5830.75</v>
      </c>
      <c r="G644" s="3">
        <v>1594100000</v>
      </c>
      <c r="H644" s="3">
        <f t="shared" ref="H644:H707" si="30">+G644*B644</f>
        <v>2080220795000</v>
      </c>
      <c r="J644" s="3">
        <v>317816130</v>
      </c>
      <c r="K644" s="3">
        <f t="shared" ref="K644:K707" si="31">+J644*E644</f>
        <v>1853106399997.5</v>
      </c>
      <c r="M644" s="4">
        <f t="shared" ref="M644:M707" si="32">1- (H644/K644)</f>
        <v>-0.1225587451442649</v>
      </c>
    </row>
    <row r="645" spans="1:13" x14ac:dyDescent="0.45">
      <c r="A645" s="2">
        <v>45022</v>
      </c>
      <c r="B645" s="1">
        <v>1303.6500000000001</v>
      </c>
      <c r="D645" s="2">
        <v>45022</v>
      </c>
      <c r="E645" s="1">
        <v>5935.5</v>
      </c>
      <c r="G645" s="3">
        <v>1594100000</v>
      </c>
      <c r="H645" s="3">
        <f t="shared" si="30"/>
        <v>2078148465000.0002</v>
      </c>
      <c r="J645" s="3">
        <v>317816130</v>
      </c>
      <c r="K645" s="3">
        <f t="shared" si="31"/>
        <v>1886397639615</v>
      </c>
      <c r="M645" s="4">
        <f t="shared" si="32"/>
        <v>-0.10164920765281238</v>
      </c>
    </row>
    <row r="646" spans="1:13" x14ac:dyDescent="0.45">
      <c r="A646" s="2">
        <v>45021</v>
      </c>
      <c r="B646" s="1">
        <v>1279.3499999999999</v>
      </c>
      <c r="D646" s="2">
        <v>45021</v>
      </c>
      <c r="E646" s="1">
        <v>5765.65</v>
      </c>
      <c r="G646" s="3">
        <v>1594100000</v>
      </c>
      <c r="H646" s="3">
        <f t="shared" si="30"/>
        <v>2039411834999.9998</v>
      </c>
      <c r="J646" s="3">
        <v>317816130</v>
      </c>
      <c r="K646" s="3">
        <f t="shared" si="31"/>
        <v>1832416569934.5</v>
      </c>
      <c r="M646" s="4">
        <f t="shared" si="32"/>
        <v>-0.11296299567564971</v>
      </c>
    </row>
    <row r="647" spans="1:13" x14ac:dyDescent="0.45">
      <c r="A647" s="2">
        <v>45019</v>
      </c>
      <c r="B647" s="1">
        <v>1282.3499999999999</v>
      </c>
      <c r="D647" s="2">
        <v>45019</v>
      </c>
      <c r="E647" s="1">
        <v>5713</v>
      </c>
      <c r="G647" s="3">
        <v>1594100000</v>
      </c>
      <c r="H647" s="3">
        <f t="shared" si="30"/>
        <v>2044194134999.9998</v>
      </c>
      <c r="J647" s="3">
        <v>317816130</v>
      </c>
      <c r="K647" s="3">
        <f t="shared" si="31"/>
        <v>1815683550690</v>
      </c>
      <c r="M647" s="4">
        <f t="shared" si="32"/>
        <v>-0.12585375035377755</v>
      </c>
    </row>
    <row r="648" spans="1:13" x14ac:dyDescent="0.45">
      <c r="A648" s="2">
        <v>45016</v>
      </c>
      <c r="B648" s="1">
        <v>1266.3499999999999</v>
      </c>
      <c r="D648" s="2">
        <v>45016</v>
      </c>
      <c r="E648" s="1">
        <v>5615.4</v>
      </c>
      <c r="G648" s="3">
        <v>1592600000</v>
      </c>
      <c r="H648" s="3">
        <f t="shared" si="30"/>
        <v>2016789009999.9998</v>
      </c>
      <c r="J648" s="3">
        <v>317816130</v>
      </c>
      <c r="K648" s="3">
        <f t="shared" si="31"/>
        <v>1784664696402</v>
      </c>
      <c r="M648" s="4">
        <f t="shared" si="32"/>
        <v>-0.13006606454757441</v>
      </c>
    </row>
    <row r="649" spans="1:13" x14ac:dyDescent="0.45">
      <c r="A649" s="2">
        <v>45014</v>
      </c>
      <c r="B649" s="1">
        <v>1245.3</v>
      </c>
      <c r="D649" s="2">
        <v>45014</v>
      </c>
      <c r="E649" s="1">
        <v>5628.65</v>
      </c>
      <c r="G649" s="3">
        <v>1592600000</v>
      </c>
      <c r="H649" s="3">
        <f t="shared" si="30"/>
        <v>1983264780000</v>
      </c>
      <c r="J649" s="3">
        <v>317816130</v>
      </c>
      <c r="K649" s="3">
        <f t="shared" si="31"/>
        <v>1788875760124.5</v>
      </c>
      <c r="M649" s="4">
        <f t="shared" si="32"/>
        <v>-0.10866546699809443</v>
      </c>
    </row>
    <row r="650" spans="1:13" x14ac:dyDescent="0.45">
      <c r="A650" s="2">
        <v>45013</v>
      </c>
      <c r="B650" s="1">
        <v>1223.2</v>
      </c>
      <c r="D650" s="2">
        <v>45013</v>
      </c>
      <c r="E650" s="1">
        <v>5534.45</v>
      </c>
      <c r="G650" s="3">
        <v>1592600000</v>
      </c>
      <c r="H650" s="3">
        <f t="shared" si="30"/>
        <v>1948068320000</v>
      </c>
      <c r="J650" s="3">
        <v>317816130</v>
      </c>
      <c r="K650" s="3">
        <f t="shared" si="31"/>
        <v>1758937480678.5</v>
      </c>
      <c r="M650" s="4">
        <f t="shared" si="32"/>
        <v>-0.1075256178227233</v>
      </c>
    </row>
    <row r="651" spans="1:13" x14ac:dyDescent="0.45">
      <c r="A651" s="2">
        <v>45012</v>
      </c>
      <c r="B651" s="1">
        <v>1239.2</v>
      </c>
      <c r="D651" s="2">
        <v>45012</v>
      </c>
      <c r="E651" s="1">
        <v>5592.85</v>
      </c>
      <c r="G651" s="3">
        <v>1592600000</v>
      </c>
      <c r="H651" s="3">
        <f t="shared" si="30"/>
        <v>1973549920000</v>
      </c>
      <c r="J651" s="3">
        <v>317816130</v>
      </c>
      <c r="K651" s="3">
        <f t="shared" si="31"/>
        <v>1777497942670.5</v>
      </c>
      <c r="M651" s="4">
        <f t="shared" si="32"/>
        <v>-0.11029659873189668</v>
      </c>
    </row>
    <row r="652" spans="1:13" x14ac:dyDescent="0.45">
      <c r="A652" s="2">
        <v>45009</v>
      </c>
      <c r="B652" s="1">
        <v>1241.05</v>
      </c>
      <c r="D652" s="2">
        <v>45009</v>
      </c>
      <c r="E652" s="1">
        <v>5650.65</v>
      </c>
      <c r="G652" s="3">
        <v>1592600000</v>
      </c>
      <c r="H652" s="3">
        <f t="shared" si="30"/>
        <v>1976496230000</v>
      </c>
      <c r="J652" s="3">
        <v>317816130</v>
      </c>
      <c r="K652" s="3">
        <f t="shared" si="31"/>
        <v>1795867714984.5</v>
      </c>
      <c r="M652" s="4">
        <f t="shared" si="32"/>
        <v>-0.10058007809169789</v>
      </c>
    </row>
    <row r="653" spans="1:13" x14ac:dyDescent="0.45">
      <c r="A653" s="2">
        <v>45008</v>
      </c>
      <c r="B653" s="1">
        <v>1290.25</v>
      </c>
      <c r="D653" s="2">
        <v>45008</v>
      </c>
      <c r="E653" s="1">
        <v>5836.55</v>
      </c>
      <c r="G653" s="3">
        <v>1592600000</v>
      </c>
      <c r="H653" s="3">
        <f t="shared" si="30"/>
        <v>2054852150000</v>
      </c>
      <c r="J653" s="3">
        <v>317816130</v>
      </c>
      <c r="K653" s="3">
        <f t="shared" si="31"/>
        <v>1854949733551.5</v>
      </c>
      <c r="M653" s="4">
        <f t="shared" si="32"/>
        <v>-0.10776702615319134</v>
      </c>
    </row>
    <row r="654" spans="1:13" x14ac:dyDescent="0.45">
      <c r="A654" s="2">
        <v>45007</v>
      </c>
      <c r="B654" s="1">
        <v>1294.5999999999999</v>
      </c>
      <c r="D654" s="2">
        <v>45007</v>
      </c>
      <c r="E654" s="1">
        <v>5833.85</v>
      </c>
      <c r="G654" s="3">
        <v>1592600000</v>
      </c>
      <c r="H654" s="3">
        <f t="shared" si="30"/>
        <v>2061779959999.9998</v>
      </c>
      <c r="J654" s="3">
        <v>317816130</v>
      </c>
      <c r="K654" s="3">
        <f t="shared" si="31"/>
        <v>1854091630000.5</v>
      </c>
      <c r="M654" s="4">
        <f t="shared" si="32"/>
        <v>-0.11201621680339691</v>
      </c>
    </row>
    <row r="655" spans="1:13" x14ac:dyDescent="0.45">
      <c r="A655" s="2">
        <v>45006</v>
      </c>
      <c r="B655" s="1">
        <v>1267.3499999999999</v>
      </c>
      <c r="D655" s="2">
        <v>45006</v>
      </c>
      <c r="E655" s="1">
        <v>5710.3</v>
      </c>
      <c r="G655" s="3">
        <v>1592600000</v>
      </c>
      <c r="H655" s="3">
        <f t="shared" si="30"/>
        <v>2018381609999.9998</v>
      </c>
      <c r="J655" s="3">
        <v>317816130</v>
      </c>
      <c r="K655" s="3">
        <f t="shared" si="31"/>
        <v>1814825447139</v>
      </c>
      <c r="M655" s="4">
        <f t="shared" si="32"/>
        <v>-0.11216294282290229</v>
      </c>
    </row>
    <row r="656" spans="1:13" x14ac:dyDescent="0.45">
      <c r="A656" s="2">
        <v>45005</v>
      </c>
      <c r="B656" s="1">
        <v>1245.8</v>
      </c>
      <c r="D656" s="2">
        <v>45005</v>
      </c>
      <c r="E656" s="1">
        <v>5550.6</v>
      </c>
      <c r="G656" s="3">
        <v>1592600000</v>
      </c>
      <c r="H656" s="3">
        <f t="shared" si="30"/>
        <v>1984061080000</v>
      </c>
      <c r="J656" s="3">
        <v>317816130</v>
      </c>
      <c r="K656" s="3">
        <f t="shared" si="31"/>
        <v>1764070211178</v>
      </c>
      <c r="M656" s="4">
        <f t="shared" si="32"/>
        <v>-0.12470641328674548</v>
      </c>
    </row>
    <row r="657" spans="1:13" x14ac:dyDescent="0.45">
      <c r="A657" s="2">
        <v>45002</v>
      </c>
      <c r="B657" s="1">
        <v>1301.05</v>
      </c>
      <c r="D657" s="2">
        <v>45002</v>
      </c>
      <c r="E657" s="1">
        <v>5732.8</v>
      </c>
      <c r="G657" s="3">
        <v>1592600000</v>
      </c>
      <c r="H657" s="3">
        <f t="shared" si="30"/>
        <v>2072052230000</v>
      </c>
      <c r="J657" s="3">
        <v>317816130</v>
      </c>
      <c r="K657" s="3">
        <f t="shared" si="31"/>
        <v>1821976310064</v>
      </c>
      <c r="M657" s="4">
        <f t="shared" si="32"/>
        <v>-0.13725530818082676</v>
      </c>
    </row>
    <row r="658" spans="1:13" x14ac:dyDescent="0.45">
      <c r="A658" s="2">
        <v>45001</v>
      </c>
      <c r="B658" s="1">
        <v>1295.2</v>
      </c>
      <c r="D658" s="2">
        <v>45001</v>
      </c>
      <c r="E658" s="1">
        <v>5717.2</v>
      </c>
      <c r="G658" s="3">
        <v>1592600000</v>
      </c>
      <c r="H658" s="3">
        <f t="shared" si="30"/>
        <v>2062735520000</v>
      </c>
      <c r="J658" s="3">
        <v>317816130</v>
      </c>
      <c r="K658" s="3">
        <f t="shared" si="31"/>
        <v>1817018378436</v>
      </c>
      <c r="M658" s="4">
        <f t="shared" si="32"/>
        <v>-0.13523096105142374</v>
      </c>
    </row>
    <row r="659" spans="1:13" x14ac:dyDescent="0.45">
      <c r="A659" s="2">
        <v>45000</v>
      </c>
      <c r="B659" s="1">
        <v>1282.2</v>
      </c>
      <c r="D659" s="2">
        <v>45000</v>
      </c>
      <c r="E659" s="1">
        <v>5729.2</v>
      </c>
      <c r="G659" s="3">
        <v>1592600000</v>
      </c>
      <c r="H659" s="3">
        <f t="shared" si="30"/>
        <v>2042031720000</v>
      </c>
      <c r="J659" s="3">
        <v>317816130</v>
      </c>
      <c r="K659" s="3">
        <f t="shared" si="31"/>
        <v>1820832171996</v>
      </c>
      <c r="M659" s="4">
        <f t="shared" si="32"/>
        <v>-0.12148266677511566</v>
      </c>
    </row>
    <row r="660" spans="1:13" x14ac:dyDescent="0.45">
      <c r="A660" s="2">
        <v>44999</v>
      </c>
      <c r="B660" s="1">
        <v>1281.1500000000001</v>
      </c>
      <c r="D660" s="2">
        <v>44999</v>
      </c>
      <c r="E660" s="1">
        <v>5732.45</v>
      </c>
      <c r="G660" s="3">
        <v>1592600000</v>
      </c>
      <c r="H660" s="3">
        <f t="shared" si="30"/>
        <v>2040359490000.0002</v>
      </c>
      <c r="J660" s="3">
        <v>317816130</v>
      </c>
      <c r="K660" s="3">
        <f t="shared" si="31"/>
        <v>1821865074418.5</v>
      </c>
      <c r="M660" s="4">
        <f t="shared" si="32"/>
        <v>-0.11992897753486975</v>
      </c>
    </row>
    <row r="661" spans="1:13" x14ac:dyDescent="0.45">
      <c r="A661" s="2">
        <v>44998</v>
      </c>
      <c r="B661" s="1">
        <v>1295.9000000000001</v>
      </c>
      <c r="D661" s="2">
        <v>44998</v>
      </c>
      <c r="E661" s="1">
        <v>5844.25</v>
      </c>
      <c r="G661" s="3">
        <v>1592600000</v>
      </c>
      <c r="H661" s="3">
        <f t="shared" si="30"/>
        <v>2063850340000.0002</v>
      </c>
      <c r="J661" s="3">
        <v>317816130</v>
      </c>
      <c r="K661" s="3">
        <f t="shared" si="31"/>
        <v>1857396917752.5</v>
      </c>
      <c r="M661" s="4">
        <f t="shared" si="32"/>
        <v>-0.11115202155999837</v>
      </c>
    </row>
    <row r="662" spans="1:13" x14ac:dyDescent="0.45">
      <c r="A662" s="2">
        <v>44995</v>
      </c>
      <c r="B662" s="1">
        <v>1328.7</v>
      </c>
      <c r="D662" s="2">
        <v>44995</v>
      </c>
      <c r="E662" s="1">
        <v>5873.2</v>
      </c>
      <c r="G662" s="3">
        <v>1592600000</v>
      </c>
      <c r="H662" s="3">
        <f t="shared" si="30"/>
        <v>2116087620000</v>
      </c>
      <c r="J662" s="3">
        <v>317816130</v>
      </c>
      <c r="K662" s="3">
        <f t="shared" si="31"/>
        <v>1866597694716</v>
      </c>
      <c r="M662" s="4">
        <f t="shared" si="32"/>
        <v>-0.13366025576387508</v>
      </c>
    </row>
    <row r="663" spans="1:13" x14ac:dyDescent="0.45">
      <c r="A663" s="2">
        <v>44994</v>
      </c>
      <c r="B663" s="1">
        <v>1352.75</v>
      </c>
      <c r="D663" s="2">
        <v>44994</v>
      </c>
      <c r="E663" s="1">
        <v>5904.9</v>
      </c>
      <c r="G663" s="3">
        <v>1592600000</v>
      </c>
      <c r="H663" s="3">
        <f t="shared" si="30"/>
        <v>2154389650000</v>
      </c>
      <c r="J663" s="3">
        <v>317816130</v>
      </c>
      <c r="K663" s="3">
        <f t="shared" si="31"/>
        <v>1876672466037</v>
      </c>
      <c r="M663" s="4">
        <f t="shared" si="32"/>
        <v>-0.14798383254881964</v>
      </c>
    </row>
    <row r="664" spans="1:13" x14ac:dyDescent="0.45">
      <c r="A664" s="2">
        <v>44993</v>
      </c>
      <c r="B664" s="1">
        <v>1379.95</v>
      </c>
      <c r="D664" s="2">
        <v>44993</v>
      </c>
      <c r="E664" s="1">
        <v>5995.15</v>
      </c>
      <c r="G664" s="3">
        <v>1592600000</v>
      </c>
      <c r="H664" s="3">
        <f t="shared" si="30"/>
        <v>2197708370000</v>
      </c>
      <c r="J664" s="3">
        <v>317816130</v>
      </c>
      <c r="K664" s="3">
        <f t="shared" si="31"/>
        <v>1905355371769.5</v>
      </c>
      <c r="M664" s="4">
        <f t="shared" si="32"/>
        <v>-0.15343751751621659</v>
      </c>
    </row>
    <row r="665" spans="1:13" x14ac:dyDescent="0.45">
      <c r="A665" s="2">
        <v>44991</v>
      </c>
      <c r="B665" s="1">
        <v>1381.4</v>
      </c>
      <c r="D665" s="2">
        <v>44991</v>
      </c>
      <c r="E665" s="1">
        <v>6136.2</v>
      </c>
      <c r="G665" s="3">
        <v>1592600000</v>
      </c>
      <c r="H665" s="3">
        <f t="shared" si="30"/>
        <v>2200017640000</v>
      </c>
      <c r="J665" s="3">
        <v>317816130</v>
      </c>
      <c r="K665" s="3">
        <f t="shared" si="31"/>
        <v>1950183336906</v>
      </c>
      <c r="M665" s="4">
        <f t="shared" si="32"/>
        <v>-0.12810811084580709</v>
      </c>
    </row>
    <row r="666" spans="1:13" x14ac:dyDescent="0.45">
      <c r="A666" s="2">
        <v>44988</v>
      </c>
      <c r="B666" s="1">
        <v>1355.2</v>
      </c>
      <c r="D666" s="2">
        <v>44988</v>
      </c>
      <c r="E666" s="1">
        <v>6102.4</v>
      </c>
      <c r="G666" s="3">
        <v>1592600000</v>
      </c>
      <c r="H666" s="3">
        <f t="shared" si="30"/>
        <v>2158291520000</v>
      </c>
      <c r="J666" s="3">
        <v>317816130</v>
      </c>
      <c r="K666" s="3">
        <f t="shared" si="31"/>
        <v>1939441151712</v>
      </c>
      <c r="M666" s="4">
        <f t="shared" si="32"/>
        <v>-0.11284197414023867</v>
      </c>
    </row>
    <row r="667" spans="1:13" x14ac:dyDescent="0.45">
      <c r="A667" s="2">
        <v>44987</v>
      </c>
      <c r="B667" s="1">
        <v>1343.4</v>
      </c>
      <c r="D667" s="2">
        <v>44987</v>
      </c>
      <c r="E667" s="1">
        <v>6083.35</v>
      </c>
      <c r="G667" s="3">
        <v>1592600000</v>
      </c>
      <c r="H667" s="3">
        <f t="shared" si="30"/>
        <v>2139498840000.0002</v>
      </c>
      <c r="J667" s="3">
        <v>317816130</v>
      </c>
      <c r="K667" s="3">
        <f t="shared" si="31"/>
        <v>1933386754435.5</v>
      </c>
      <c r="M667" s="4">
        <f t="shared" si="32"/>
        <v>-0.10660675371425099</v>
      </c>
    </row>
    <row r="668" spans="1:13" x14ac:dyDescent="0.45">
      <c r="A668" s="2">
        <v>44986</v>
      </c>
      <c r="B668" s="1">
        <v>1344.6</v>
      </c>
      <c r="D668" s="2">
        <v>44986</v>
      </c>
      <c r="E668" s="1">
        <v>6156.8</v>
      </c>
      <c r="G668" s="3">
        <v>1592600000</v>
      </c>
      <c r="H668" s="3">
        <f t="shared" si="30"/>
        <v>2141409959999.9998</v>
      </c>
      <c r="J668" s="3">
        <v>317816130</v>
      </c>
      <c r="K668" s="3">
        <f t="shared" si="31"/>
        <v>1956730349184</v>
      </c>
      <c r="M668" s="4">
        <f t="shared" si="32"/>
        <v>-9.4381737827603729E-2</v>
      </c>
    </row>
    <row r="669" spans="1:13" x14ac:dyDescent="0.45">
      <c r="A669" s="2">
        <v>44985</v>
      </c>
      <c r="B669" s="1">
        <v>1334.25</v>
      </c>
      <c r="D669" s="2">
        <v>44985</v>
      </c>
      <c r="E669" s="1">
        <v>6116.45</v>
      </c>
      <c r="G669" s="3">
        <v>1592600000</v>
      </c>
      <c r="H669" s="3">
        <f t="shared" si="30"/>
        <v>2124926550000</v>
      </c>
      <c r="J669" s="3">
        <v>317816130</v>
      </c>
      <c r="K669" s="3">
        <f t="shared" si="31"/>
        <v>1943906468338.5</v>
      </c>
      <c r="M669" s="4">
        <f t="shared" si="32"/>
        <v>-9.3121806326526446E-2</v>
      </c>
    </row>
    <row r="670" spans="1:13" x14ac:dyDescent="0.45">
      <c r="A670" s="2">
        <v>44984</v>
      </c>
      <c r="B670" s="1">
        <v>1358.25</v>
      </c>
      <c r="D670" s="2">
        <v>44984</v>
      </c>
      <c r="E670" s="1">
        <v>6187.9</v>
      </c>
      <c r="G670" s="3">
        <v>1592600000</v>
      </c>
      <c r="H670" s="3">
        <f t="shared" si="30"/>
        <v>2163148950000</v>
      </c>
      <c r="J670" s="3">
        <v>317816130</v>
      </c>
      <c r="K670" s="3">
        <f t="shared" si="31"/>
        <v>1966614430827</v>
      </c>
      <c r="M670" s="4">
        <f t="shared" si="32"/>
        <v>-9.9935460704594359E-2</v>
      </c>
    </row>
    <row r="671" spans="1:13" x14ac:dyDescent="0.45">
      <c r="A671" s="2">
        <v>44981</v>
      </c>
      <c r="B671" s="1">
        <v>1358.9</v>
      </c>
      <c r="D671" s="2">
        <v>44981</v>
      </c>
      <c r="E671" s="1">
        <v>6234.55</v>
      </c>
      <c r="G671" s="3">
        <v>1592600000</v>
      </c>
      <c r="H671" s="3">
        <f t="shared" si="30"/>
        <v>2164184140000.0002</v>
      </c>
      <c r="J671" s="3">
        <v>317816130</v>
      </c>
      <c r="K671" s="3">
        <f t="shared" si="31"/>
        <v>1981440553291.5</v>
      </c>
      <c r="M671" s="4">
        <f t="shared" si="32"/>
        <v>-9.222764034224129E-2</v>
      </c>
    </row>
    <row r="672" spans="1:13" x14ac:dyDescent="0.45">
      <c r="A672" s="2">
        <v>44980</v>
      </c>
      <c r="B672" s="1">
        <v>1347.55</v>
      </c>
      <c r="D672" s="2">
        <v>44980</v>
      </c>
      <c r="E672" s="1">
        <v>6207.4</v>
      </c>
      <c r="G672" s="3">
        <v>1592600000</v>
      </c>
      <c r="H672" s="3">
        <f t="shared" si="30"/>
        <v>2146108130000</v>
      </c>
      <c r="J672" s="3">
        <v>317816130</v>
      </c>
      <c r="K672" s="3">
        <f t="shared" si="31"/>
        <v>1972811845362</v>
      </c>
      <c r="M672" s="4">
        <f t="shared" si="32"/>
        <v>-8.7842277024751558E-2</v>
      </c>
    </row>
    <row r="673" spans="1:13" x14ac:dyDescent="0.45">
      <c r="A673" s="2">
        <v>44979</v>
      </c>
      <c r="B673" s="1">
        <v>1361.3</v>
      </c>
      <c r="D673" s="2">
        <v>44979</v>
      </c>
      <c r="E673" s="1">
        <v>6198.6</v>
      </c>
      <c r="G673" s="3">
        <v>1592600000</v>
      </c>
      <c r="H673" s="3">
        <f t="shared" si="30"/>
        <v>2168006380000</v>
      </c>
      <c r="J673" s="3">
        <v>317816130</v>
      </c>
      <c r="K673" s="3">
        <f t="shared" si="31"/>
        <v>1970015063418</v>
      </c>
      <c r="M673" s="4">
        <f t="shared" si="32"/>
        <v>-0.10050243790445057</v>
      </c>
    </row>
    <row r="674" spans="1:13" x14ac:dyDescent="0.45">
      <c r="A674" s="2">
        <v>44978</v>
      </c>
      <c r="B674" s="1">
        <v>1393.7</v>
      </c>
      <c r="D674" s="2">
        <v>44978</v>
      </c>
      <c r="E674" s="1">
        <v>6381.05</v>
      </c>
      <c r="G674" s="3">
        <v>1592600000</v>
      </c>
      <c r="H674" s="3">
        <f t="shared" si="30"/>
        <v>2219606620000</v>
      </c>
      <c r="J674" s="3">
        <v>317816130</v>
      </c>
      <c r="K674" s="3">
        <f t="shared" si="31"/>
        <v>2028000616336.5</v>
      </c>
      <c r="M674" s="4">
        <f t="shared" si="32"/>
        <v>-9.4480249226762236E-2</v>
      </c>
    </row>
    <row r="675" spans="1:13" x14ac:dyDescent="0.45">
      <c r="A675" s="2">
        <v>44977</v>
      </c>
      <c r="B675" s="1">
        <v>1404.95</v>
      </c>
      <c r="D675" s="2">
        <v>44977</v>
      </c>
      <c r="E675" s="1">
        <v>6366.7</v>
      </c>
      <c r="G675" s="3">
        <v>1592600000</v>
      </c>
      <c r="H675" s="3">
        <f t="shared" si="30"/>
        <v>2237523370000</v>
      </c>
      <c r="J675" s="3">
        <v>317816130</v>
      </c>
      <c r="K675" s="3">
        <f t="shared" si="31"/>
        <v>2023439954871</v>
      </c>
      <c r="M675" s="4">
        <f t="shared" si="32"/>
        <v>-0.10580171386536064</v>
      </c>
    </row>
    <row r="676" spans="1:13" x14ac:dyDescent="0.45">
      <c r="A676" s="2">
        <v>44974</v>
      </c>
      <c r="B676" s="1">
        <v>1413.9</v>
      </c>
      <c r="D676" s="2">
        <v>44974</v>
      </c>
      <c r="E676" s="1">
        <v>6425.65</v>
      </c>
      <c r="G676" s="3">
        <v>1592600000</v>
      </c>
      <c r="H676" s="3">
        <f t="shared" si="30"/>
        <v>2251777140000</v>
      </c>
      <c r="J676" s="3">
        <v>317816130</v>
      </c>
      <c r="K676" s="3">
        <f t="shared" si="31"/>
        <v>2042175215734.5</v>
      </c>
      <c r="M676" s="4">
        <f t="shared" si="32"/>
        <v>-0.10263660172279265</v>
      </c>
    </row>
    <row r="677" spans="1:13" x14ac:dyDescent="0.45">
      <c r="A677" s="2">
        <v>44973</v>
      </c>
      <c r="B677" s="1">
        <v>1426.5</v>
      </c>
      <c r="D677" s="2">
        <v>44973</v>
      </c>
      <c r="E677" s="1">
        <v>6436.3</v>
      </c>
      <c r="G677" s="3">
        <v>1592600000</v>
      </c>
      <c r="H677" s="3">
        <f t="shared" si="30"/>
        <v>2271843900000</v>
      </c>
      <c r="J677" s="3">
        <v>317816130</v>
      </c>
      <c r="K677" s="3">
        <f t="shared" si="31"/>
        <v>2045559957519</v>
      </c>
      <c r="M677" s="4">
        <f t="shared" si="32"/>
        <v>-0.11062200433149516</v>
      </c>
    </row>
    <row r="678" spans="1:13" x14ac:dyDescent="0.45">
      <c r="A678" s="2">
        <v>44972</v>
      </c>
      <c r="B678" s="1">
        <v>1419.85</v>
      </c>
      <c r="D678" s="2">
        <v>44972</v>
      </c>
      <c r="E678" s="1">
        <v>6486</v>
      </c>
      <c r="G678" s="3">
        <v>1592600000</v>
      </c>
      <c r="H678" s="3">
        <f t="shared" si="30"/>
        <v>2261253110000</v>
      </c>
      <c r="J678" s="3">
        <v>317816130</v>
      </c>
      <c r="K678" s="3">
        <f t="shared" si="31"/>
        <v>2061355419180</v>
      </c>
      <c r="M678" s="4">
        <f t="shared" si="32"/>
        <v>-9.6973908021896982E-2</v>
      </c>
    </row>
    <row r="679" spans="1:13" x14ac:dyDescent="0.45">
      <c r="A679" s="2">
        <v>44971</v>
      </c>
      <c r="B679" s="1">
        <v>1399.7</v>
      </c>
      <c r="D679" s="2">
        <v>44971</v>
      </c>
      <c r="E679" s="1">
        <v>6461</v>
      </c>
      <c r="G679" s="3">
        <v>1592600000</v>
      </c>
      <c r="H679" s="3">
        <f t="shared" si="30"/>
        <v>2229162220000</v>
      </c>
      <c r="J679" s="3">
        <v>317816130</v>
      </c>
      <c r="K679" s="3">
        <f t="shared" si="31"/>
        <v>2053410015930</v>
      </c>
      <c r="M679" s="4">
        <f t="shared" si="32"/>
        <v>-8.5590409468418338E-2</v>
      </c>
    </row>
    <row r="680" spans="1:13" x14ac:dyDescent="0.45">
      <c r="A680" s="2">
        <v>44970</v>
      </c>
      <c r="B680" s="1">
        <v>1388</v>
      </c>
      <c r="D680" s="2">
        <v>44970</v>
      </c>
      <c r="E680" s="1">
        <v>6342.15</v>
      </c>
      <c r="G680" s="3">
        <v>1592600000</v>
      </c>
      <c r="H680" s="3">
        <f t="shared" si="30"/>
        <v>2210528800000</v>
      </c>
      <c r="J680" s="3">
        <v>317816130</v>
      </c>
      <c r="K680" s="3">
        <f t="shared" si="31"/>
        <v>2015637568879.5</v>
      </c>
      <c r="M680" s="4">
        <f t="shared" si="32"/>
        <v>-9.6689620261861231E-2</v>
      </c>
    </row>
    <row r="681" spans="1:13" x14ac:dyDescent="0.45">
      <c r="A681" s="2">
        <v>44967</v>
      </c>
      <c r="B681" s="1">
        <v>1401.35</v>
      </c>
      <c r="D681" s="2">
        <v>44967</v>
      </c>
      <c r="E681" s="1">
        <v>6435</v>
      </c>
      <c r="G681" s="3">
        <v>1592600000</v>
      </c>
      <c r="H681" s="3">
        <f t="shared" si="30"/>
        <v>2231790010000</v>
      </c>
      <c r="J681" s="3">
        <v>317816130</v>
      </c>
      <c r="K681" s="3">
        <f t="shared" si="31"/>
        <v>2045146796550</v>
      </c>
      <c r="M681" s="4">
        <f t="shared" si="32"/>
        <v>-9.1261523996640337E-2</v>
      </c>
    </row>
    <row r="682" spans="1:13" x14ac:dyDescent="0.45">
      <c r="A682" s="2">
        <v>44966</v>
      </c>
      <c r="B682" s="1">
        <v>1400.5</v>
      </c>
      <c r="D682" s="2">
        <v>44966</v>
      </c>
      <c r="E682" s="1">
        <v>6454.05</v>
      </c>
      <c r="G682" s="3">
        <v>1592600000</v>
      </c>
      <c r="H682" s="3">
        <f t="shared" si="30"/>
        <v>2230436300000</v>
      </c>
      <c r="J682" s="3">
        <v>317816130</v>
      </c>
      <c r="K682" s="3">
        <f t="shared" si="31"/>
        <v>2051201193826.5</v>
      </c>
      <c r="M682" s="4">
        <f t="shared" si="32"/>
        <v>-8.7380558627278448E-2</v>
      </c>
    </row>
    <row r="683" spans="1:13" x14ac:dyDescent="0.45">
      <c r="A683" s="2">
        <v>44965</v>
      </c>
      <c r="B683" s="1">
        <v>1369</v>
      </c>
      <c r="D683" s="2">
        <v>44965</v>
      </c>
      <c r="E683" s="1">
        <v>6352.85</v>
      </c>
      <c r="G683" s="3">
        <v>1592600000</v>
      </c>
      <c r="H683" s="3">
        <f t="shared" si="30"/>
        <v>2180269400000</v>
      </c>
      <c r="J683" s="3">
        <v>317816130</v>
      </c>
      <c r="K683" s="3">
        <f t="shared" si="31"/>
        <v>2019038201470.5</v>
      </c>
      <c r="M683" s="4">
        <f t="shared" si="32"/>
        <v>-7.9855447218419418E-2</v>
      </c>
    </row>
    <row r="684" spans="1:13" x14ac:dyDescent="0.45">
      <c r="A684" s="2">
        <v>44964</v>
      </c>
      <c r="B684" s="1">
        <v>1351.2</v>
      </c>
      <c r="D684" s="2">
        <v>44964</v>
      </c>
      <c r="E684" s="1">
        <v>6159.5</v>
      </c>
      <c r="G684" s="3">
        <v>1592600000</v>
      </c>
      <c r="H684" s="3">
        <f t="shared" si="30"/>
        <v>2151921120000</v>
      </c>
      <c r="J684" s="3">
        <v>317816130</v>
      </c>
      <c r="K684" s="3">
        <f t="shared" si="31"/>
        <v>1957588452735</v>
      </c>
      <c r="M684" s="4">
        <f t="shared" si="32"/>
        <v>-9.9271461779156134E-2</v>
      </c>
    </row>
    <row r="685" spans="1:13" x14ac:dyDescent="0.45">
      <c r="A685" s="2">
        <v>44963</v>
      </c>
      <c r="B685" s="1">
        <v>1343</v>
      </c>
      <c r="D685" s="2">
        <v>44963</v>
      </c>
      <c r="E685" s="1">
        <v>6104.3</v>
      </c>
      <c r="G685" s="3">
        <v>1592600000</v>
      </c>
      <c r="H685" s="3">
        <f t="shared" si="30"/>
        <v>2138861800000</v>
      </c>
      <c r="J685" s="3">
        <v>317816130</v>
      </c>
      <c r="K685" s="3">
        <f t="shared" si="31"/>
        <v>1940045002359</v>
      </c>
      <c r="M685" s="4">
        <f t="shared" si="32"/>
        <v>-0.10248050813215603</v>
      </c>
    </row>
    <row r="686" spans="1:13" x14ac:dyDescent="0.45">
      <c r="A686" s="2">
        <v>44960</v>
      </c>
      <c r="B686" s="1">
        <v>1337.5</v>
      </c>
      <c r="D686" s="2">
        <v>44960</v>
      </c>
      <c r="E686" s="1">
        <v>6010.75</v>
      </c>
      <c r="G686" s="3">
        <v>1592600000</v>
      </c>
      <c r="H686" s="3">
        <f t="shared" si="30"/>
        <v>2130102500000</v>
      </c>
      <c r="J686" s="3">
        <v>317816130</v>
      </c>
      <c r="K686" s="3">
        <f t="shared" si="31"/>
        <v>1910313303397.5</v>
      </c>
      <c r="M686" s="4">
        <f t="shared" si="32"/>
        <v>-0.1150540051265958</v>
      </c>
    </row>
    <row r="687" spans="1:13" x14ac:dyDescent="0.45">
      <c r="A687" s="2">
        <v>44959</v>
      </c>
      <c r="B687" s="1">
        <v>1271.95</v>
      </c>
      <c r="D687" s="2">
        <v>44959</v>
      </c>
      <c r="E687" s="1">
        <v>5717.25</v>
      </c>
      <c r="G687" s="3">
        <v>1592600000</v>
      </c>
      <c r="H687" s="3">
        <f t="shared" si="30"/>
        <v>2025707570000</v>
      </c>
      <c r="J687" s="3">
        <v>317816130</v>
      </c>
      <c r="K687" s="3">
        <f t="shared" si="31"/>
        <v>1817034269242.5</v>
      </c>
      <c r="M687" s="4">
        <f t="shared" si="32"/>
        <v>-0.11484279866911562</v>
      </c>
    </row>
    <row r="688" spans="1:13" x14ac:dyDescent="0.45">
      <c r="A688" s="2">
        <v>44958</v>
      </c>
      <c r="B688" s="1">
        <v>1267.3</v>
      </c>
      <c r="D688" s="2">
        <v>44958</v>
      </c>
      <c r="E688" s="1">
        <v>5817.45</v>
      </c>
      <c r="G688" s="3">
        <v>1592600000</v>
      </c>
      <c r="H688" s="3">
        <f t="shared" si="30"/>
        <v>2018301980000</v>
      </c>
      <c r="J688" s="3">
        <v>317816130</v>
      </c>
      <c r="K688" s="3">
        <f t="shared" si="31"/>
        <v>1848879445468.5</v>
      </c>
      <c r="M688" s="4">
        <f t="shared" si="32"/>
        <v>-9.1635252339867357E-2</v>
      </c>
    </row>
    <row r="689" spans="1:13" x14ac:dyDescent="0.45">
      <c r="A689" s="2">
        <v>44957</v>
      </c>
      <c r="B689" s="1">
        <v>1343.15</v>
      </c>
      <c r="D689" s="2">
        <v>44957</v>
      </c>
      <c r="E689" s="1">
        <v>5885.6</v>
      </c>
      <c r="G689" s="3">
        <v>1592600000</v>
      </c>
      <c r="H689" s="3">
        <f t="shared" si="30"/>
        <v>2139100690000.0002</v>
      </c>
      <c r="J689" s="3">
        <v>317816130</v>
      </c>
      <c r="K689" s="3">
        <f t="shared" si="31"/>
        <v>1870538614728</v>
      </c>
      <c r="M689" s="4">
        <f t="shared" si="32"/>
        <v>-0.14357472930921156</v>
      </c>
    </row>
    <row r="690" spans="1:13" x14ac:dyDescent="0.45">
      <c r="A690" s="2">
        <v>44956</v>
      </c>
      <c r="B690" s="1">
        <v>1344</v>
      </c>
      <c r="D690" s="2">
        <v>44956</v>
      </c>
      <c r="E690" s="1">
        <v>6021.6</v>
      </c>
      <c r="G690" s="3">
        <v>1592600000</v>
      </c>
      <c r="H690" s="3">
        <f t="shared" si="30"/>
        <v>2140454400000</v>
      </c>
      <c r="J690" s="3">
        <v>317816130</v>
      </c>
      <c r="K690" s="3">
        <f t="shared" si="31"/>
        <v>1913761608408</v>
      </c>
      <c r="M690" s="4">
        <f t="shared" si="32"/>
        <v>-0.11845403868279014</v>
      </c>
    </row>
    <row r="691" spans="1:13" x14ac:dyDescent="0.45">
      <c r="A691" s="2">
        <v>44953</v>
      </c>
      <c r="B691" s="1">
        <v>1314.85</v>
      </c>
      <c r="D691" s="2">
        <v>44953</v>
      </c>
      <c r="E691" s="1">
        <v>5756</v>
      </c>
      <c r="G691" s="3">
        <v>1592600000</v>
      </c>
      <c r="H691" s="3">
        <f t="shared" si="30"/>
        <v>2094030109999.9998</v>
      </c>
      <c r="J691" s="3">
        <v>317816130</v>
      </c>
      <c r="K691" s="3">
        <f t="shared" si="31"/>
        <v>1829349644280</v>
      </c>
      <c r="M691" s="4">
        <f t="shared" si="32"/>
        <v>-0.14468555344113754</v>
      </c>
    </row>
    <row r="692" spans="1:13" x14ac:dyDescent="0.45">
      <c r="A692" s="2">
        <v>44951</v>
      </c>
      <c r="B692" s="1">
        <v>1314.75</v>
      </c>
      <c r="D692" s="2">
        <v>44951</v>
      </c>
      <c r="E692" s="1">
        <v>5796.9</v>
      </c>
      <c r="G692" s="3">
        <v>1592600000</v>
      </c>
      <c r="H692" s="3">
        <f t="shared" si="30"/>
        <v>2093870850000</v>
      </c>
      <c r="J692" s="3">
        <v>317816130</v>
      </c>
      <c r="K692" s="3">
        <f t="shared" si="31"/>
        <v>1842348323997</v>
      </c>
      <c r="M692" s="4">
        <f t="shared" si="32"/>
        <v>-0.13652278601546874</v>
      </c>
    </row>
    <row r="693" spans="1:13" x14ac:dyDescent="0.45">
      <c r="A693" s="2">
        <v>44950</v>
      </c>
      <c r="B693" s="1">
        <v>1332.9</v>
      </c>
      <c r="D693" s="2">
        <v>44950</v>
      </c>
      <c r="E693" s="1">
        <v>5855.4</v>
      </c>
      <c r="G693" s="3">
        <v>1592600000</v>
      </c>
      <c r="H693" s="3">
        <f t="shared" si="30"/>
        <v>2122776540000.0002</v>
      </c>
      <c r="J693" s="3">
        <v>317816130</v>
      </c>
      <c r="K693" s="3">
        <f t="shared" si="31"/>
        <v>1860940567602</v>
      </c>
      <c r="M693" s="4">
        <f t="shared" si="32"/>
        <v>-0.14070087833885037</v>
      </c>
    </row>
    <row r="694" spans="1:13" x14ac:dyDescent="0.45">
      <c r="A694" s="2">
        <v>44949</v>
      </c>
      <c r="B694" s="1">
        <v>1332.55</v>
      </c>
      <c r="D694" s="2">
        <v>44949</v>
      </c>
      <c r="E694" s="1">
        <v>5866.5</v>
      </c>
      <c r="G694" s="3">
        <v>1592600000</v>
      </c>
      <c r="H694" s="3">
        <f t="shared" si="30"/>
        <v>2122219130000</v>
      </c>
      <c r="J694" s="3">
        <v>317816130</v>
      </c>
      <c r="K694" s="3">
        <f t="shared" si="31"/>
        <v>1864468326645</v>
      </c>
      <c r="M694" s="4">
        <f t="shared" si="32"/>
        <v>-0.13824359452584933</v>
      </c>
    </row>
    <row r="695" spans="1:13" x14ac:dyDescent="0.45">
      <c r="A695" s="2">
        <v>44946</v>
      </c>
      <c r="B695" s="1">
        <v>1333.25</v>
      </c>
      <c r="D695" s="2">
        <v>44946</v>
      </c>
      <c r="E695" s="1">
        <v>5857.9</v>
      </c>
      <c r="G695" s="3">
        <v>1592600000</v>
      </c>
      <c r="H695" s="3">
        <f t="shared" si="30"/>
        <v>2123333950000</v>
      </c>
      <c r="J695" s="3">
        <v>317816130</v>
      </c>
      <c r="K695" s="3">
        <f t="shared" si="31"/>
        <v>1861735107927</v>
      </c>
      <c r="M695" s="4">
        <f t="shared" si="32"/>
        <v>-0.14051346024423661</v>
      </c>
    </row>
    <row r="696" spans="1:13" x14ac:dyDescent="0.45">
      <c r="A696" s="2">
        <v>44945</v>
      </c>
      <c r="B696" s="1">
        <v>1354.65</v>
      </c>
      <c r="D696" s="2">
        <v>44945</v>
      </c>
      <c r="E696" s="1">
        <v>6012.25</v>
      </c>
      <c r="G696" s="3">
        <v>1592600000</v>
      </c>
      <c r="H696" s="3">
        <f t="shared" si="30"/>
        <v>2157415590000.0002</v>
      </c>
      <c r="J696" s="3">
        <v>317816130</v>
      </c>
      <c r="K696" s="3">
        <f t="shared" si="31"/>
        <v>1910790027592.5</v>
      </c>
      <c r="M696" s="4">
        <f t="shared" si="32"/>
        <v>-0.12906994428803675</v>
      </c>
    </row>
    <row r="697" spans="1:13" x14ac:dyDescent="0.45">
      <c r="A697" s="2">
        <v>44944</v>
      </c>
      <c r="B697" s="1">
        <v>1366.7</v>
      </c>
      <c r="D697" s="2">
        <v>44944</v>
      </c>
      <c r="E697" s="1">
        <v>6000.3</v>
      </c>
      <c r="G697" s="3">
        <v>1592600000</v>
      </c>
      <c r="H697" s="3">
        <f t="shared" si="30"/>
        <v>2176606420000</v>
      </c>
      <c r="J697" s="3">
        <v>317816130</v>
      </c>
      <c r="K697" s="3">
        <f t="shared" si="31"/>
        <v>1906992124839</v>
      </c>
      <c r="M697" s="4">
        <f t="shared" si="32"/>
        <v>-0.14138196568785655</v>
      </c>
    </row>
    <row r="698" spans="1:13" x14ac:dyDescent="0.45">
      <c r="A698" s="2">
        <v>44943</v>
      </c>
      <c r="B698" s="1">
        <v>1373.05</v>
      </c>
      <c r="D698" s="2">
        <v>44943</v>
      </c>
      <c r="E698" s="1">
        <v>5983.4</v>
      </c>
      <c r="G698" s="3">
        <v>1592600000</v>
      </c>
      <c r="H698" s="3">
        <f t="shared" si="30"/>
        <v>2186719430000</v>
      </c>
      <c r="J698" s="3">
        <v>317816130</v>
      </c>
      <c r="K698" s="3">
        <f t="shared" si="31"/>
        <v>1901621032242</v>
      </c>
      <c r="M698" s="4">
        <f t="shared" si="32"/>
        <v>-0.14992387701027399</v>
      </c>
    </row>
    <row r="699" spans="1:13" x14ac:dyDescent="0.45">
      <c r="A699" s="2">
        <v>44942</v>
      </c>
      <c r="B699" s="1">
        <v>1384.3</v>
      </c>
      <c r="D699" s="2">
        <v>44942</v>
      </c>
      <c r="E699" s="1">
        <v>6011.3</v>
      </c>
      <c r="G699" s="3">
        <v>1592600000</v>
      </c>
      <c r="H699" s="3">
        <f t="shared" si="30"/>
        <v>2204636180000</v>
      </c>
      <c r="J699" s="3">
        <v>317816130</v>
      </c>
      <c r="K699" s="3">
        <f t="shared" si="31"/>
        <v>1910488102269</v>
      </c>
      <c r="M699" s="4">
        <f t="shared" si="32"/>
        <v>-0.15396488331000535</v>
      </c>
    </row>
    <row r="700" spans="1:13" x14ac:dyDescent="0.45">
      <c r="A700" s="2">
        <v>44939</v>
      </c>
      <c r="B700" s="1">
        <v>1391.6</v>
      </c>
      <c r="D700" s="2">
        <v>44939</v>
      </c>
      <c r="E700" s="1">
        <v>5978.35</v>
      </c>
      <c r="G700" s="3">
        <v>1592600000</v>
      </c>
      <c r="H700" s="3">
        <f t="shared" si="30"/>
        <v>2216262160000</v>
      </c>
      <c r="J700" s="3">
        <v>317816130</v>
      </c>
      <c r="K700" s="3">
        <f t="shared" si="31"/>
        <v>1900016060785.5</v>
      </c>
      <c r="M700" s="4">
        <f t="shared" si="32"/>
        <v>-0.16644390841820478</v>
      </c>
    </row>
    <row r="701" spans="1:13" x14ac:dyDescent="0.45">
      <c r="A701" s="2">
        <v>44938</v>
      </c>
      <c r="B701" s="1">
        <v>1387.85</v>
      </c>
      <c r="D701" s="2">
        <v>44938</v>
      </c>
      <c r="E701" s="1">
        <v>5898.15</v>
      </c>
      <c r="G701" s="3">
        <v>1592600000</v>
      </c>
      <c r="H701" s="3">
        <f t="shared" si="30"/>
        <v>2210289910000</v>
      </c>
      <c r="J701" s="3">
        <v>317816130</v>
      </c>
      <c r="K701" s="3">
        <f t="shared" si="31"/>
        <v>1874527207159.5</v>
      </c>
      <c r="M701" s="4">
        <f t="shared" si="32"/>
        <v>-0.17911860737902363</v>
      </c>
    </row>
    <row r="702" spans="1:13" x14ac:dyDescent="0.45">
      <c r="A702" s="2">
        <v>44937</v>
      </c>
      <c r="B702" s="1">
        <v>1400.1</v>
      </c>
      <c r="D702" s="2">
        <v>44937</v>
      </c>
      <c r="E702" s="1">
        <v>5894.2</v>
      </c>
      <c r="G702" s="3">
        <v>1592600000</v>
      </c>
      <c r="H702" s="3">
        <f t="shared" si="30"/>
        <v>2229799260000</v>
      </c>
      <c r="J702" s="3">
        <v>317816130</v>
      </c>
      <c r="K702" s="3">
        <f t="shared" si="31"/>
        <v>1873271833446</v>
      </c>
      <c r="M702" s="4">
        <f t="shared" si="32"/>
        <v>-0.19032337976178582</v>
      </c>
    </row>
    <row r="703" spans="1:13" x14ac:dyDescent="0.45">
      <c r="A703" s="2">
        <v>44936</v>
      </c>
      <c r="B703" s="1">
        <v>1413.5</v>
      </c>
      <c r="D703" s="2">
        <v>44936</v>
      </c>
      <c r="E703" s="1">
        <v>5904.15</v>
      </c>
      <c r="G703" s="3">
        <v>1592600000</v>
      </c>
      <c r="H703" s="3">
        <f t="shared" si="30"/>
        <v>2251140100000</v>
      </c>
      <c r="J703" s="3">
        <v>317816130</v>
      </c>
      <c r="K703" s="3">
        <f t="shared" si="31"/>
        <v>1876434103939.5</v>
      </c>
      <c r="M703" s="4">
        <f t="shared" si="32"/>
        <v>-0.1996904635626795</v>
      </c>
    </row>
    <row r="704" spans="1:13" x14ac:dyDescent="0.45">
      <c r="A704" s="2">
        <v>44935</v>
      </c>
      <c r="B704" s="1">
        <v>1412.65</v>
      </c>
      <c r="D704" s="2">
        <v>44935</v>
      </c>
      <c r="E704" s="1">
        <v>5993.8</v>
      </c>
      <c r="G704" s="3">
        <v>1592600000</v>
      </c>
      <c r="H704" s="3">
        <f t="shared" si="30"/>
        <v>2249786390000</v>
      </c>
      <c r="J704" s="3">
        <v>317816130</v>
      </c>
      <c r="K704" s="3">
        <f t="shared" si="31"/>
        <v>1904926319994</v>
      </c>
      <c r="M704" s="4">
        <f t="shared" si="32"/>
        <v>-0.18103591009603259</v>
      </c>
    </row>
    <row r="705" spans="1:13" x14ac:dyDescent="0.45">
      <c r="A705" s="2">
        <v>44932</v>
      </c>
      <c r="B705" s="1">
        <v>1429.9</v>
      </c>
      <c r="D705" s="2">
        <v>44932</v>
      </c>
      <c r="E705" s="1">
        <v>5980.6</v>
      </c>
      <c r="G705" s="3">
        <v>1592600000</v>
      </c>
      <c r="H705" s="3">
        <f t="shared" si="30"/>
        <v>2277258740000</v>
      </c>
      <c r="J705" s="3">
        <v>317816130</v>
      </c>
      <c r="K705" s="3">
        <f t="shared" si="31"/>
        <v>1900731147078</v>
      </c>
      <c r="M705" s="4">
        <f t="shared" si="32"/>
        <v>-0.19809618709139221</v>
      </c>
    </row>
    <row r="706" spans="1:13" x14ac:dyDescent="0.45">
      <c r="A706" s="2">
        <v>44931</v>
      </c>
      <c r="B706" s="1">
        <v>1468.55</v>
      </c>
      <c r="D706" s="2">
        <v>44931</v>
      </c>
      <c r="E706" s="1">
        <v>6099.85</v>
      </c>
      <c r="G706" s="3">
        <v>1592600000</v>
      </c>
      <c r="H706" s="3">
        <f t="shared" si="30"/>
        <v>2338812730000</v>
      </c>
      <c r="J706" s="3">
        <v>317816130</v>
      </c>
      <c r="K706" s="3">
        <f t="shared" si="31"/>
        <v>1938630720580.5</v>
      </c>
      <c r="M706" s="4">
        <f t="shared" si="32"/>
        <v>-0.20642508404059035</v>
      </c>
    </row>
    <row r="707" spans="1:13" x14ac:dyDescent="0.45">
      <c r="A707" s="2">
        <v>44930</v>
      </c>
      <c r="B707" s="1">
        <v>1547.45</v>
      </c>
      <c r="D707" s="2">
        <v>44930</v>
      </c>
      <c r="E707" s="1">
        <v>6573.6</v>
      </c>
      <c r="G707" s="3">
        <v>1592600000</v>
      </c>
      <c r="H707" s="3">
        <f t="shared" si="30"/>
        <v>2464468870000</v>
      </c>
      <c r="J707" s="3">
        <v>317816130</v>
      </c>
      <c r="K707" s="3">
        <f t="shared" si="31"/>
        <v>2089196112168</v>
      </c>
      <c r="M707" s="4">
        <f t="shared" si="32"/>
        <v>-0.17962543374761131</v>
      </c>
    </row>
    <row r="708" spans="1:13" x14ac:dyDescent="0.45">
      <c r="A708" s="2">
        <v>44929</v>
      </c>
      <c r="B708" s="1">
        <v>1563.25</v>
      </c>
      <c r="D708" s="2">
        <v>44929</v>
      </c>
      <c r="E708" s="1">
        <v>6606.15</v>
      </c>
      <c r="G708" s="3">
        <v>1592600000</v>
      </c>
      <c r="H708" s="3">
        <f t="shared" ref="H708:H771" si="33">+G708*B708</f>
        <v>2489631950000</v>
      </c>
      <c r="J708" s="3">
        <v>317816130</v>
      </c>
      <c r="K708" s="3">
        <f t="shared" ref="K708:K771" si="34">+J708*E708</f>
        <v>2099541027199.5</v>
      </c>
      <c r="M708" s="4">
        <f t="shared" ref="M708:M771" si="35">1- (H708/K708)</f>
        <v>-0.18579819005529408</v>
      </c>
    </row>
    <row r="709" spans="1:13" x14ac:dyDescent="0.45">
      <c r="A709" s="2">
        <v>44928</v>
      </c>
      <c r="B709" s="1">
        <v>1552.4</v>
      </c>
      <c r="D709" s="2">
        <v>44928</v>
      </c>
      <c r="E709" s="1">
        <v>6556.75</v>
      </c>
      <c r="G709" s="3">
        <v>1592600000</v>
      </c>
      <c r="H709" s="3">
        <f t="shared" si="33"/>
        <v>2472352240000</v>
      </c>
      <c r="J709" s="3">
        <v>317816130</v>
      </c>
      <c r="K709" s="3">
        <f t="shared" si="34"/>
        <v>2083840910377.5</v>
      </c>
      <c r="M709" s="4">
        <f t="shared" si="35"/>
        <v>-0.18644001453648351</v>
      </c>
    </row>
    <row r="710" spans="1:13" x14ac:dyDescent="0.45">
      <c r="A710" s="2">
        <v>44925</v>
      </c>
      <c r="B710" s="1">
        <v>1548.45</v>
      </c>
      <c r="D710" s="2">
        <v>44925</v>
      </c>
      <c r="E710" s="1">
        <v>6574.15</v>
      </c>
      <c r="G710" s="3">
        <v>1592600000</v>
      </c>
      <c r="H710" s="3">
        <f t="shared" si="33"/>
        <v>2466061470000</v>
      </c>
      <c r="J710" s="3">
        <v>317816130</v>
      </c>
      <c r="K710" s="3">
        <f t="shared" si="34"/>
        <v>2089370911039.5</v>
      </c>
      <c r="M710" s="4">
        <f t="shared" si="35"/>
        <v>-0.18028898410052507</v>
      </c>
    </row>
    <row r="711" spans="1:13" x14ac:dyDescent="0.45">
      <c r="A711" s="2">
        <v>44924</v>
      </c>
      <c r="B711" s="1">
        <v>1514.9</v>
      </c>
      <c r="D711" s="2">
        <v>44924</v>
      </c>
      <c r="E711" s="1">
        <v>6508.1</v>
      </c>
      <c r="G711" s="3">
        <v>1592600000</v>
      </c>
      <c r="H711" s="3">
        <f t="shared" si="33"/>
        <v>2412629740000</v>
      </c>
      <c r="J711" s="3">
        <v>317816130</v>
      </c>
      <c r="K711" s="3">
        <f t="shared" si="34"/>
        <v>2068379155653</v>
      </c>
      <c r="M711" s="4">
        <f t="shared" si="35"/>
        <v>-0.16643495144792153</v>
      </c>
    </row>
    <row r="712" spans="1:13" x14ac:dyDescent="0.45">
      <c r="A712" s="2">
        <v>44923</v>
      </c>
      <c r="B712" s="1">
        <v>1524.45</v>
      </c>
      <c r="D712" s="2">
        <v>44923</v>
      </c>
      <c r="E712" s="1">
        <v>6487.6</v>
      </c>
      <c r="G712" s="3">
        <v>1592600000</v>
      </c>
      <c r="H712" s="3">
        <f t="shared" si="33"/>
        <v>2427839070000</v>
      </c>
      <c r="J712" s="3">
        <v>317816130</v>
      </c>
      <c r="K712" s="3">
        <f t="shared" si="34"/>
        <v>2061863924988</v>
      </c>
      <c r="M712" s="4">
        <f t="shared" si="35"/>
        <v>-0.17749723469948675</v>
      </c>
    </row>
    <row r="713" spans="1:13" x14ac:dyDescent="0.45">
      <c r="A713" s="2">
        <v>44922</v>
      </c>
      <c r="B713" s="1">
        <v>1537.7</v>
      </c>
      <c r="D713" s="2">
        <v>44922</v>
      </c>
      <c r="E713" s="1">
        <v>6504.2</v>
      </c>
      <c r="G713" s="3">
        <v>1592600000</v>
      </c>
      <c r="H713" s="3">
        <f t="shared" si="33"/>
        <v>2448941020000</v>
      </c>
      <c r="J713" s="3">
        <v>317816130</v>
      </c>
      <c r="K713" s="3">
        <f t="shared" si="34"/>
        <v>2067139672746</v>
      </c>
      <c r="M713" s="4">
        <f t="shared" si="35"/>
        <v>-0.18470031429797529</v>
      </c>
    </row>
    <row r="714" spans="1:13" x14ac:dyDescent="0.45">
      <c r="A714" s="2">
        <v>44921</v>
      </c>
      <c r="B714" s="1">
        <v>1534.95</v>
      </c>
      <c r="D714" s="2">
        <v>44921</v>
      </c>
      <c r="E714" s="1">
        <v>6423.7</v>
      </c>
      <c r="G714" s="3">
        <v>1592600000</v>
      </c>
      <c r="H714" s="3">
        <f t="shared" si="33"/>
        <v>2444561370000</v>
      </c>
      <c r="J714" s="3">
        <v>317816130</v>
      </c>
      <c r="K714" s="3">
        <f t="shared" si="34"/>
        <v>2041555474281</v>
      </c>
      <c r="M714" s="4">
        <f t="shared" si="35"/>
        <v>-0.19740139359227138</v>
      </c>
    </row>
    <row r="715" spans="1:13" x14ac:dyDescent="0.45">
      <c r="A715" s="2">
        <v>44918</v>
      </c>
      <c r="B715" s="1">
        <v>1497.05</v>
      </c>
      <c r="D715" s="2">
        <v>44918</v>
      </c>
      <c r="E715" s="1">
        <v>6369.35</v>
      </c>
      <c r="G715" s="3">
        <v>1592600000</v>
      </c>
      <c r="H715" s="3">
        <f t="shared" si="33"/>
        <v>2384201830000</v>
      </c>
      <c r="J715" s="3">
        <v>317816130</v>
      </c>
      <c r="K715" s="3">
        <f t="shared" si="34"/>
        <v>2024282167615.5</v>
      </c>
      <c r="M715" s="4">
        <f t="shared" si="35"/>
        <v>-0.17780113273855824</v>
      </c>
    </row>
    <row r="716" spans="1:13" x14ac:dyDescent="0.45">
      <c r="A716" s="2">
        <v>44917</v>
      </c>
      <c r="B716" s="1">
        <v>1544.4</v>
      </c>
      <c r="D716" s="2">
        <v>44917</v>
      </c>
      <c r="E716" s="1">
        <v>6490.6</v>
      </c>
      <c r="G716" s="3">
        <v>1592600000</v>
      </c>
      <c r="H716" s="3">
        <f t="shared" si="33"/>
        <v>2459611440000</v>
      </c>
      <c r="J716" s="3">
        <v>317816130</v>
      </c>
      <c r="K716" s="3">
        <f t="shared" si="34"/>
        <v>2062817373378</v>
      </c>
      <c r="M716" s="4">
        <f t="shared" si="35"/>
        <v>-0.19235540273360385</v>
      </c>
    </row>
    <row r="717" spans="1:13" x14ac:dyDescent="0.45">
      <c r="A717" s="2">
        <v>44916</v>
      </c>
      <c r="B717" s="1">
        <v>1584.75</v>
      </c>
      <c r="D717" s="2">
        <v>44916</v>
      </c>
      <c r="E717" s="1">
        <v>6526.35</v>
      </c>
      <c r="G717" s="3">
        <v>1592600000</v>
      </c>
      <c r="H717" s="3">
        <f t="shared" si="33"/>
        <v>2523872850000</v>
      </c>
      <c r="J717" s="3">
        <v>317816130</v>
      </c>
      <c r="K717" s="3">
        <f t="shared" si="34"/>
        <v>2074179300025.5</v>
      </c>
      <c r="M717" s="4">
        <f t="shared" si="35"/>
        <v>-0.21680553362429733</v>
      </c>
    </row>
    <row r="718" spans="1:13" x14ac:dyDescent="0.45">
      <c r="A718" s="2">
        <v>44915</v>
      </c>
      <c r="B718" s="1">
        <v>1615.15</v>
      </c>
      <c r="D718" s="2">
        <v>44915</v>
      </c>
      <c r="E718" s="1">
        <v>6642.95</v>
      </c>
      <c r="G718" s="3">
        <v>1592600000</v>
      </c>
      <c r="H718" s="3">
        <f t="shared" si="33"/>
        <v>2572287890000</v>
      </c>
      <c r="J718" s="3">
        <v>317816130</v>
      </c>
      <c r="K718" s="3">
        <f t="shared" si="34"/>
        <v>2111236660783.5</v>
      </c>
      <c r="M718" s="4">
        <f t="shared" si="35"/>
        <v>-0.21837970028684484</v>
      </c>
    </row>
    <row r="719" spans="1:13" x14ac:dyDescent="0.45">
      <c r="A719" s="2">
        <v>44914</v>
      </c>
      <c r="B719" s="1">
        <v>1618.9</v>
      </c>
      <c r="D719" s="2">
        <v>44914</v>
      </c>
      <c r="E719" s="1">
        <v>6686.3</v>
      </c>
      <c r="G719" s="3">
        <v>1592600000</v>
      </c>
      <c r="H719" s="3">
        <f t="shared" si="33"/>
        <v>2578260140000</v>
      </c>
      <c r="J719" s="3">
        <v>317816130</v>
      </c>
      <c r="K719" s="3">
        <f t="shared" si="34"/>
        <v>2125013990019</v>
      </c>
      <c r="M719" s="4">
        <f t="shared" si="35"/>
        <v>-0.21329090166458031</v>
      </c>
    </row>
    <row r="720" spans="1:13" x14ac:dyDescent="0.45">
      <c r="A720" s="2">
        <v>44911</v>
      </c>
      <c r="B720" s="1">
        <v>1587.2</v>
      </c>
      <c r="D720" s="2">
        <v>44911</v>
      </c>
      <c r="E720" s="1">
        <v>6595.9</v>
      </c>
      <c r="G720" s="3">
        <v>1592600000</v>
      </c>
      <c r="H720" s="3">
        <f t="shared" si="33"/>
        <v>2527774720000</v>
      </c>
      <c r="J720" s="3">
        <v>317816130</v>
      </c>
      <c r="K720" s="3">
        <f t="shared" si="34"/>
        <v>2096283411867</v>
      </c>
      <c r="M720" s="4">
        <f t="shared" si="35"/>
        <v>-0.20583634144617102</v>
      </c>
    </row>
    <row r="721" spans="1:13" x14ac:dyDescent="0.45">
      <c r="A721" s="2">
        <v>44910</v>
      </c>
      <c r="B721" s="1">
        <v>1603.45</v>
      </c>
      <c r="D721" s="2">
        <v>44910</v>
      </c>
      <c r="E721" s="1">
        <v>6618.6</v>
      </c>
      <c r="G721" s="3">
        <v>1592600000</v>
      </c>
      <c r="H721" s="3">
        <f t="shared" si="33"/>
        <v>2553654470000</v>
      </c>
      <c r="J721" s="3">
        <v>317816130</v>
      </c>
      <c r="K721" s="3">
        <f t="shared" si="34"/>
        <v>2103497838018</v>
      </c>
      <c r="M721" s="4">
        <f t="shared" si="35"/>
        <v>-0.21400384818372609</v>
      </c>
    </row>
    <row r="722" spans="1:13" x14ac:dyDescent="0.45">
      <c r="A722" s="2">
        <v>44909</v>
      </c>
      <c r="B722" s="1">
        <v>1622.6</v>
      </c>
      <c r="D722" s="2">
        <v>44909</v>
      </c>
      <c r="E722" s="1">
        <v>6652.5</v>
      </c>
      <c r="G722" s="3">
        <v>1592600000</v>
      </c>
      <c r="H722" s="3">
        <f t="shared" si="33"/>
        <v>2584152760000</v>
      </c>
      <c r="J722" s="3">
        <v>317816130</v>
      </c>
      <c r="K722" s="3">
        <f t="shared" si="34"/>
        <v>2114271804825</v>
      </c>
      <c r="M722" s="4">
        <f t="shared" si="35"/>
        <v>-0.22224245440093382</v>
      </c>
    </row>
    <row r="723" spans="1:13" x14ac:dyDescent="0.45">
      <c r="A723" s="2">
        <v>44908</v>
      </c>
      <c r="B723" s="1">
        <v>1611.2</v>
      </c>
      <c r="D723" s="2">
        <v>44908</v>
      </c>
      <c r="E723" s="1">
        <v>6619.9</v>
      </c>
      <c r="G723" s="3">
        <v>1592600000</v>
      </c>
      <c r="H723" s="3">
        <f t="shared" si="33"/>
        <v>2565997120000</v>
      </c>
      <c r="J723" s="3">
        <v>317816130</v>
      </c>
      <c r="K723" s="3">
        <f t="shared" si="34"/>
        <v>2103910998987</v>
      </c>
      <c r="M723" s="4">
        <f t="shared" si="35"/>
        <v>-0.21963197171148741</v>
      </c>
    </row>
    <row r="724" spans="1:13" x14ac:dyDescent="0.45">
      <c r="A724" s="2">
        <v>44907</v>
      </c>
      <c r="B724" s="1">
        <v>1591.95</v>
      </c>
      <c r="D724" s="2">
        <v>44907</v>
      </c>
      <c r="E724" s="1">
        <v>6506.1</v>
      </c>
      <c r="G724" s="3">
        <v>1592600000</v>
      </c>
      <c r="H724" s="3">
        <f t="shared" si="33"/>
        <v>2535339570000</v>
      </c>
      <c r="J724" s="3">
        <v>317816130</v>
      </c>
      <c r="K724" s="3">
        <f t="shared" si="34"/>
        <v>2067743523393</v>
      </c>
      <c r="M724" s="4">
        <f t="shared" si="35"/>
        <v>-0.22613832001742296</v>
      </c>
    </row>
    <row r="725" spans="1:13" x14ac:dyDescent="0.45">
      <c r="A725" s="2">
        <v>44904</v>
      </c>
      <c r="B725" s="1">
        <v>1598.45</v>
      </c>
      <c r="D725" s="2">
        <v>44904</v>
      </c>
      <c r="E725" s="1">
        <v>6517.65</v>
      </c>
      <c r="G725" s="3">
        <v>1592600000</v>
      </c>
      <c r="H725" s="3">
        <f t="shared" si="33"/>
        <v>2545691470000</v>
      </c>
      <c r="J725" s="3">
        <v>317816130</v>
      </c>
      <c r="K725" s="3">
        <f t="shared" si="34"/>
        <v>2071414299694.5</v>
      </c>
      <c r="M725" s="4">
        <f t="shared" si="35"/>
        <v>-0.22896297007095501</v>
      </c>
    </row>
    <row r="726" spans="1:13" x14ac:dyDescent="0.45">
      <c r="A726" s="2">
        <v>44903</v>
      </c>
      <c r="B726" s="1">
        <v>1618.1</v>
      </c>
      <c r="D726" s="2">
        <v>44903</v>
      </c>
      <c r="E726" s="1">
        <v>6581.4</v>
      </c>
      <c r="G726" s="3">
        <v>1592600000</v>
      </c>
      <c r="H726" s="3">
        <f t="shared" si="33"/>
        <v>2576986060000</v>
      </c>
      <c r="J726" s="3">
        <v>317816130</v>
      </c>
      <c r="K726" s="3">
        <f t="shared" si="34"/>
        <v>2091675077982</v>
      </c>
      <c r="M726" s="4">
        <f t="shared" si="35"/>
        <v>-0.23202025358843836</v>
      </c>
    </row>
    <row r="727" spans="1:13" x14ac:dyDescent="0.45">
      <c r="A727" s="2">
        <v>44902</v>
      </c>
      <c r="B727" s="1">
        <v>1607</v>
      </c>
      <c r="D727" s="2">
        <v>44902</v>
      </c>
      <c r="E727" s="1">
        <v>6625.9</v>
      </c>
      <c r="G727" s="3">
        <v>1592600000</v>
      </c>
      <c r="H727" s="3">
        <f t="shared" si="33"/>
        <v>2559308200000</v>
      </c>
      <c r="J727" s="3">
        <v>317816130</v>
      </c>
      <c r="K727" s="3">
        <f t="shared" si="34"/>
        <v>2105817895767</v>
      </c>
      <c r="M727" s="4">
        <f t="shared" si="35"/>
        <v>-0.21535114937743738</v>
      </c>
    </row>
    <row r="728" spans="1:13" x14ac:dyDescent="0.45">
      <c r="A728" s="2">
        <v>44901</v>
      </c>
      <c r="B728" s="1">
        <v>1635.25</v>
      </c>
      <c r="D728" s="2">
        <v>44901</v>
      </c>
      <c r="E728" s="1">
        <v>6696.05</v>
      </c>
      <c r="G728" s="3">
        <v>1592600000</v>
      </c>
      <c r="H728" s="3">
        <f t="shared" si="33"/>
        <v>2604299150000</v>
      </c>
      <c r="J728" s="3">
        <v>317816130</v>
      </c>
      <c r="K728" s="3">
        <f t="shared" si="34"/>
        <v>2128112697286.5</v>
      </c>
      <c r="M728" s="4">
        <f t="shared" si="35"/>
        <v>-0.22375997912172263</v>
      </c>
    </row>
    <row r="729" spans="1:13" x14ac:dyDescent="0.45">
      <c r="A729" s="2">
        <v>44900</v>
      </c>
      <c r="B729" s="1">
        <v>1634</v>
      </c>
      <c r="D729" s="2">
        <v>44900</v>
      </c>
      <c r="E729" s="1">
        <v>6661.05</v>
      </c>
      <c r="G729" s="3">
        <v>1592600000</v>
      </c>
      <c r="H729" s="3">
        <f t="shared" si="33"/>
        <v>2602308400000</v>
      </c>
      <c r="J729" s="3">
        <v>317816130</v>
      </c>
      <c r="K729" s="3">
        <f t="shared" si="34"/>
        <v>2116989132736.5</v>
      </c>
      <c r="M729" s="4">
        <f t="shared" si="35"/>
        <v>-0.22924976787016282</v>
      </c>
    </row>
    <row r="730" spans="1:13" x14ac:dyDescent="0.45">
      <c r="A730" s="2">
        <v>44897</v>
      </c>
      <c r="B730" s="1">
        <v>1642.95</v>
      </c>
      <c r="D730" s="2">
        <v>44897</v>
      </c>
      <c r="E730" s="1">
        <v>6674.4</v>
      </c>
      <c r="G730" s="3">
        <v>1592600000</v>
      </c>
      <c r="H730" s="3">
        <f t="shared" si="33"/>
        <v>2616562170000</v>
      </c>
      <c r="J730" s="3">
        <v>317816130</v>
      </c>
      <c r="K730" s="3">
        <f t="shared" si="34"/>
        <v>2121231978072</v>
      </c>
      <c r="M730" s="4">
        <f t="shared" si="35"/>
        <v>-0.23351061885188451</v>
      </c>
    </row>
    <row r="731" spans="1:13" x14ac:dyDescent="0.45">
      <c r="A731" s="2">
        <v>44896</v>
      </c>
      <c r="B731" s="1">
        <v>1639.05</v>
      </c>
      <c r="D731" s="2">
        <v>44896</v>
      </c>
      <c r="E731" s="1">
        <v>6747</v>
      </c>
      <c r="G731" s="3">
        <v>1592600000</v>
      </c>
      <c r="H731" s="3">
        <f t="shared" si="33"/>
        <v>2610351030000</v>
      </c>
      <c r="J731" s="3">
        <v>317816130</v>
      </c>
      <c r="K731" s="3">
        <f t="shared" si="34"/>
        <v>2144305429110</v>
      </c>
      <c r="M731" s="4">
        <f t="shared" si="35"/>
        <v>-0.2173410534540472</v>
      </c>
    </row>
    <row r="732" spans="1:13" x14ac:dyDescent="0.45">
      <c r="A732" s="2">
        <v>44895</v>
      </c>
      <c r="B732" s="1">
        <v>1626.8</v>
      </c>
      <c r="D732" s="2">
        <v>44895</v>
      </c>
      <c r="E732" s="1">
        <v>6723.1</v>
      </c>
      <c r="G732" s="3">
        <v>1592600000</v>
      </c>
      <c r="H732" s="3">
        <f t="shared" si="33"/>
        <v>2590841680000</v>
      </c>
      <c r="J732" s="3">
        <v>317816130</v>
      </c>
      <c r="K732" s="3">
        <f t="shared" si="34"/>
        <v>2136709623603</v>
      </c>
      <c r="M732" s="4">
        <f t="shared" si="35"/>
        <v>-0.21253803108314995</v>
      </c>
    </row>
    <row r="733" spans="1:13" x14ac:dyDescent="0.45">
      <c r="A733" s="2">
        <v>44894</v>
      </c>
      <c r="B733" s="1">
        <v>1632.2</v>
      </c>
      <c r="D733" s="2">
        <v>44894</v>
      </c>
      <c r="E733" s="1">
        <v>6734.65</v>
      </c>
      <c r="G733" s="3">
        <v>1592600000</v>
      </c>
      <c r="H733" s="3">
        <f t="shared" si="33"/>
        <v>2599441720000</v>
      </c>
      <c r="J733" s="3">
        <v>317816130</v>
      </c>
      <c r="K733" s="3">
        <f t="shared" si="34"/>
        <v>2140380399904.5</v>
      </c>
      <c r="M733" s="4">
        <f t="shared" si="35"/>
        <v>-0.21447651086506991</v>
      </c>
    </row>
    <row r="734" spans="1:13" x14ac:dyDescent="0.45">
      <c r="A734" s="2">
        <v>44893</v>
      </c>
      <c r="B734" s="1">
        <v>1653.15</v>
      </c>
      <c r="D734" s="2">
        <v>44893</v>
      </c>
      <c r="E734" s="1">
        <v>6779.15</v>
      </c>
      <c r="G734" s="3">
        <v>1592600000</v>
      </c>
      <c r="H734" s="3">
        <f t="shared" si="33"/>
        <v>2632806690000</v>
      </c>
      <c r="J734" s="3">
        <v>317816130</v>
      </c>
      <c r="K734" s="3">
        <f t="shared" si="34"/>
        <v>2154523217689.5</v>
      </c>
      <c r="M734" s="4">
        <f t="shared" si="35"/>
        <v>-0.22199040065272957</v>
      </c>
    </row>
    <row r="735" spans="1:13" x14ac:dyDescent="0.45">
      <c r="A735" s="2">
        <v>44890</v>
      </c>
      <c r="B735" s="1">
        <v>1633.25</v>
      </c>
      <c r="D735" s="2">
        <v>44890</v>
      </c>
      <c r="E735" s="1">
        <v>6746.4</v>
      </c>
      <c r="G735" s="3">
        <v>1592600000</v>
      </c>
      <c r="H735" s="3">
        <f t="shared" si="33"/>
        <v>2601113950000</v>
      </c>
      <c r="J735" s="3">
        <v>317816130</v>
      </c>
      <c r="K735" s="3">
        <f t="shared" si="34"/>
        <v>2144114739432</v>
      </c>
      <c r="M735" s="4">
        <f t="shared" si="35"/>
        <v>-0.21314121029225519</v>
      </c>
    </row>
    <row r="736" spans="1:13" x14ac:dyDescent="0.45">
      <c r="A736" s="2">
        <v>44889</v>
      </c>
      <c r="B736" s="1">
        <v>1634.15</v>
      </c>
      <c r="D736" s="2">
        <v>44889</v>
      </c>
      <c r="E736" s="1">
        <v>6772.55</v>
      </c>
      <c r="G736" s="3">
        <v>1592600000</v>
      </c>
      <c r="H736" s="3">
        <f t="shared" si="33"/>
        <v>2602547290000</v>
      </c>
      <c r="J736" s="3">
        <v>317816130</v>
      </c>
      <c r="K736" s="3">
        <f t="shared" si="34"/>
        <v>2152425631231.5</v>
      </c>
      <c r="M736" s="4">
        <f t="shared" si="35"/>
        <v>-0.20912297839111171</v>
      </c>
    </row>
    <row r="737" spans="1:13" x14ac:dyDescent="0.45">
      <c r="A737" s="2">
        <v>44888</v>
      </c>
      <c r="B737" s="1">
        <v>1635.95</v>
      </c>
      <c r="D737" s="2">
        <v>44888</v>
      </c>
      <c r="E737" s="1">
        <v>6779.6</v>
      </c>
      <c r="G737" s="3">
        <v>1592600000</v>
      </c>
      <c r="H737" s="3">
        <f t="shared" si="33"/>
        <v>2605413970000</v>
      </c>
      <c r="J737" s="3">
        <v>317816130</v>
      </c>
      <c r="K737" s="3">
        <f t="shared" si="34"/>
        <v>2154666234948</v>
      </c>
      <c r="M737" s="4">
        <f t="shared" si="35"/>
        <v>-0.2091960823170731</v>
      </c>
    </row>
    <row r="738" spans="1:13" x14ac:dyDescent="0.45">
      <c r="A738" s="2">
        <v>44887</v>
      </c>
      <c r="B738" s="1">
        <v>1643.15</v>
      </c>
      <c r="D738" s="2">
        <v>44887</v>
      </c>
      <c r="E738" s="1">
        <v>6685.35</v>
      </c>
      <c r="G738" s="3">
        <v>1592600000</v>
      </c>
      <c r="H738" s="3">
        <f t="shared" si="33"/>
        <v>2616880690000</v>
      </c>
      <c r="J738" s="3">
        <v>317816130</v>
      </c>
      <c r="K738" s="3">
        <f t="shared" si="34"/>
        <v>2124712064695.5</v>
      </c>
      <c r="M738" s="4">
        <f t="shared" si="35"/>
        <v>-0.23164015185042697</v>
      </c>
    </row>
    <row r="739" spans="1:13" x14ac:dyDescent="0.45">
      <c r="A739" s="2">
        <v>44886</v>
      </c>
      <c r="B739" s="1">
        <v>1635.2</v>
      </c>
      <c r="D739" s="2">
        <v>44886</v>
      </c>
      <c r="E739" s="1">
        <v>6680.75</v>
      </c>
      <c r="G739" s="3">
        <v>1592600000</v>
      </c>
      <c r="H739" s="3">
        <f t="shared" si="33"/>
        <v>2604219520000</v>
      </c>
      <c r="J739" s="3">
        <v>317816130</v>
      </c>
      <c r="K739" s="3">
        <f t="shared" si="34"/>
        <v>2123250110497.5</v>
      </c>
      <c r="M739" s="4">
        <f t="shared" si="35"/>
        <v>-0.22652508393832305</v>
      </c>
    </row>
    <row r="740" spans="1:13" x14ac:dyDescent="0.45">
      <c r="A740" s="2">
        <v>44883</v>
      </c>
      <c r="B740" s="1">
        <v>1654.65</v>
      </c>
      <c r="D740" s="2">
        <v>44883</v>
      </c>
      <c r="E740" s="1">
        <v>6786.9</v>
      </c>
      <c r="G740" s="3">
        <v>1592600000</v>
      </c>
      <c r="H740" s="3">
        <f t="shared" si="33"/>
        <v>2635195590000</v>
      </c>
      <c r="J740" s="3">
        <v>317816130</v>
      </c>
      <c r="K740" s="3">
        <f t="shared" si="34"/>
        <v>2156986292697</v>
      </c>
      <c r="M740" s="4">
        <f t="shared" si="35"/>
        <v>-0.22170252028123372</v>
      </c>
    </row>
    <row r="741" spans="1:13" x14ac:dyDescent="0.45">
      <c r="A741" s="2">
        <v>44882</v>
      </c>
      <c r="B741" s="1">
        <v>1664.6</v>
      </c>
      <c r="D741" s="2">
        <v>44882</v>
      </c>
      <c r="E741" s="1">
        <v>6892.45</v>
      </c>
      <c r="G741" s="3">
        <v>1592600000</v>
      </c>
      <c r="H741" s="3">
        <f t="shared" si="33"/>
        <v>2651041960000</v>
      </c>
      <c r="J741" s="3">
        <v>317816130</v>
      </c>
      <c r="K741" s="3">
        <f t="shared" si="34"/>
        <v>2190531785218.5</v>
      </c>
      <c r="M741" s="4">
        <f t="shared" si="35"/>
        <v>-0.21022757025895666</v>
      </c>
    </row>
    <row r="742" spans="1:13" x14ac:dyDescent="0.45">
      <c r="A742" s="2">
        <v>44881</v>
      </c>
      <c r="B742" s="1">
        <v>1685.75</v>
      </c>
      <c r="D742" s="2">
        <v>44881</v>
      </c>
      <c r="E742" s="1">
        <v>6891.85</v>
      </c>
      <c r="G742" s="3">
        <v>1592600000</v>
      </c>
      <c r="H742" s="3">
        <f t="shared" si="33"/>
        <v>2684725450000</v>
      </c>
      <c r="J742" s="3">
        <v>317816130</v>
      </c>
      <c r="K742" s="3">
        <f t="shared" si="34"/>
        <v>2190341095540.5</v>
      </c>
      <c r="M742" s="4">
        <f t="shared" si="35"/>
        <v>-0.22571112575391061</v>
      </c>
    </row>
    <row r="743" spans="1:13" x14ac:dyDescent="0.45">
      <c r="A743" s="2">
        <v>44880</v>
      </c>
      <c r="B743" s="1">
        <v>1705.35</v>
      </c>
      <c r="D743" s="2">
        <v>44880</v>
      </c>
      <c r="E743" s="1">
        <v>7024.45</v>
      </c>
      <c r="G743" s="3">
        <v>1592600000</v>
      </c>
      <c r="H743" s="3">
        <f t="shared" si="33"/>
        <v>2715940410000</v>
      </c>
      <c r="J743" s="3">
        <v>317816130</v>
      </c>
      <c r="K743" s="3">
        <f t="shared" si="34"/>
        <v>2232483514378.5</v>
      </c>
      <c r="M743" s="4">
        <f t="shared" si="35"/>
        <v>-0.21655563972040759</v>
      </c>
    </row>
    <row r="744" spans="1:13" x14ac:dyDescent="0.45">
      <c r="A744" s="2">
        <v>44879</v>
      </c>
      <c r="B744" s="1">
        <v>1718.35</v>
      </c>
      <c r="D744" s="2">
        <v>44879</v>
      </c>
      <c r="E744" s="1">
        <v>7023.3</v>
      </c>
      <c r="G744" s="3">
        <v>1592600000</v>
      </c>
      <c r="H744" s="3">
        <f t="shared" si="33"/>
        <v>2736644210000</v>
      </c>
      <c r="J744" s="3">
        <v>317816130</v>
      </c>
      <c r="K744" s="3">
        <f t="shared" si="34"/>
        <v>2232118025829</v>
      </c>
      <c r="M744" s="4">
        <f t="shared" si="35"/>
        <v>-0.22603024496593127</v>
      </c>
    </row>
    <row r="745" spans="1:13" x14ac:dyDescent="0.45">
      <c r="A745" s="2">
        <v>44876</v>
      </c>
      <c r="B745" s="1">
        <v>1718.25</v>
      </c>
      <c r="D745" s="2">
        <v>44876</v>
      </c>
      <c r="E745" s="1">
        <v>7051.05</v>
      </c>
      <c r="G745" s="3">
        <v>1592600000</v>
      </c>
      <c r="H745" s="3">
        <f t="shared" si="33"/>
        <v>2736484950000</v>
      </c>
      <c r="J745" s="3">
        <v>317816130</v>
      </c>
      <c r="K745" s="3">
        <f t="shared" si="34"/>
        <v>2240937423436.5</v>
      </c>
      <c r="M745" s="4">
        <f t="shared" si="35"/>
        <v>-0.22113403140172161</v>
      </c>
    </row>
    <row r="746" spans="1:13" x14ac:dyDescent="0.45">
      <c r="A746" s="2">
        <v>44875</v>
      </c>
      <c r="B746" s="1">
        <v>1700.2</v>
      </c>
      <c r="D746" s="2">
        <v>44875</v>
      </c>
      <c r="E746" s="1">
        <v>6978.55</v>
      </c>
      <c r="G746" s="3">
        <v>1592600000</v>
      </c>
      <c r="H746" s="3">
        <f t="shared" si="33"/>
        <v>2707738520000</v>
      </c>
      <c r="J746" s="3">
        <v>317816130</v>
      </c>
      <c r="K746" s="3">
        <f t="shared" si="34"/>
        <v>2217895754011.5</v>
      </c>
      <c r="M746" s="4">
        <f t="shared" si="35"/>
        <v>-0.22085923790715745</v>
      </c>
    </row>
    <row r="747" spans="1:13" x14ac:dyDescent="0.45">
      <c r="A747" s="2">
        <v>44874</v>
      </c>
      <c r="B747" s="1">
        <v>1753.5</v>
      </c>
      <c r="D747" s="2">
        <v>44874</v>
      </c>
      <c r="E747" s="1">
        <v>7145.5</v>
      </c>
      <c r="G747" s="3">
        <v>1592600000</v>
      </c>
      <c r="H747" s="3">
        <f t="shared" si="33"/>
        <v>2792624100000</v>
      </c>
      <c r="J747" s="3">
        <v>317816130</v>
      </c>
      <c r="K747" s="3">
        <f t="shared" si="34"/>
        <v>2270955156915</v>
      </c>
      <c r="M747" s="4">
        <f t="shared" si="35"/>
        <v>-0.22971344964541962</v>
      </c>
    </row>
    <row r="748" spans="1:13" x14ac:dyDescent="0.45">
      <c r="A748" s="2">
        <v>44872</v>
      </c>
      <c r="B748" s="1">
        <v>1777.45</v>
      </c>
      <c r="D748" s="2">
        <v>44872</v>
      </c>
      <c r="E748" s="1">
        <v>7188.45</v>
      </c>
      <c r="G748" s="3">
        <v>1592600000</v>
      </c>
      <c r="H748" s="3">
        <f t="shared" si="33"/>
        <v>2830766870000</v>
      </c>
      <c r="J748" s="3">
        <v>317816130</v>
      </c>
      <c r="K748" s="3">
        <f t="shared" si="34"/>
        <v>2284605359698.5</v>
      </c>
      <c r="M748" s="4">
        <f t="shared" si="35"/>
        <v>-0.23906164273972341</v>
      </c>
    </row>
    <row r="749" spans="1:13" x14ac:dyDescent="0.45">
      <c r="A749" s="2">
        <v>44869</v>
      </c>
      <c r="B749" s="1">
        <v>1801.7</v>
      </c>
      <c r="D749" s="2">
        <v>44869</v>
      </c>
      <c r="E749" s="1">
        <v>7210</v>
      </c>
      <c r="G749" s="3">
        <v>1592600000</v>
      </c>
      <c r="H749" s="3">
        <f t="shared" si="33"/>
        <v>2869387420000</v>
      </c>
      <c r="J749" s="3">
        <v>317816130</v>
      </c>
      <c r="K749" s="3">
        <f t="shared" si="34"/>
        <v>2291454297300</v>
      </c>
      <c r="M749" s="4">
        <f t="shared" si="35"/>
        <v>-0.25221237158470644</v>
      </c>
    </row>
    <row r="750" spans="1:13" x14ac:dyDescent="0.45">
      <c r="A750" s="2">
        <v>44868</v>
      </c>
      <c r="B750" s="1">
        <v>1723.25</v>
      </c>
      <c r="D750" s="2">
        <v>44868</v>
      </c>
      <c r="E750" s="1">
        <v>7121.6</v>
      </c>
      <c r="G750" s="3">
        <v>1592600000</v>
      </c>
      <c r="H750" s="3">
        <f t="shared" si="33"/>
        <v>2744447950000</v>
      </c>
      <c r="J750" s="3">
        <v>317816130</v>
      </c>
      <c r="K750" s="3">
        <f t="shared" si="34"/>
        <v>2263359351408</v>
      </c>
      <c r="M750" s="4">
        <f t="shared" si="35"/>
        <v>-0.21255511118582304</v>
      </c>
    </row>
    <row r="751" spans="1:13" x14ac:dyDescent="0.45">
      <c r="A751" s="2">
        <v>44867</v>
      </c>
      <c r="B751" s="1">
        <v>1711.1</v>
      </c>
      <c r="D751" s="2">
        <v>44867</v>
      </c>
      <c r="E751" s="1">
        <v>7155.45</v>
      </c>
      <c r="G751" s="3">
        <v>1592600000</v>
      </c>
      <c r="H751" s="3">
        <f t="shared" si="33"/>
        <v>2725097860000</v>
      </c>
      <c r="J751" s="3">
        <v>317816130</v>
      </c>
      <c r="K751" s="3">
        <f t="shared" si="34"/>
        <v>2274117427408.5</v>
      </c>
      <c r="M751" s="4">
        <f t="shared" si="35"/>
        <v>-0.19831009039204295</v>
      </c>
    </row>
    <row r="752" spans="1:13" x14ac:dyDescent="0.45">
      <c r="A752" s="2">
        <v>44866</v>
      </c>
      <c r="B752" s="1">
        <v>1708.6</v>
      </c>
      <c r="D752" s="2">
        <v>44866</v>
      </c>
      <c r="E752" s="1">
        <v>7207.55</v>
      </c>
      <c r="G752" s="3">
        <v>1592600000</v>
      </c>
      <c r="H752" s="3">
        <f t="shared" si="33"/>
        <v>2721116360000</v>
      </c>
      <c r="J752" s="3">
        <v>317816130</v>
      </c>
      <c r="K752" s="3">
        <f t="shared" si="34"/>
        <v>2290675647781.5</v>
      </c>
      <c r="M752" s="4">
        <f t="shared" si="35"/>
        <v>-0.18790993506015496</v>
      </c>
    </row>
    <row r="753" spans="1:13" x14ac:dyDescent="0.45">
      <c r="A753" s="2">
        <v>44865</v>
      </c>
      <c r="B753" s="1">
        <v>1687.75</v>
      </c>
      <c r="D753" s="2">
        <v>44865</v>
      </c>
      <c r="E753" s="1">
        <v>7139.7</v>
      </c>
      <c r="G753" s="3">
        <v>1592600000</v>
      </c>
      <c r="H753" s="3">
        <f t="shared" si="33"/>
        <v>2687910650000</v>
      </c>
      <c r="J753" s="3">
        <v>317816130</v>
      </c>
      <c r="K753" s="3">
        <f t="shared" si="34"/>
        <v>2269111823361</v>
      </c>
      <c r="M753" s="4">
        <f t="shared" si="35"/>
        <v>-0.1845650894448545</v>
      </c>
    </row>
    <row r="754" spans="1:13" x14ac:dyDescent="0.45">
      <c r="A754" s="2">
        <v>44862</v>
      </c>
      <c r="B754" s="1">
        <v>1653.3</v>
      </c>
      <c r="D754" s="2">
        <v>44862</v>
      </c>
      <c r="E754" s="1">
        <v>7010</v>
      </c>
      <c r="G754" s="3">
        <v>1592600000</v>
      </c>
      <c r="H754" s="3">
        <f t="shared" si="33"/>
        <v>2633045580000</v>
      </c>
      <c r="J754" s="3">
        <v>317816130</v>
      </c>
      <c r="K754" s="3">
        <f t="shared" si="34"/>
        <v>2227891071300</v>
      </c>
      <c r="M754" s="4">
        <f t="shared" si="35"/>
        <v>-0.18185561849017495</v>
      </c>
    </row>
    <row r="755" spans="1:13" x14ac:dyDescent="0.45">
      <c r="A755" s="2">
        <v>44861</v>
      </c>
      <c r="B755" s="1">
        <v>1631.2</v>
      </c>
      <c r="D755" s="2">
        <v>44861</v>
      </c>
      <c r="E755" s="1">
        <v>6967.85</v>
      </c>
      <c r="G755" s="3">
        <v>1592600000</v>
      </c>
      <c r="H755" s="3">
        <f t="shared" si="33"/>
        <v>2597849120000</v>
      </c>
      <c r="J755" s="3">
        <v>317816130</v>
      </c>
      <c r="K755" s="3">
        <f t="shared" si="34"/>
        <v>2214495121420.5</v>
      </c>
      <c r="M755" s="4">
        <f t="shared" si="35"/>
        <v>-0.17311124096475572</v>
      </c>
    </row>
    <row r="756" spans="1:13" x14ac:dyDescent="0.45">
      <c r="A756" s="2">
        <v>44859</v>
      </c>
      <c r="B756" s="1">
        <v>1659.05</v>
      </c>
      <c r="D756" s="2">
        <v>44859</v>
      </c>
      <c r="E756" s="1">
        <v>7104.15</v>
      </c>
      <c r="G756" s="3">
        <v>1592600000</v>
      </c>
      <c r="H756" s="3">
        <f t="shared" si="33"/>
        <v>2642203030000</v>
      </c>
      <c r="J756" s="3">
        <v>317816130</v>
      </c>
      <c r="K756" s="3">
        <f t="shared" si="34"/>
        <v>2257813459939.5</v>
      </c>
      <c r="M756" s="4">
        <f t="shared" si="35"/>
        <v>-0.1702485953249655</v>
      </c>
    </row>
    <row r="757" spans="1:13" x14ac:dyDescent="0.45">
      <c r="A757" s="2">
        <v>44858</v>
      </c>
      <c r="B757" s="1">
        <v>1702.55</v>
      </c>
      <c r="D757" s="2">
        <v>44858</v>
      </c>
      <c r="E757" s="1">
        <v>7208.3</v>
      </c>
      <c r="G757" s="3">
        <v>1592600000</v>
      </c>
      <c r="H757" s="3">
        <f t="shared" si="33"/>
        <v>2711481130000</v>
      </c>
      <c r="J757" s="3">
        <v>317816130</v>
      </c>
      <c r="K757" s="3">
        <f t="shared" si="34"/>
        <v>2290914009879</v>
      </c>
      <c r="M757" s="4">
        <f t="shared" si="35"/>
        <v>-0.18358049158868828</v>
      </c>
    </row>
    <row r="758" spans="1:13" x14ac:dyDescent="0.45">
      <c r="A758" s="2">
        <v>44855</v>
      </c>
      <c r="B758" s="1">
        <v>1684</v>
      </c>
      <c r="D758" s="2">
        <v>44855</v>
      </c>
      <c r="E758" s="1">
        <v>7191.85</v>
      </c>
      <c r="G758" s="3">
        <v>1592600000</v>
      </c>
      <c r="H758" s="3">
        <f t="shared" si="33"/>
        <v>2681938400000</v>
      </c>
      <c r="J758" s="3">
        <v>317816130</v>
      </c>
      <c r="K758" s="3">
        <f t="shared" si="34"/>
        <v>2285685934540.5</v>
      </c>
      <c r="M758" s="4">
        <f t="shared" si="35"/>
        <v>-0.17336260396560577</v>
      </c>
    </row>
    <row r="759" spans="1:13" x14ac:dyDescent="0.45">
      <c r="A759" s="2">
        <v>44854</v>
      </c>
      <c r="B759" s="1">
        <v>1725.25</v>
      </c>
      <c r="D759" s="2">
        <v>44854</v>
      </c>
      <c r="E759" s="1">
        <v>7429.25</v>
      </c>
      <c r="G759" s="3">
        <v>1592600000</v>
      </c>
      <c r="H759" s="3">
        <f t="shared" si="33"/>
        <v>2747633150000</v>
      </c>
      <c r="J759" s="3">
        <v>317816130</v>
      </c>
      <c r="K759" s="3">
        <f t="shared" si="34"/>
        <v>2361135483802.5</v>
      </c>
      <c r="M759" s="4">
        <f t="shared" si="35"/>
        <v>-0.16369143949972043</v>
      </c>
    </row>
    <row r="760" spans="1:13" x14ac:dyDescent="0.45">
      <c r="A760" s="2">
        <v>44853</v>
      </c>
      <c r="B760" s="1">
        <v>1698.9</v>
      </c>
      <c r="D760" s="2">
        <v>44853</v>
      </c>
      <c r="E760" s="1">
        <v>7378.4</v>
      </c>
      <c r="G760" s="3">
        <v>1592600000</v>
      </c>
      <c r="H760" s="3">
        <f t="shared" si="33"/>
        <v>2705668140000</v>
      </c>
      <c r="J760" s="3">
        <v>317816130</v>
      </c>
      <c r="K760" s="3">
        <f t="shared" si="34"/>
        <v>2344974533592</v>
      </c>
      <c r="M760" s="4">
        <f t="shared" si="35"/>
        <v>-0.15381557506959131</v>
      </c>
    </row>
    <row r="761" spans="1:13" x14ac:dyDescent="0.45">
      <c r="A761" s="2">
        <v>44852</v>
      </c>
      <c r="B761" s="1">
        <v>1725.85</v>
      </c>
      <c r="D761" s="2">
        <v>44852</v>
      </c>
      <c r="E761" s="1">
        <v>7389.75</v>
      </c>
      <c r="G761" s="3">
        <v>1592600000</v>
      </c>
      <c r="H761" s="3">
        <f t="shared" si="33"/>
        <v>2748588710000</v>
      </c>
      <c r="J761" s="3">
        <v>317816130</v>
      </c>
      <c r="K761" s="3">
        <f t="shared" si="34"/>
        <v>2348581746667.5</v>
      </c>
      <c r="M761" s="4">
        <f t="shared" si="35"/>
        <v>-0.17031851835691336</v>
      </c>
    </row>
    <row r="762" spans="1:13" x14ac:dyDescent="0.45">
      <c r="A762" s="2">
        <v>44851</v>
      </c>
      <c r="B762" s="1">
        <v>1718.8</v>
      </c>
      <c r="D762" s="2">
        <v>44851</v>
      </c>
      <c r="E762" s="1">
        <v>7355.35</v>
      </c>
      <c r="G762" s="3">
        <v>1592600000</v>
      </c>
      <c r="H762" s="3">
        <f t="shared" si="33"/>
        <v>2737360880000</v>
      </c>
      <c r="J762" s="3">
        <v>317816130</v>
      </c>
      <c r="K762" s="3">
        <f t="shared" si="34"/>
        <v>2337648871795.5</v>
      </c>
      <c r="M762" s="4">
        <f t="shared" si="35"/>
        <v>-0.17098889958503016</v>
      </c>
    </row>
    <row r="763" spans="1:13" x14ac:dyDescent="0.45">
      <c r="A763" s="2">
        <v>44848</v>
      </c>
      <c r="B763" s="1">
        <v>1688.45</v>
      </c>
      <c r="D763" s="2">
        <v>44848</v>
      </c>
      <c r="E763" s="1">
        <v>7272.45</v>
      </c>
      <c r="G763" s="3">
        <v>1592600000</v>
      </c>
      <c r="H763" s="3">
        <f t="shared" si="33"/>
        <v>2689025470000</v>
      </c>
      <c r="J763" s="3">
        <v>317816130</v>
      </c>
      <c r="K763" s="3">
        <f t="shared" si="34"/>
        <v>2311301914618.5</v>
      </c>
      <c r="M763" s="4">
        <f t="shared" si="35"/>
        <v>-0.16342458464317344</v>
      </c>
    </row>
    <row r="764" spans="1:13" x14ac:dyDescent="0.45">
      <c r="A764" s="2">
        <v>44847</v>
      </c>
      <c r="B764" s="1">
        <v>1681.35</v>
      </c>
      <c r="D764" s="2">
        <v>44847</v>
      </c>
      <c r="E764" s="1">
        <v>7151.35</v>
      </c>
      <c r="G764" s="3">
        <v>1592600000</v>
      </c>
      <c r="H764" s="3">
        <f t="shared" si="33"/>
        <v>2677718010000</v>
      </c>
      <c r="J764" s="3">
        <v>317816130</v>
      </c>
      <c r="K764" s="3">
        <f t="shared" si="34"/>
        <v>2272814381275.5</v>
      </c>
      <c r="M764" s="4">
        <f t="shared" si="35"/>
        <v>-0.17815076851866296</v>
      </c>
    </row>
    <row r="765" spans="1:13" x14ac:dyDescent="0.45">
      <c r="A765" s="2">
        <v>44846</v>
      </c>
      <c r="B765" s="1">
        <v>1694.4</v>
      </c>
      <c r="D765" s="2">
        <v>44846</v>
      </c>
      <c r="E765" s="1">
        <v>7223</v>
      </c>
      <c r="G765" s="3">
        <v>1592600000</v>
      </c>
      <c r="H765" s="3">
        <f t="shared" si="33"/>
        <v>2698501440000</v>
      </c>
      <c r="J765" s="3">
        <v>317816130</v>
      </c>
      <c r="K765" s="3">
        <f t="shared" si="34"/>
        <v>2295585906990</v>
      </c>
      <c r="M765" s="4">
        <f t="shared" si="35"/>
        <v>-0.17551751462802256</v>
      </c>
    </row>
    <row r="766" spans="1:13" x14ac:dyDescent="0.45">
      <c r="A766" s="2">
        <v>44845</v>
      </c>
      <c r="B766" s="1">
        <v>1673.5</v>
      </c>
      <c r="D766" s="2">
        <v>44845</v>
      </c>
      <c r="E766" s="1">
        <v>7200.15</v>
      </c>
      <c r="G766" s="3">
        <v>1592600000</v>
      </c>
      <c r="H766" s="3">
        <f t="shared" si="33"/>
        <v>2665216100000</v>
      </c>
      <c r="J766" s="3">
        <v>317816130</v>
      </c>
      <c r="K766" s="3">
        <f t="shared" si="34"/>
        <v>2288323808419.5</v>
      </c>
      <c r="M766" s="4">
        <f t="shared" si="35"/>
        <v>-0.16470234247172044</v>
      </c>
    </row>
    <row r="767" spans="1:13" x14ac:dyDescent="0.45">
      <c r="A767" s="2">
        <v>44844</v>
      </c>
      <c r="B767" s="1">
        <v>1684.1</v>
      </c>
      <c r="D767" s="2">
        <v>44844</v>
      </c>
      <c r="E767" s="1">
        <v>7289.45</v>
      </c>
      <c r="G767" s="3">
        <v>1592600000</v>
      </c>
      <c r="H767" s="3">
        <f t="shared" si="33"/>
        <v>2682097660000</v>
      </c>
      <c r="J767" s="3">
        <v>317816130</v>
      </c>
      <c r="K767" s="3">
        <f t="shared" si="34"/>
        <v>2316704788828.5</v>
      </c>
      <c r="M767" s="4">
        <f t="shared" si="35"/>
        <v>-0.15772094611859022</v>
      </c>
    </row>
    <row r="768" spans="1:13" x14ac:dyDescent="0.45">
      <c r="A768" s="2">
        <v>44841</v>
      </c>
      <c r="B768" s="1">
        <v>1699.3</v>
      </c>
      <c r="D768" s="2">
        <v>44841</v>
      </c>
      <c r="E768" s="1">
        <v>7342.95</v>
      </c>
      <c r="G768" s="3">
        <v>1592600000</v>
      </c>
      <c r="H768" s="3">
        <f t="shared" si="33"/>
        <v>2706305180000</v>
      </c>
      <c r="J768" s="3">
        <v>317816130</v>
      </c>
      <c r="K768" s="3">
        <f t="shared" si="34"/>
        <v>2333707951783.5</v>
      </c>
      <c r="M768" s="4">
        <f t="shared" si="35"/>
        <v>-0.15965889302118907</v>
      </c>
    </row>
    <row r="769" spans="1:13" x14ac:dyDescent="0.45">
      <c r="A769" s="2">
        <v>44840</v>
      </c>
      <c r="B769" s="1">
        <v>1710.05</v>
      </c>
      <c r="D769" s="2">
        <v>44840</v>
      </c>
      <c r="E769" s="1">
        <v>7401.2</v>
      </c>
      <c r="G769" s="3">
        <v>1592600000</v>
      </c>
      <c r="H769" s="3">
        <f t="shared" si="33"/>
        <v>2723425630000</v>
      </c>
      <c r="J769" s="3">
        <v>317816130</v>
      </c>
      <c r="K769" s="3">
        <f t="shared" si="34"/>
        <v>2352220741356</v>
      </c>
      <c r="M769" s="4">
        <f t="shared" si="35"/>
        <v>-0.1578103968380149</v>
      </c>
    </row>
    <row r="770" spans="1:13" x14ac:dyDescent="0.45">
      <c r="A770" s="2">
        <v>44838</v>
      </c>
      <c r="B770" s="1">
        <v>1701.5</v>
      </c>
      <c r="D770" s="2">
        <v>44838</v>
      </c>
      <c r="E770" s="1">
        <v>7489.25</v>
      </c>
      <c r="G770" s="3">
        <v>1592600000</v>
      </c>
      <c r="H770" s="3">
        <f t="shared" si="33"/>
        <v>2709808900000</v>
      </c>
      <c r="J770" s="3">
        <v>317816130</v>
      </c>
      <c r="K770" s="3">
        <f t="shared" si="34"/>
        <v>2380204451602.5</v>
      </c>
      <c r="M770" s="4">
        <f t="shared" si="35"/>
        <v>-0.13847736826791923</v>
      </c>
    </row>
    <row r="771" spans="1:13" x14ac:dyDescent="0.45">
      <c r="A771" s="2">
        <v>44837</v>
      </c>
      <c r="B771" s="1">
        <v>1646.05</v>
      </c>
      <c r="D771" s="2">
        <v>44837</v>
      </c>
      <c r="E771" s="1">
        <v>7171.7</v>
      </c>
      <c r="G771" s="3">
        <v>1592600000</v>
      </c>
      <c r="H771" s="3">
        <f t="shared" si="33"/>
        <v>2621499230000</v>
      </c>
      <c r="J771" s="3">
        <v>317816130</v>
      </c>
      <c r="K771" s="3">
        <f t="shared" si="34"/>
        <v>2279281939521</v>
      </c>
      <c r="M771" s="4">
        <f t="shared" si="35"/>
        <v>-0.15014258856932727</v>
      </c>
    </row>
    <row r="772" spans="1:13" x14ac:dyDescent="0.45">
      <c r="A772" s="2">
        <v>44834</v>
      </c>
      <c r="B772" s="1">
        <v>1678.6</v>
      </c>
      <c r="D772" s="2">
        <v>44834</v>
      </c>
      <c r="E772" s="1">
        <v>7337.55</v>
      </c>
      <c r="G772" s="3">
        <v>1592600000</v>
      </c>
      <c r="H772" s="3">
        <f t="shared" ref="H772:H835" si="36">+G772*B772</f>
        <v>2673338360000</v>
      </c>
      <c r="J772" s="3">
        <v>317816130</v>
      </c>
      <c r="K772" s="3">
        <f t="shared" ref="K772:K835" si="37">+J772*E772</f>
        <v>2331991744681.5</v>
      </c>
      <c r="M772" s="4">
        <f t="shared" ref="M772:M835" si="38">1- (H772/K772)</f>
        <v>-0.14637556762239767</v>
      </c>
    </row>
    <row r="773" spans="1:13" x14ac:dyDescent="0.45">
      <c r="A773" s="2">
        <v>44833</v>
      </c>
      <c r="B773" s="1">
        <v>1635.6</v>
      </c>
      <c r="D773" s="2">
        <v>44833</v>
      </c>
      <c r="E773" s="1">
        <v>7104.2</v>
      </c>
      <c r="G773" s="3">
        <v>1592600000</v>
      </c>
      <c r="H773" s="3">
        <f t="shared" si="36"/>
        <v>2604856560000</v>
      </c>
      <c r="J773" s="3">
        <v>317816130</v>
      </c>
      <c r="K773" s="3">
        <f t="shared" si="37"/>
        <v>2257829350746</v>
      </c>
      <c r="M773" s="4">
        <f t="shared" si="38"/>
        <v>-0.15369948536603983</v>
      </c>
    </row>
    <row r="774" spans="1:13" x14ac:dyDescent="0.45">
      <c r="A774" s="2">
        <v>44832</v>
      </c>
      <c r="B774" s="1">
        <v>1651.05</v>
      </c>
      <c r="D774" s="2">
        <v>44832</v>
      </c>
      <c r="E774" s="1">
        <v>7202.15</v>
      </c>
      <c r="G774" s="3">
        <v>1592600000</v>
      </c>
      <c r="H774" s="3">
        <f t="shared" si="36"/>
        <v>2629462230000</v>
      </c>
      <c r="J774" s="3">
        <v>317816130</v>
      </c>
      <c r="K774" s="3">
        <f t="shared" si="37"/>
        <v>2288959440679.5</v>
      </c>
      <c r="M774" s="4">
        <f t="shared" si="38"/>
        <v>-0.1487587692770207</v>
      </c>
    </row>
    <row r="775" spans="1:13" x14ac:dyDescent="0.45">
      <c r="A775" s="2">
        <v>44831</v>
      </c>
      <c r="B775" s="1">
        <v>1679.65</v>
      </c>
      <c r="D775" s="2">
        <v>44831</v>
      </c>
      <c r="E775" s="1">
        <v>7240.9</v>
      </c>
      <c r="G775" s="3">
        <v>1592600000</v>
      </c>
      <c r="H775" s="3">
        <f t="shared" si="36"/>
        <v>2675010590000</v>
      </c>
      <c r="J775" s="3">
        <v>317816130</v>
      </c>
      <c r="K775" s="3">
        <f t="shared" si="37"/>
        <v>2301274815717</v>
      </c>
      <c r="M775" s="4">
        <f t="shared" si="38"/>
        <v>-0.16240379972461327</v>
      </c>
    </row>
    <row r="776" spans="1:13" x14ac:dyDescent="0.45">
      <c r="A776" s="2">
        <v>44830</v>
      </c>
      <c r="B776" s="1">
        <v>1677.45</v>
      </c>
      <c r="D776" s="2">
        <v>44830</v>
      </c>
      <c r="E776" s="1">
        <v>7255.75</v>
      </c>
      <c r="G776" s="3">
        <v>1592600000</v>
      </c>
      <c r="H776" s="3">
        <f t="shared" si="36"/>
        <v>2671506870000</v>
      </c>
      <c r="J776" s="3">
        <v>317816130</v>
      </c>
      <c r="K776" s="3">
        <f t="shared" si="37"/>
        <v>2305994385247.5</v>
      </c>
      <c r="M776" s="4">
        <f t="shared" si="38"/>
        <v>-0.15850536631435452</v>
      </c>
    </row>
    <row r="777" spans="1:13" x14ac:dyDescent="0.45">
      <c r="A777" s="2">
        <v>44827</v>
      </c>
      <c r="B777" s="1">
        <v>1722.25</v>
      </c>
      <c r="D777" s="2">
        <v>44827</v>
      </c>
      <c r="E777" s="1">
        <v>7506.7</v>
      </c>
      <c r="G777" s="3">
        <v>1592600000</v>
      </c>
      <c r="H777" s="3">
        <f t="shared" si="36"/>
        <v>2742855350000</v>
      </c>
      <c r="J777" s="3">
        <v>317816130</v>
      </c>
      <c r="K777" s="3">
        <f t="shared" si="37"/>
        <v>2385750343071</v>
      </c>
      <c r="M777" s="4">
        <f t="shared" si="38"/>
        <v>-0.14968247116306599</v>
      </c>
    </row>
    <row r="778" spans="1:13" x14ac:dyDescent="0.45">
      <c r="A778" s="2">
        <v>44826</v>
      </c>
      <c r="B778" s="1">
        <v>1771.85</v>
      </c>
      <c r="D778" s="2">
        <v>44826</v>
      </c>
      <c r="E778" s="1">
        <v>7721.1</v>
      </c>
      <c r="G778" s="3">
        <v>1592600000</v>
      </c>
      <c r="H778" s="3">
        <f t="shared" si="36"/>
        <v>2821848310000</v>
      </c>
      <c r="J778" s="3">
        <v>317816130</v>
      </c>
      <c r="K778" s="3">
        <f t="shared" si="37"/>
        <v>2453890121343</v>
      </c>
      <c r="M778" s="4">
        <f t="shared" si="38"/>
        <v>-0.14994892617914712</v>
      </c>
    </row>
    <row r="779" spans="1:13" x14ac:dyDescent="0.45">
      <c r="A779" s="2">
        <v>44825</v>
      </c>
      <c r="B779" s="1">
        <v>1801.95</v>
      </c>
      <c r="D779" s="2">
        <v>44825</v>
      </c>
      <c r="E779" s="1">
        <v>7688.95</v>
      </c>
      <c r="G779" s="3">
        <v>1592600000</v>
      </c>
      <c r="H779" s="3">
        <f t="shared" si="36"/>
        <v>2869785570000</v>
      </c>
      <c r="J779" s="3">
        <v>317816130</v>
      </c>
      <c r="K779" s="3">
        <f t="shared" si="37"/>
        <v>2443672332763.5</v>
      </c>
      <c r="M779" s="4">
        <f t="shared" si="38"/>
        <v>-0.17437413008421521</v>
      </c>
    </row>
    <row r="780" spans="1:13" x14ac:dyDescent="0.45">
      <c r="A780" s="2">
        <v>44824</v>
      </c>
      <c r="B780" s="1">
        <v>1802.8</v>
      </c>
      <c r="D780" s="2">
        <v>44824</v>
      </c>
      <c r="E780" s="1">
        <v>7631.2</v>
      </c>
      <c r="G780" s="3">
        <v>1592600000</v>
      </c>
      <c r="H780" s="3">
        <f t="shared" si="36"/>
        <v>2871139280000</v>
      </c>
      <c r="J780" s="3">
        <v>317816130</v>
      </c>
      <c r="K780" s="3">
        <f t="shared" si="37"/>
        <v>2425318451256</v>
      </c>
      <c r="M780" s="4">
        <f t="shared" si="38"/>
        <v>-0.18381950152283011</v>
      </c>
    </row>
    <row r="781" spans="1:13" x14ac:dyDescent="0.45">
      <c r="A781" s="2">
        <v>44823</v>
      </c>
      <c r="B781" s="1">
        <v>1766.15</v>
      </c>
      <c r="D781" s="2">
        <v>44823</v>
      </c>
      <c r="E781" s="1">
        <v>7493.1</v>
      </c>
      <c r="G781" s="3">
        <v>1592600000</v>
      </c>
      <c r="H781" s="3">
        <f t="shared" si="36"/>
        <v>2812770490000</v>
      </c>
      <c r="J781" s="3">
        <v>317816130</v>
      </c>
      <c r="K781" s="3">
        <f t="shared" si="37"/>
        <v>2381428043703</v>
      </c>
      <c r="M781" s="4">
        <f t="shared" si="38"/>
        <v>-0.18112764206231668</v>
      </c>
    </row>
    <row r="782" spans="1:13" x14ac:dyDescent="0.45">
      <c r="A782" s="2">
        <v>44820</v>
      </c>
      <c r="B782" s="1">
        <v>1735.1</v>
      </c>
      <c r="D782" s="2">
        <v>44820</v>
      </c>
      <c r="E782" s="1">
        <v>7289.85</v>
      </c>
      <c r="G782" s="3">
        <v>1592600000</v>
      </c>
      <c r="H782" s="3">
        <f t="shared" si="36"/>
        <v>2763320260000</v>
      </c>
      <c r="J782" s="3">
        <v>317816130</v>
      </c>
      <c r="K782" s="3">
        <f t="shared" si="37"/>
        <v>2316831915280.5</v>
      </c>
      <c r="M782" s="4">
        <f t="shared" si="38"/>
        <v>-0.19271503546490276</v>
      </c>
    </row>
    <row r="783" spans="1:13" x14ac:dyDescent="0.45">
      <c r="A783" s="2">
        <v>44819</v>
      </c>
      <c r="B783" s="1">
        <v>1772</v>
      </c>
      <c r="D783" s="2">
        <v>44819</v>
      </c>
      <c r="E783" s="1">
        <v>7385.75</v>
      </c>
      <c r="G783" s="3">
        <v>1592600000</v>
      </c>
      <c r="H783" s="3">
        <f t="shared" si="36"/>
        <v>2822087200000</v>
      </c>
      <c r="J783" s="3">
        <v>317816130</v>
      </c>
      <c r="K783" s="3">
        <f t="shared" si="37"/>
        <v>2347310482147.5</v>
      </c>
      <c r="M783" s="4">
        <f t="shared" si="38"/>
        <v>-0.20226413227539375</v>
      </c>
    </row>
    <row r="784" spans="1:13" x14ac:dyDescent="0.45">
      <c r="A784" s="2">
        <v>44818</v>
      </c>
      <c r="B784" s="1">
        <v>1806.1</v>
      </c>
      <c r="D784" s="2">
        <v>44818</v>
      </c>
      <c r="E784" s="1">
        <v>7479.7</v>
      </c>
      <c r="G784" s="3">
        <v>1592600000</v>
      </c>
      <c r="H784" s="3">
        <f t="shared" si="36"/>
        <v>2876394860000</v>
      </c>
      <c r="J784" s="3">
        <v>317816130</v>
      </c>
      <c r="K784" s="3">
        <f t="shared" si="37"/>
        <v>2377169307561</v>
      </c>
      <c r="M784" s="4">
        <f t="shared" si="38"/>
        <v>-0.21000841246398672</v>
      </c>
    </row>
    <row r="785" spans="1:13" x14ac:dyDescent="0.45">
      <c r="A785" s="2">
        <v>44817</v>
      </c>
      <c r="B785" s="1">
        <v>1784.45</v>
      </c>
      <c r="D785" s="2">
        <v>44817</v>
      </c>
      <c r="E785" s="1">
        <v>7402.05</v>
      </c>
      <c r="G785" s="3">
        <v>1592600000</v>
      </c>
      <c r="H785" s="3">
        <f t="shared" si="36"/>
        <v>2841915070000</v>
      </c>
      <c r="J785" s="3">
        <v>317816130</v>
      </c>
      <c r="K785" s="3">
        <f t="shared" si="37"/>
        <v>2352490885066.5</v>
      </c>
      <c r="M785" s="4">
        <f t="shared" si="38"/>
        <v>-0.20804509298647722</v>
      </c>
    </row>
    <row r="786" spans="1:13" x14ac:dyDescent="0.45">
      <c r="A786" s="2">
        <v>44816</v>
      </c>
      <c r="B786" s="1">
        <v>17157.8</v>
      </c>
      <c r="D786" s="2">
        <v>44816</v>
      </c>
      <c r="E786" s="1">
        <v>7288.5</v>
      </c>
      <c r="G786" s="3">
        <v>159137444</v>
      </c>
      <c r="H786" s="3">
        <f t="shared" si="36"/>
        <v>2730448436663.1997</v>
      </c>
      <c r="J786" s="3">
        <v>317816130</v>
      </c>
      <c r="K786" s="3">
        <f t="shared" si="37"/>
        <v>2316402863505</v>
      </c>
      <c r="M786" s="4">
        <f t="shared" si="38"/>
        <v>-0.17874506187222461</v>
      </c>
    </row>
    <row r="787" spans="1:13" x14ac:dyDescent="0.45">
      <c r="A787" s="2">
        <v>44813</v>
      </c>
      <c r="B787" s="1">
        <v>17202.650000000001</v>
      </c>
      <c r="D787" s="2">
        <v>44813</v>
      </c>
      <c r="E787" s="1">
        <v>7183.55</v>
      </c>
      <c r="G787" s="1">
        <v>159137444</v>
      </c>
      <c r="H787" s="3">
        <f t="shared" si="36"/>
        <v>2737585751026.6001</v>
      </c>
      <c r="J787" s="3">
        <v>317816130</v>
      </c>
      <c r="K787" s="3">
        <f t="shared" si="37"/>
        <v>2283048060661.5</v>
      </c>
      <c r="M787" s="4">
        <f t="shared" si="38"/>
        <v>-0.19909247562375021</v>
      </c>
    </row>
    <row r="788" spans="1:13" x14ac:dyDescent="0.45">
      <c r="A788" s="2">
        <v>44812</v>
      </c>
      <c r="B788" s="1">
        <v>17381.45</v>
      </c>
      <c r="D788" s="2">
        <v>44812</v>
      </c>
      <c r="E788" s="1">
        <v>7258</v>
      </c>
      <c r="G788" s="3">
        <v>159137444</v>
      </c>
      <c r="H788" s="3">
        <f t="shared" si="36"/>
        <v>2766039526013.8003</v>
      </c>
      <c r="J788" s="3">
        <v>317816130</v>
      </c>
      <c r="K788" s="3">
        <f t="shared" si="37"/>
        <v>2306709471540</v>
      </c>
      <c r="M788" s="4">
        <f t="shared" si="38"/>
        <v>-0.19912783128563794</v>
      </c>
    </row>
    <row r="789" spans="1:13" x14ac:dyDescent="0.45">
      <c r="A789" s="2">
        <v>44811</v>
      </c>
      <c r="B789" s="1">
        <v>17056.45</v>
      </c>
      <c r="D789" s="2">
        <v>44811</v>
      </c>
      <c r="E789" s="1">
        <v>7162.05</v>
      </c>
      <c r="G789" s="3">
        <v>159137444</v>
      </c>
      <c r="H789" s="3">
        <f t="shared" si="36"/>
        <v>2714319856713.8003</v>
      </c>
      <c r="J789" s="3">
        <v>317816130</v>
      </c>
      <c r="K789" s="3">
        <f t="shared" si="37"/>
        <v>2276215013866.5</v>
      </c>
      <c r="M789" s="4">
        <f t="shared" si="38"/>
        <v>-0.19247076404399599</v>
      </c>
    </row>
    <row r="790" spans="1:13" x14ac:dyDescent="0.45">
      <c r="A790" s="2">
        <v>44810</v>
      </c>
      <c r="B790" s="1">
        <v>16974.3</v>
      </c>
      <c r="D790" s="2">
        <v>44810</v>
      </c>
      <c r="E790" s="1">
        <v>7122.15</v>
      </c>
      <c r="G790" s="3">
        <v>159137444</v>
      </c>
      <c r="H790" s="3">
        <f t="shared" si="36"/>
        <v>2701246715689.1997</v>
      </c>
      <c r="J790" s="3">
        <v>317816130</v>
      </c>
      <c r="K790" s="3">
        <f t="shared" si="37"/>
        <v>2263534150279.5</v>
      </c>
      <c r="M790" s="4">
        <f t="shared" si="38"/>
        <v>-0.19337572855070517</v>
      </c>
    </row>
    <row r="791" spans="1:13" x14ac:dyDescent="0.45">
      <c r="A791" s="2">
        <v>44809</v>
      </c>
      <c r="B791" s="1">
        <v>17375.650000000001</v>
      </c>
      <c r="D791" s="2">
        <v>44809</v>
      </c>
      <c r="E791" s="1">
        <v>7196.45</v>
      </c>
      <c r="G791" s="3">
        <v>159137444</v>
      </c>
      <c r="H791" s="3">
        <f t="shared" si="36"/>
        <v>2765116528838.6001</v>
      </c>
      <c r="J791" s="3">
        <v>317816130</v>
      </c>
      <c r="K791" s="3">
        <f t="shared" si="37"/>
        <v>2287147888738.5</v>
      </c>
      <c r="M791" s="4">
        <f t="shared" si="38"/>
        <v>-0.20898020738122391</v>
      </c>
    </row>
    <row r="792" spans="1:13" x14ac:dyDescent="0.45">
      <c r="A792" s="2">
        <v>44806</v>
      </c>
      <c r="B792" s="1">
        <v>17331.150000000001</v>
      </c>
      <c r="D792" s="2">
        <v>44806</v>
      </c>
      <c r="E792" s="1">
        <v>7190.7</v>
      </c>
      <c r="G792" s="3">
        <v>159137444</v>
      </c>
      <c r="H792" s="3">
        <f t="shared" si="36"/>
        <v>2758034912580.6001</v>
      </c>
      <c r="J792" s="3">
        <v>317816130</v>
      </c>
      <c r="K792" s="3">
        <f t="shared" si="37"/>
        <v>2285320445991</v>
      </c>
      <c r="M792" s="4">
        <f t="shared" si="38"/>
        <v>-0.2068482200904711</v>
      </c>
    </row>
    <row r="793" spans="1:13" x14ac:dyDescent="0.45">
      <c r="A793" s="2">
        <v>44805</v>
      </c>
      <c r="B793" s="1">
        <v>17404</v>
      </c>
      <c r="D793" s="2">
        <v>44805</v>
      </c>
      <c r="E793" s="1">
        <v>7180.9</v>
      </c>
      <c r="G793" s="3">
        <v>159137444</v>
      </c>
      <c r="H793" s="3">
        <f t="shared" si="36"/>
        <v>2769628075376</v>
      </c>
      <c r="J793" s="3">
        <v>317816130</v>
      </c>
      <c r="K793" s="3">
        <f t="shared" si="37"/>
        <v>2282205847917</v>
      </c>
      <c r="M793" s="4">
        <f t="shared" si="38"/>
        <v>-0.21357504972826047</v>
      </c>
    </row>
    <row r="794" spans="1:13" x14ac:dyDescent="0.45">
      <c r="A794" s="2">
        <v>44803</v>
      </c>
      <c r="B794" s="1">
        <v>16966.7</v>
      </c>
      <c r="D794" s="2">
        <v>44803</v>
      </c>
      <c r="E794" s="1">
        <v>7303.8</v>
      </c>
      <c r="G794" s="3">
        <v>159137444</v>
      </c>
      <c r="H794" s="3">
        <f t="shared" si="36"/>
        <v>2700037271114.8003</v>
      </c>
      <c r="J794" s="3">
        <v>317816130</v>
      </c>
      <c r="K794" s="3">
        <f t="shared" si="37"/>
        <v>2321265450294</v>
      </c>
      <c r="M794" s="4">
        <f t="shared" si="38"/>
        <v>-0.16317471178181142</v>
      </c>
    </row>
    <row r="795" spans="1:13" x14ac:dyDescent="0.45">
      <c r="A795" s="2">
        <v>44802</v>
      </c>
      <c r="B795" s="1">
        <v>16086.75</v>
      </c>
      <c r="D795" s="2">
        <v>44802</v>
      </c>
      <c r="E795" s="1">
        <v>6965.45</v>
      </c>
      <c r="G795" s="3">
        <v>159137444</v>
      </c>
      <c r="H795" s="3">
        <f t="shared" si="36"/>
        <v>2560004277267</v>
      </c>
      <c r="J795" s="3">
        <v>317816130</v>
      </c>
      <c r="K795" s="3">
        <f t="shared" si="37"/>
        <v>2213732362708.5</v>
      </c>
      <c r="M795" s="4">
        <f t="shared" si="38"/>
        <v>-0.15641995409726794</v>
      </c>
    </row>
    <row r="796" spans="1:13" x14ac:dyDescent="0.45">
      <c r="A796" s="2">
        <v>44799</v>
      </c>
      <c r="B796" s="1">
        <v>16287.55</v>
      </c>
      <c r="D796" s="2">
        <v>44799</v>
      </c>
      <c r="E796" s="1">
        <v>7062.85</v>
      </c>
      <c r="G796" s="3">
        <v>159137444</v>
      </c>
      <c r="H796" s="3">
        <f t="shared" si="36"/>
        <v>2591959076022.1997</v>
      </c>
      <c r="J796" s="3">
        <v>317816130</v>
      </c>
      <c r="K796" s="3">
        <f t="shared" si="37"/>
        <v>2244687653770.5</v>
      </c>
      <c r="M796" s="4">
        <f t="shared" si="38"/>
        <v>-0.154708126838214</v>
      </c>
    </row>
    <row r="797" spans="1:13" x14ac:dyDescent="0.45">
      <c r="A797" s="2">
        <v>44798</v>
      </c>
      <c r="B797" s="1">
        <v>16246.45</v>
      </c>
      <c r="D797" s="2">
        <v>44798</v>
      </c>
      <c r="E797" s="1">
        <v>7045.15</v>
      </c>
      <c r="G797" s="3">
        <v>159137444</v>
      </c>
      <c r="H797" s="3">
        <f t="shared" si="36"/>
        <v>2585418527073.8003</v>
      </c>
      <c r="J797" s="3">
        <v>317816130</v>
      </c>
      <c r="K797" s="3">
        <f t="shared" si="37"/>
        <v>2239062308269.5</v>
      </c>
      <c r="M797" s="4">
        <f t="shared" si="38"/>
        <v>-0.15468806630575105</v>
      </c>
    </row>
    <row r="798" spans="1:13" x14ac:dyDescent="0.45">
      <c r="A798" s="2">
        <v>44797</v>
      </c>
      <c r="B798" s="1">
        <v>16328.15</v>
      </c>
      <c r="D798" s="2">
        <v>44797</v>
      </c>
      <c r="E798" s="1">
        <v>7174.8</v>
      </c>
      <c r="G798" s="3">
        <v>159137444</v>
      </c>
      <c r="H798" s="3">
        <f t="shared" si="36"/>
        <v>2598420056248.6001</v>
      </c>
      <c r="J798" s="3">
        <v>317816130</v>
      </c>
      <c r="K798" s="3">
        <f t="shared" si="37"/>
        <v>2280267169524</v>
      </c>
      <c r="M798" s="4">
        <f t="shared" si="38"/>
        <v>-0.13952439037703357</v>
      </c>
    </row>
    <row r="799" spans="1:13" x14ac:dyDescent="0.45">
      <c r="A799" s="2">
        <v>44796</v>
      </c>
      <c r="B799" s="1">
        <v>16309.25</v>
      </c>
      <c r="D799" s="2">
        <v>44796</v>
      </c>
      <c r="E799" s="1">
        <v>7206.95</v>
      </c>
      <c r="G799" s="3">
        <v>159137444</v>
      </c>
      <c r="H799" s="3">
        <f t="shared" si="36"/>
        <v>2595412358557</v>
      </c>
      <c r="J799" s="3">
        <v>317816130</v>
      </c>
      <c r="K799" s="3">
        <f t="shared" si="37"/>
        <v>2290484958103.5</v>
      </c>
      <c r="M799" s="4">
        <f t="shared" si="38"/>
        <v>-0.13312787729720643</v>
      </c>
    </row>
    <row r="800" spans="1:13" x14ac:dyDescent="0.45">
      <c r="A800" s="2">
        <v>44795</v>
      </c>
      <c r="B800" s="1">
        <v>15872.65</v>
      </c>
      <c r="D800" s="2">
        <v>44795</v>
      </c>
      <c r="E800" s="1">
        <v>7103.2</v>
      </c>
      <c r="G800" s="3">
        <v>159137444</v>
      </c>
      <c r="H800" s="3">
        <f t="shared" si="36"/>
        <v>2525932950506.6001</v>
      </c>
      <c r="J800" s="3">
        <v>317816130</v>
      </c>
      <c r="K800" s="3">
        <f t="shared" si="37"/>
        <v>2257511534616</v>
      </c>
      <c r="M800" s="4">
        <f t="shared" si="38"/>
        <v>-0.11890145931691021</v>
      </c>
    </row>
    <row r="801" spans="1:13" x14ac:dyDescent="0.45">
      <c r="A801" s="2">
        <v>44792</v>
      </c>
      <c r="B801" s="1">
        <v>16292.85</v>
      </c>
      <c r="D801" s="2">
        <v>44792</v>
      </c>
      <c r="E801" s="1">
        <v>7301.2</v>
      </c>
      <c r="G801" s="3">
        <v>159137444</v>
      </c>
      <c r="H801" s="3">
        <f t="shared" si="36"/>
        <v>2592802504475.3999</v>
      </c>
      <c r="J801" s="3">
        <v>317816130</v>
      </c>
      <c r="K801" s="3">
        <f t="shared" si="37"/>
        <v>2320439128356</v>
      </c>
      <c r="M801" s="4">
        <f t="shared" si="38"/>
        <v>-0.11737579012140076</v>
      </c>
    </row>
    <row r="802" spans="1:13" x14ac:dyDescent="0.45">
      <c r="A802" s="2">
        <v>44791</v>
      </c>
      <c r="B802" s="1">
        <v>16810.75</v>
      </c>
      <c r="D802" s="2">
        <v>44791</v>
      </c>
      <c r="E802" s="1">
        <v>7490.9</v>
      </c>
      <c r="G802" s="3">
        <v>159137444</v>
      </c>
      <c r="H802" s="3">
        <f t="shared" si="36"/>
        <v>2675219786723</v>
      </c>
      <c r="J802" s="3">
        <v>317816130</v>
      </c>
      <c r="K802" s="3">
        <f t="shared" si="37"/>
        <v>2380728848217</v>
      </c>
      <c r="M802" s="4">
        <f t="shared" si="38"/>
        <v>-0.12369780738640324</v>
      </c>
    </row>
    <row r="803" spans="1:13" x14ac:dyDescent="0.45">
      <c r="A803" s="2">
        <v>44790</v>
      </c>
      <c r="B803" s="1">
        <v>16828.55</v>
      </c>
      <c r="D803" s="2">
        <v>44790</v>
      </c>
      <c r="E803" s="1">
        <v>7524.9</v>
      </c>
      <c r="G803" s="3">
        <v>159137444</v>
      </c>
      <c r="H803" s="3">
        <f t="shared" si="36"/>
        <v>2678052433226.1997</v>
      </c>
      <c r="J803" s="3">
        <v>317816130</v>
      </c>
      <c r="K803" s="3">
        <f t="shared" si="37"/>
        <v>2391534596637</v>
      </c>
      <c r="M803" s="4">
        <f t="shared" si="38"/>
        <v>-0.11980501431679214</v>
      </c>
    </row>
    <row r="804" spans="1:13" x14ac:dyDescent="0.45">
      <c r="A804" s="2">
        <v>44789</v>
      </c>
      <c r="B804" s="1">
        <v>15914.3</v>
      </c>
      <c r="D804" s="2">
        <v>44789</v>
      </c>
      <c r="E804" s="1">
        <v>7285.6</v>
      </c>
      <c r="G804" s="3">
        <v>159137444</v>
      </c>
      <c r="H804" s="3">
        <f t="shared" si="36"/>
        <v>2532561025049.1997</v>
      </c>
      <c r="J804" s="3">
        <v>317816130</v>
      </c>
      <c r="K804" s="3">
        <f t="shared" si="37"/>
        <v>2315481196728</v>
      </c>
      <c r="M804" s="4">
        <f t="shared" si="38"/>
        <v>-9.3751496936340661E-2</v>
      </c>
    </row>
    <row r="805" spans="1:13" x14ac:dyDescent="0.45">
      <c r="A805" s="2">
        <v>44785</v>
      </c>
      <c r="B805" s="1">
        <v>15770.35</v>
      </c>
      <c r="D805" s="2">
        <v>44785</v>
      </c>
      <c r="E805" s="1">
        <v>7308.8</v>
      </c>
      <c r="G805" s="3">
        <v>159137444</v>
      </c>
      <c r="H805" s="3">
        <f t="shared" si="36"/>
        <v>2509653189985.3999</v>
      </c>
      <c r="J805" s="3">
        <v>317816130</v>
      </c>
      <c r="K805" s="3">
        <f t="shared" si="37"/>
        <v>2322854530944</v>
      </c>
      <c r="M805" s="4">
        <f t="shared" si="38"/>
        <v>-8.0417717318477688E-2</v>
      </c>
    </row>
    <row r="806" spans="1:13" x14ac:dyDescent="0.45">
      <c r="A806" s="2">
        <v>44784</v>
      </c>
      <c r="B806" s="1">
        <v>15729.3</v>
      </c>
      <c r="D806" s="2">
        <v>44784</v>
      </c>
      <c r="E806" s="1">
        <v>7316.25</v>
      </c>
      <c r="G806" s="3">
        <v>159137444</v>
      </c>
      <c r="H806" s="3">
        <f t="shared" si="36"/>
        <v>2503120597909.1997</v>
      </c>
      <c r="J806" s="3">
        <v>317816130</v>
      </c>
      <c r="K806" s="3">
        <f t="shared" si="37"/>
        <v>2325222261112.5</v>
      </c>
      <c r="M806" s="4">
        <f t="shared" si="38"/>
        <v>-7.6508099794117879E-2</v>
      </c>
    </row>
    <row r="807" spans="1:13" x14ac:dyDescent="0.45">
      <c r="A807" s="2">
        <v>44783</v>
      </c>
      <c r="B807" s="1">
        <v>15643.25</v>
      </c>
      <c r="D807" s="2">
        <v>44783</v>
      </c>
      <c r="E807" s="1">
        <v>7147.75</v>
      </c>
      <c r="G807" s="3">
        <v>159137444</v>
      </c>
      <c r="H807" s="3">
        <f t="shared" si="36"/>
        <v>2489426820853</v>
      </c>
      <c r="J807" s="3">
        <v>317816130</v>
      </c>
      <c r="K807" s="3">
        <f t="shared" si="37"/>
        <v>2271670243207.5</v>
      </c>
      <c r="M807" s="4">
        <f t="shared" si="38"/>
        <v>-9.5857476804396269E-2</v>
      </c>
    </row>
    <row r="808" spans="1:13" x14ac:dyDescent="0.45">
      <c r="A808" s="2">
        <v>44781</v>
      </c>
      <c r="B808" s="1">
        <v>15534.2</v>
      </c>
      <c r="D808" s="2">
        <v>44781</v>
      </c>
      <c r="E808" s="1">
        <v>7343.45</v>
      </c>
      <c r="G808" s="3">
        <v>159137444</v>
      </c>
      <c r="H808" s="3">
        <f t="shared" si="36"/>
        <v>2472072882584.8003</v>
      </c>
      <c r="J808" s="3">
        <v>317816130</v>
      </c>
      <c r="K808" s="3">
        <f t="shared" si="37"/>
        <v>2333866859848.5</v>
      </c>
      <c r="M808" s="4">
        <f t="shared" si="38"/>
        <v>-5.9217612244287121E-2</v>
      </c>
    </row>
    <row r="809" spans="1:13" x14ac:dyDescent="0.45">
      <c r="A809" s="2">
        <v>44778</v>
      </c>
      <c r="B809" s="1">
        <v>15088.95</v>
      </c>
      <c r="D809" s="2">
        <v>44778</v>
      </c>
      <c r="E809" s="1">
        <v>7303.2</v>
      </c>
      <c r="G809" s="3">
        <v>159137444</v>
      </c>
      <c r="H809" s="3">
        <f t="shared" si="36"/>
        <v>2401216935643.8003</v>
      </c>
      <c r="J809" s="3">
        <v>317816130</v>
      </c>
      <c r="K809" s="3">
        <f t="shared" si="37"/>
        <v>2321074760616</v>
      </c>
      <c r="M809" s="4">
        <f t="shared" si="38"/>
        <v>-3.452804553634059E-2</v>
      </c>
    </row>
    <row r="810" spans="1:13" x14ac:dyDescent="0.45">
      <c r="A810" s="2">
        <v>44777</v>
      </c>
      <c r="B810" s="1">
        <v>15178.9</v>
      </c>
      <c r="D810" s="2">
        <v>44777</v>
      </c>
      <c r="E810" s="1">
        <v>7318.4</v>
      </c>
      <c r="G810" s="3">
        <v>159137444</v>
      </c>
      <c r="H810" s="3">
        <f t="shared" si="36"/>
        <v>2415531348731.6001</v>
      </c>
      <c r="J810" s="3">
        <v>317816130</v>
      </c>
      <c r="K810" s="3">
        <f t="shared" si="37"/>
        <v>2325905565792</v>
      </c>
      <c r="M810" s="4">
        <f t="shared" si="38"/>
        <v>-3.8533715322651707E-2</v>
      </c>
    </row>
    <row r="811" spans="1:13" x14ac:dyDescent="0.45">
      <c r="A811" s="2">
        <v>44776</v>
      </c>
      <c r="B811" s="1">
        <v>15243.65</v>
      </c>
      <c r="D811" s="2">
        <v>44776</v>
      </c>
      <c r="E811" s="1">
        <v>7292.95</v>
      </c>
      <c r="G811" s="3">
        <v>159137444</v>
      </c>
      <c r="H811" s="3">
        <f t="shared" si="36"/>
        <v>2425835498230.6001</v>
      </c>
      <c r="J811" s="3">
        <v>317816130</v>
      </c>
      <c r="K811" s="3">
        <f t="shared" si="37"/>
        <v>2317817145283.5</v>
      </c>
      <c r="M811" s="4">
        <f t="shared" si="38"/>
        <v>-4.6603483439970894E-2</v>
      </c>
    </row>
    <row r="812" spans="1:13" x14ac:dyDescent="0.45">
      <c r="A812" s="2">
        <v>44775</v>
      </c>
      <c r="B812" s="1">
        <v>15215.75</v>
      </c>
      <c r="D812" s="2">
        <v>44775</v>
      </c>
      <c r="E812" s="1">
        <v>7341</v>
      </c>
      <c r="G812" s="3">
        <v>159137444</v>
      </c>
      <c r="H812" s="3">
        <f t="shared" si="36"/>
        <v>2421395563543</v>
      </c>
      <c r="J812" s="3">
        <v>317816130</v>
      </c>
      <c r="K812" s="3">
        <f t="shared" si="37"/>
        <v>2333088210330</v>
      </c>
      <c r="M812" s="4">
        <f t="shared" si="38"/>
        <v>-3.7849984763546285E-2</v>
      </c>
    </row>
    <row r="813" spans="1:13" x14ac:dyDescent="0.45">
      <c r="A813" s="2">
        <v>44774</v>
      </c>
      <c r="B813" s="1">
        <v>15072.3</v>
      </c>
      <c r="D813" s="2">
        <v>44774</v>
      </c>
      <c r="E813" s="1">
        <v>7260.45</v>
      </c>
      <c r="G813" s="3">
        <v>159137444</v>
      </c>
      <c r="H813" s="3">
        <f t="shared" si="36"/>
        <v>2398567297201.1997</v>
      </c>
      <c r="J813" s="3">
        <v>317816130</v>
      </c>
      <c r="K813" s="3">
        <f t="shared" si="37"/>
        <v>2307488121058.5</v>
      </c>
      <c r="M813" s="4">
        <f t="shared" si="38"/>
        <v>-3.9471135435756644E-2</v>
      </c>
    </row>
    <row r="814" spans="1:13" x14ac:dyDescent="0.45">
      <c r="A814" s="2">
        <v>44771</v>
      </c>
      <c r="B814" s="1">
        <v>15039.3</v>
      </c>
      <c r="D814" s="2">
        <v>44771</v>
      </c>
      <c r="E814" s="1">
        <v>7208.9</v>
      </c>
      <c r="G814" s="3">
        <v>159137444</v>
      </c>
      <c r="H814" s="3">
        <f t="shared" si="36"/>
        <v>2393315761549.1997</v>
      </c>
      <c r="J814" s="3">
        <v>317816130</v>
      </c>
      <c r="K814" s="3">
        <f t="shared" si="37"/>
        <v>2291104699557</v>
      </c>
      <c r="M814" s="4">
        <f t="shared" si="38"/>
        <v>-4.4612130563899122E-2</v>
      </c>
    </row>
    <row r="815" spans="1:13" x14ac:dyDescent="0.45">
      <c r="A815" s="2">
        <v>44770</v>
      </c>
      <c r="B815" s="1">
        <v>14652.3</v>
      </c>
      <c r="D815" s="2">
        <v>44770</v>
      </c>
      <c r="E815" s="1">
        <v>7076.3</v>
      </c>
      <c r="G815" s="3">
        <v>159137444</v>
      </c>
      <c r="H815" s="3">
        <f t="shared" si="36"/>
        <v>2331729570721.1997</v>
      </c>
      <c r="J815" s="3">
        <v>317816130</v>
      </c>
      <c r="K815" s="3">
        <f t="shared" si="37"/>
        <v>2248962280719</v>
      </c>
      <c r="M815" s="4">
        <f t="shared" si="38"/>
        <v>-3.68024358219734E-2</v>
      </c>
    </row>
    <row r="816" spans="1:13" x14ac:dyDescent="0.45">
      <c r="A816" s="2">
        <v>44769</v>
      </c>
      <c r="B816" s="1">
        <v>13303.15</v>
      </c>
      <c r="D816" s="2">
        <v>44769</v>
      </c>
      <c r="E816" s="1">
        <v>6393.75</v>
      </c>
      <c r="G816" s="3">
        <v>159137444</v>
      </c>
      <c r="H816" s="3">
        <f t="shared" si="36"/>
        <v>2117029288148.5999</v>
      </c>
      <c r="J816" s="3">
        <v>317816130</v>
      </c>
      <c r="K816" s="3">
        <f t="shared" si="37"/>
        <v>2032036881187.5</v>
      </c>
      <c r="M816" s="4">
        <f t="shared" si="38"/>
        <v>-4.1826212775937011E-2</v>
      </c>
    </row>
    <row r="817" spans="1:13" x14ac:dyDescent="0.45">
      <c r="A817" s="2">
        <v>44768</v>
      </c>
      <c r="B817" s="1">
        <v>13314.75</v>
      </c>
      <c r="D817" s="2">
        <v>44768</v>
      </c>
      <c r="E817" s="1">
        <v>6259.85</v>
      </c>
      <c r="G817" s="3">
        <v>159137444</v>
      </c>
      <c r="H817" s="3">
        <f t="shared" si="36"/>
        <v>2118875282499</v>
      </c>
      <c r="J817" s="3">
        <v>317816130</v>
      </c>
      <c r="K817" s="3">
        <f t="shared" si="37"/>
        <v>1989481301380.5</v>
      </c>
      <c r="M817" s="4">
        <f t="shared" si="38"/>
        <v>-6.5039053661229973E-2</v>
      </c>
    </row>
    <row r="818" spans="1:13" x14ac:dyDescent="0.45">
      <c r="A818" s="2">
        <v>44767</v>
      </c>
      <c r="B818" s="1">
        <v>12610.65</v>
      </c>
      <c r="D818" s="2">
        <v>44767</v>
      </c>
      <c r="E818" s="1">
        <v>6228.6</v>
      </c>
      <c r="G818" s="3">
        <v>159137444</v>
      </c>
      <c r="H818" s="3">
        <f t="shared" si="36"/>
        <v>2006826608178.5999</v>
      </c>
      <c r="J818" s="3">
        <v>317816130</v>
      </c>
      <c r="K818" s="3">
        <f t="shared" si="37"/>
        <v>1979549547318</v>
      </c>
      <c r="M818" s="4">
        <f t="shared" si="38"/>
        <v>-1.3779428202520316E-2</v>
      </c>
    </row>
    <row r="819" spans="1:13" x14ac:dyDescent="0.45">
      <c r="A819" s="2">
        <v>44764</v>
      </c>
      <c r="B819" s="1">
        <v>12741.05</v>
      </c>
      <c r="D819" s="2">
        <v>44764</v>
      </c>
      <c r="E819" s="1">
        <v>6256.3</v>
      </c>
      <c r="G819" s="3">
        <v>159137444</v>
      </c>
      <c r="H819" s="3">
        <f t="shared" si="36"/>
        <v>2027578130876.2</v>
      </c>
      <c r="J819" s="3">
        <v>317816130</v>
      </c>
      <c r="K819" s="3">
        <f t="shared" si="37"/>
        <v>1988353054119</v>
      </c>
      <c r="M819" s="4">
        <f t="shared" si="38"/>
        <v>-1.9727420477939184E-2</v>
      </c>
    </row>
    <row r="820" spans="1:13" x14ac:dyDescent="0.45">
      <c r="A820" s="2">
        <v>44763</v>
      </c>
      <c r="B820" s="1">
        <v>12718.25</v>
      </c>
      <c r="D820" s="2">
        <v>44763</v>
      </c>
      <c r="E820" s="1">
        <v>6268.8</v>
      </c>
      <c r="G820" s="3">
        <v>159137444</v>
      </c>
      <c r="H820" s="3">
        <f t="shared" si="36"/>
        <v>2023949797153</v>
      </c>
      <c r="J820" s="3">
        <v>317816130</v>
      </c>
      <c r="K820" s="3">
        <f t="shared" si="37"/>
        <v>1992325755744</v>
      </c>
      <c r="M820" s="4">
        <f t="shared" si="38"/>
        <v>-1.5872927064173981E-2</v>
      </c>
    </row>
    <row r="821" spans="1:13" x14ac:dyDescent="0.45">
      <c r="A821" s="2">
        <v>44762</v>
      </c>
      <c r="B821" s="1">
        <v>12417.3</v>
      </c>
      <c r="D821" s="2">
        <v>44762</v>
      </c>
      <c r="E821" s="1">
        <v>6070.3</v>
      </c>
      <c r="G821" s="3">
        <v>159137444</v>
      </c>
      <c r="H821" s="3">
        <f t="shared" si="36"/>
        <v>1976057383381.2</v>
      </c>
      <c r="J821" s="3">
        <v>317816130</v>
      </c>
      <c r="K821" s="3">
        <f t="shared" si="37"/>
        <v>1929239253939</v>
      </c>
      <c r="M821" s="4">
        <f t="shared" si="38"/>
        <v>-2.4267663715948906E-2</v>
      </c>
    </row>
    <row r="822" spans="1:13" x14ac:dyDescent="0.45">
      <c r="A822" s="2">
        <v>44761</v>
      </c>
      <c r="B822" s="1">
        <v>12445.3</v>
      </c>
      <c r="D822" s="2">
        <v>44761</v>
      </c>
      <c r="E822" s="1">
        <v>6062.5</v>
      </c>
      <c r="G822" s="3">
        <v>159137444</v>
      </c>
      <c r="H822" s="3">
        <f t="shared" si="36"/>
        <v>1980513231813.2</v>
      </c>
      <c r="J822" s="3">
        <v>317816130</v>
      </c>
      <c r="K822" s="3">
        <f t="shared" si="37"/>
        <v>1926760288125</v>
      </c>
      <c r="M822" s="4">
        <f t="shared" si="38"/>
        <v>-2.7898096104372661E-2</v>
      </c>
    </row>
    <row r="823" spans="1:13" x14ac:dyDescent="0.45">
      <c r="A823" s="2">
        <v>44760</v>
      </c>
      <c r="B823" s="1">
        <v>12246.65</v>
      </c>
      <c r="D823" s="2">
        <v>44760</v>
      </c>
      <c r="E823" s="1">
        <v>6056.45</v>
      </c>
      <c r="G823" s="3">
        <v>159137444</v>
      </c>
      <c r="H823" s="3">
        <f t="shared" si="36"/>
        <v>1948900578562.5999</v>
      </c>
      <c r="J823" s="3">
        <v>317816130</v>
      </c>
      <c r="K823" s="3">
        <f t="shared" si="37"/>
        <v>1924837500538.5</v>
      </c>
      <c r="M823" s="4">
        <f t="shared" si="38"/>
        <v>-1.2501355577999584E-2</v>
      </c>
    </row>
    <row r="824" spans="1:13" x14ac:dyDescent="0.45">
      <c r="A824" s="2">
        <v>44757</v>
      </c>
      <c r="B824" s="1">
        <v>11838.9</v>
      </c>
      <c r="D824" s="2">
        <v>44757</v>
      </c>
      <c r="E824" s="1">
        <v>5915.45</v>
      </c>
      <c r="G824" s="3">
        <v>159137444</v>
      </c>
      <c r="H824" s="3">
        <f t="shared" si="36"/>
        <v>1884012285771.5999</v>
      </c>
      <c r="J824" s="3">
        <v>317816130</v>
      </c>
      <c r="K824" s="3">
        <f t="shared" si="37"/>
        <v>1880025426208.5</v>
      </c>
      <c r="M824" s="4">
        <f t="shared" si="38"/>
        <v>-2.1206412995915525E-3</v>
      </c>
    </row>
    <row r="825" spans="1:13" x14ac:dyDescent="0.45">
      <c r="A825" s="2">
        <v>44756</v>
      </c>
      <c r="B825" s="1">
        <v>11730.85</v>
      </c>
      <c r="D825" s="2">
        <v>44756</v>
      </c>
      <c r="E825" s="1">
        <v>5832.65</v>
      </c>
      <c r="G825" s="3">
        <v>159137444</v>
      </c>
      <c r="H825" s="3">
        <f t="shared" si="36"/>
        <v>1866817484947.4001</v>
      </c>
      <c r="J825" s="3">
        <v>317816130</v>
      </c>
      <c r="K825" s="3">
        <f t="shared" si="37"/>
        <v>1853710250644.5</v>
      </c>
      <c r="M825" s="4">
        <f t="shared" si="38"/>
        <v>-7.070810715074316E-3</v>
      </c>
    </row>
    <row r="826" spans="1:13" x14ac:dyDescent="0.45">
      <c r="A826" s="2">
        <v>44755</v>
      </c>
      <c r="B826" s="1">
        <v>11769.05</v>
      </c>
      <c r="D826" s="2">
        <v>44755</v>
      </c>
      <c r="E826" s="1">
        <v>5877.85</v>
      </c>
      <c r="G826" s="3">
        <v>159137444</v>
      </c>
      <c r="H826" s="3">
        <f t="shared" si="36"/>
        <v>1872896535308.2</v>
      </c>
      <c r="J826" s="3">
        <v>317816130</v>
      </c>
      <c r="K826" s="3">
        <f t="shared" si="37"/>
        <v>1868075539720.5</v>
      </c>
      <c r="M826" s="4">
        <f t="shared" si="38"/>
        <v>-2.5807283941103876E-3</v>
      </c>
    </row>
    <row r="827" spans="1:13" x14ac:dyDescent="0.45">
      <c r="A827" s="2">
        <v>44754</v>
      </c>
      <c r="B827" s="1">
        <v>11860</v>
      </c>
      <c r="D827" s="2">
        <v>44754</v>
      </c>
      <c r="E827" s="1">
        <v>5873.45</v>
      </c>
      <c r="G827" s="3">
        <v>159137444</v>
      </c>
      <c r="H827" s="3">
        <f t="shared" si="36"/>
        <v>1887370085840</v>
      </c>
      <c r="J827" s="3">
        <v>317816130</v>
      </c>
      <c r="K827" s="3">
        <f t="shared" si="37"/>
        <v>1866677148748.5</v>
      </c>
      <c r="M827" s="4">
        <f t="shared" si="38"/>
        <v>-1.1085439764114247E-2</v>
      </c>
    </row>
    <row r="828" spans="1:13" x14ac:dyDescent="0.45">
      <c r="A828" s="2">
        <v>44753</v>
      </c>
      <c r="B828" s="1">
        <v>11932.65</v>
      </c>
      <c r="D828" s="2">
        <v>44753</v>
      </c>
      <c r="E828" s="1">
        <v>5861.4</v>
      </c>
      <c r="G828" s="3">
        <v>159137444</v>
      </c>
      <c r="H828" s="3">
        <f t="shared" si="36"/>
        <v>1898931421146.5999</v>
      </c>
      <c r="J828" s="3">
        <v>317816130</v>
      </c>
      <c r="K828" s="3">
        <f t="shared" si="37"/>
        <v>1862847464382</v>
      </c>
      <c r="M828" s="4">
        <f t="shared" si="38"/>
        <v>-1.9370322828107023E-2</v>
      </c>
    </row>
    <row r="829" spans="1:13" x14ac:dyDescent="0.45">
      <c r="A829" s="2">
        <v>44750</v>
      </c>
      <c r="B829" s="1">
        <v>12004.8</v>
      </c>
      <c r="D829" s="2">
        <v>44750</v>
      </c>
      <c r="E829" s="1">
        <v>5871.25</v>
      </c>
      <c r="G829" s="3">
        <v>159137444</v>
      </c>
      <c r="H829" s="3">
        <f t="shared" si="36"/>
        <v>1910413187731.2</v>
      </c>
      <c r="J829" s="3">
        <v>317816130</v>
      </c>
      <c r="K829" s="3">
        <f t="shared" si="37"/>
        <v>1865977953262.5</v>
      </c>
      <c r="M829" s="4">
        <f t="shared" si="38"/>
        <v>-2.3813375924945257E-2</v>
      </c>
    </row>
    <row r="830" spans="1:13" x14ac:dyDescent="0.45">
      <c r="A830" s="2">
        <v>44749</v>
      </c>
      <c r="B830" s="1">
        <v>11965.8</v>
      </c>
      <c r="D830" s="2">
        <v>44749</v>
      </c>
      <c r="E830" s="1">
        <v>5859.9</v>
      </c>
      <c r="G830" s="3">
        <v>159137444</v>
      </c>
      <c r="H830" s="3">
        <f t="shared" si="36"/>
        <v>1904206827415.2</v>
      </c>
      <c r="J830" s="3">
        <v>317816130</v>
      </c>
      <c r="K830" s="3">
        <f t="shared" si="37"/>
        <v>1862370740187</v>
      </c>
      <c r="M830" s="4">
        <f t="shared" si="38"/>
        <v>-2.2463887734833765E-2</v>
      </c>
    </row>
    <row r="831" spans="1:13" x14ac:dyDescent="0.45">
      <c r="A831" s="2">
        <v>44748</v>
      </c>
      <c r="B831" s="1">
        <v>12042.55</v>
      </c>
      <c r="D831" s="2">
        <v>44748</v>
      </c>
      <c r="E831" s="1">
        <v>5917.6</v>
      </c>
      <c r="G831" s="3">
        <v>159137444</v>
      </c>
      <c r="H831" s="3">
        <f t="shared" si="36"/>
        <v>1916420626242.2</v>
      </c>
      <c r="J831" s="3">
        <v>317816130</v>
      </c>
      <c r="K831" s="3">
        <f t="shared" si="37"/>
        <v>1880708730888</v>
      </c>
      <c r="M831" s="4">
        <f t="shared" si="38"/>
        <v>-1.8988530636181E-2</v>
      </c>
    </row>
    <row r="832" spans="1:13" x14ac:dyDescent="0.45">
      <c r="A832" s="2">
        <v>44747</v>
      </c>
      <c r="B832" s="1">
        <v>11519.15</v>
      </c>
      <c r="D832" s="2">
        <v>44747</v>
      </c>
      <c r="E832" s="1">
        <v>5662.05</v>
      </c>
      <c r="G832" s="3">
        <v>159137444</v>
      </c>
      <c r="H832" s="3">
        <f t="shared" si="36"/>
        <v>1833128088052.5999</v>
      </c>
      <c r="J832" s="3">
        <v>317816130</v>
      </c>
      <c r="K832" s="3">
        <f t="shared" si="37"/>
        <v>1799490818866.5</v>
      </c>
      <c r="M832" s="4">
        <f t="shared" si="38"/>
        <v>-1.8692659519812471E-2</v>
      </c>
    </row>
    <row r="833" spans="1:13" x14ac:dyDescent="0.45">
      <c r="A833" s="2">
        <v>44746</v>
      </c>
      <c r="B833" s="1">
        <v>11381.75</v>
      </c>
      <c r="D833" s="2">
        <v>44746</v>
      </c>
      <c r="E833" s="1">
        <v>5629.85</v>
      </c>
      <c r="G833" s="3">
        <v>159137444</v>
      </c>
      <c r="H833" s="3">
        <f t="shared" si="36"/>
        <v>1811262603247</v>
      </c>
      <c r="J833" s="3">
        <v>317816130</v>
      </c>
      <c r="K833" s="3">
        <f t="shared" si="37"/>
        <v>1789257139480.5</v>
      </c>
      <c r="M833" s="4">
        <f t="shared" si="38"/>
        <v>-1.2298659192657491E-2</v>
      </c>
    </row>
    <row r="834" spans="1:13" x14ac:dyDescent="0.45">
      <c r="A834" s="2">
        <v>44743</v>
      </c>
      <c r="B834" s="1">
        <v>11326.35</v>
      </c>
      <c r="D834" s="2">
        <v>44743</v>
      </c>
      <c r="E834" s="1">
        <v>5614.8</v>
      </c>
      <c r="G834" s="3">
        <v>159137444</v>
      </c>
      <c r="H834" s="3">
        <f t="shared" si="36"/>
        <v>1802446388849.4001</v>
      </c>
      <c r="J834" s="3">
        <v>317816130</v>
      </c>
      <c r="K834" s="3">
        <f t="shared" si="37"/>
        <v>1784474006724</v>
      </c>
      <c r="M834" s="4">
        <f t="shared" si="38"/>
        <v>-1.0071529233644849E-2</v>
      </c>
    </row>
    <row r="835" spans="1:13" x14ac:dyDescent="0.45">
      <c r="A835" s="2">
        <v>44742</v>
      </c>
      <c r="B835" s="1">
        <v>10929.3</v>
      </c>
      <c r="D835" s="2">
        <v>44742</v>
      </c>
      <c r="E835" s="1">
        <v>5400.45</v>
      </c>
      <c r="G835" s="3">
        <v>159137444</v>
      </c>
      <c r="H835" s="3">
        <f t="shared" si="36"/>
        <v>1739260866709.2</v>
      </c>
      <c r="J835" s="3">
        <v>317816130</v>
      </c>
      <c r="K835" s="3">
        <f t="shared" si="37"/>
        <v>1716350119258.5</v>
      </c>
      <c r="M835" s="4">
        <f t="shared" si="38"/>
        <v>-1.3348527898607188E-2</v>
      </c>
    </row>
    <row r="836" spans="1:13" x14ac:dyDescent="0.45">
      <c r="A836" s="2">
        <v>44741</v>
      </c>
      <c r="B836" s="1">
        <v>11114.45</v>
      </c>
      <c r="D836" s="2">
        <v>44741</v>
      </c>
      <c r="E836" s="1">
        <v>5510.45</v>
      </c>
      <c r="G836" s="3">
        <v>159137444</v>
      </c>
      <c r="H836" s="3">
        <f t="shared" ref="H836:H899" si="39">+G836*B836</f>
        <v>1768725164465.8</v>
      </c>
      <c r="J836" s="3">
        <v>317816130</v>
      </c>
      <c r="K836" s="3">
        <f t="shared" ref="K836:K899" si="40">+J836*E836</f>
        <v>1751309893558.5</v>
      </c>
      <c r="M836" s="4">
        <f t="shared" ref="M836:M899" si="41">1- (H836/K836)</f>
        <v>-9.9441400812929626E-3</v>
      </c>
    </row>
    <row r="837" spans="1:13" x14ac:dyDescent="0.45">
      <c r="A837" s="2">
        <v>44740</v>
      </c>
      <c r="B837" s="1">
        <v>11363.2</v>
      </c>
      <c r="D837" s="2">
        <v>44740</v>
      </c>
      <c r="E837" s="1">
        <v>5575.85</v>
      </c>
      <c r="G837" s="3">
        <v>159137444</v>
      </c>
      <c r="H837" s="3">
        <f t="shared" si="39"/>
        <v>1808310603660.8</v>
      </c>
      <c r="J837" s="3">
        <v>317816130</v>
      </c>
      <c r="K837" s="3">
        <f t="shared" si="40"/>
        <v>1772095068460.5</v>
      </c>
      <c r="M837" s="4">
        <f t="shared" si="41"/>
        <v>-2.0436564518946598E-2</v>
      </c>
    </row>
    <row r="838" spans="1:13" x14ac:dyDescent="0.45">
      <c r="A838" s="2">
        <v>44739</v>
      </c>
      <c r="B838" s="1">
        <v>11594.8</v>
      </c>
      <c r="D838" s="2">
        <v>44739</v>
      </c>
      <c r="E838" s="1">
        <v>5632.45</v>
      </c>
      <c r="G838" s="3">
        <v>159137444</v>
      </c>
      <c r="H838" s="3">
        <f t="shared" si="39"/>
        <v>1845166835691.2</v>
      </c>
      <c r="J838" s="3">
        <v>317816130</v>
      </c>
      <c r="K838" s="3">
        <f t="shared" si="40"/>
        <v>1790083461418.5</v>
      </c>
      <c r="M838" s="4">
        <f t="shared" si="41"/>
        <v>-3.0771400026818219E-2</v>
      </c>
    </row>
    <row r="839" spans="1:13" x14ac:dyDescent="0.45">
      <c r="A839" s="2">
        <v>44736</v>
      </c>
      <c r="B839" s="1">
        <v>11581.2</v>
      </c>
      <c r="D839" s="2">
        <v>44736</v>
      </c>
      <c r="E839" s="1">
        <v>5588</v>
      </c>
      <c r="G839" s="3">
        <v>159137444</v>
      </c>
      <c r="H839" s="3">
        <f t="shared" si="39"/>
        <v>1843002566452.8</v>
      </c>
      <c r="J839" s="3">
        <v>317816130</v>
      </c>
      <c r="K839" s="3">
        <f t="shared" si="40"/>
        <v>1775956534440</v>
      </c>
      <c r="M839" s="4">
        <f t="shared" si="41"/>
        <v>-3.7752068089853985E-2</v>
      </c>
    </row>
    <row r="840" spans="1:13" x14ac:dyDescent="0.45">
      <c r="A840" s="2">
        <v>44735</v>
      </c>
      <c r="B840" s="1">
        <v>11560.2</v>
      </c>
      <c r="D840" s="2">
        <v>44735</v>
      </c>
      <c r="E840" s="1">
        <v>5447.65</v>
      </c>
      <c r="G840" s="3">
        <v>159137444</v>
      </c>
      <c r="H840" s="3">
        <f t="shared" si="39"/>
        <v>1839660680128.8</v>
      </c>
      <c r="J840" s="3">
        <v>317816130</v>
      </c>
      <c r="K840" s="3">
        <f t="shared" si="40"/>
        <v>1731351040594.5</v>
      </c>
      <c r="M840" s="4">
        <f t="shared" si="41"/>
        <v>-6.2557873588194646E-2</v>
      </c>
    </row>
    <row r="841" spans="1:13" x14ac:dyDescent="0.45">
      <c r="A841" s="2">
        <v>44734</v>
      </c>
      <c r="B841" s="1">
        <v>11435</v>
      </c>
      <c r="D841" s="2">
        <v>44734</v>
      </c>
      <c r="E841" s="1">
        <v>5440.3</v>
      </c>
      <c r="G841" s="3">
        <v>159137444</v>
      </c>
      <c r="H841" s="3">
        <f t="shared" si="39"/>
        <v>1819736672140</v>
      </c>
      <c r="J841" s="3">
        <v>317816130</v>
      </c>
      <c r="K841" s="3">
        <f t="shared" si="40"/>
        <v>1729015092039</v>
      </c>
      <c r="M841" s="4">
        <f t="shared" si="41"/>
        <v>-5.2470091509735362E-2</v>
      </c>
    </row>
    <row r="842" spans="1:13" x14ac:dyDescent="0.45">
      <c r="A842" s="2">
        <v>44733</v>
      </c>
      <c r="B842" s="1">
        <v>11735.1</v>
      </c>
      <c r="D842" s="2">
        <v>44733</v>
      </c>
      <c r="E842" s="1">
        <v>5552.1</v>
      </c>
      <c r="G842" s="3">
        <v>159137444</v>
      </c>
      <c r="H842" s="3">
        <f t="shared" si="39"/>
        <v>1867493819084.4001</v>
      </c>
      <c r="J842" s="3">
        <v>317816130</v>
      </c>
      <c r="K842" s="3">
        <f t="shared" si="40"/>
        <v>1764546935373</v>
      </c>
      <c r="M842" s="4">
        <f t="shared" si="41"/>
        <v>-5.8341822281785083E-2</v>
      </c>
    </row>
    <row r="843" spans="1:13" x14ac:dyDescent="0.45">
      <c r="A843" s="2">
        <v>44732</v>
      </c>
      <c r="B843" s="1">
        <v>11713.2</v>
      </c>
      <c r="D843" s="2">
        <v>44732</v>
      </c>
      <c r="E843" s="1">
        <v>5467.15</v>
      </c>
      <c r="G843" s="3">
        <v>159137444</v>
      </c>
      <c r="H843" s="3">
        <f t="shared" si="39"/>
        <v>1864008709060.8</v>
      </c>
      <c r="J843" s="3">
        <v>317816130</v>
      </c>
      <c r="K843" s="3">
        <f t="shared" si="40"/>
        <v>1737548455129.5</v>
      </c>
      <c r="M843" s="4">
        <f t="shared" si="41"/>
        <v>-7.2780850259439145E-2</v>
      </c>
    </row>
    <row r="844" spans="1:13" x14ac:dyDescent="0.45">
      <c r="A844" s="2">
        <v>44729</v>
      </c>
      <c r="B844" s="1">
        <v>11758.4</v>
      </c>
      <c r="D844" s="2">
        <v>44729</v>
      </c>
      <c r="E844" s="1">
        <v>5422.7</v>
      </c>
      <c r="G844" s="3">
        <v>159137444</v>
      </c>
      <c r="H844" s="3">
        <f t="shared" si="39"/>
        <v>1871201721529.5999</v>
      </c>
      <c r="J844" s="3">
        <v>317816130</v>
      </c>
      <c r="K844" s="3">
        <f t="shared" si="40"/>
        <v>1723421528151</v>
      </c>
      <c r="M844" s="4">
        <f t="shared" si="41"/>
        <v>-8.5748141684842683E-2</v>
      </c>
    </row>
    <row r="845" spans="1:13" x14ac:dyDescent="0.45">
      <c r="A845" s="2">
        <v>44728</v>
      </c>
      <c r="B845" s="1">
        <v>11474.5</v>
      </c>
      <c r="D845" s="2">
        <v>44728</v>
      </c>
      <c r="E845" s="1">
        <v>5283.7</v>
      </c>
      <c r="G845" s="3">
        <v>159137444</v>
      </c>
      <c r="H845" s="3">
        <f t="shared" si="39"/>
        <v>1826022601178</v>
      </c>
      <c r="J845" s="3">
        <v>317816130</v>
      </c>
      <c r="K845" s="3">
        <f t="shared" si="40"/>
        <v>1679245086081</v>
      </c>
      <c r="M845" s="4">
        <f t="shared" si="41"/>
        <v>-8.74068450839105E-2</v>
      </c>
    </row>
    <row r="846" spans="1:13" x14ac:dyDescent="0.45">
      <c r="A846" s="2">
        <v>44727</v>
      </c>
      <c r="B846" s="1">
        <v>11813.85</v>
      </c>
      <c r="D846" s="2">
        <v>44727</v>
      </c>
      <c r="E846" s="1">
        <v>5484.85</v>
      </c>
      <c r="G846" s="3">
        <v>159137444</v>
      </c>
      <c r="H846" s="3">
        <f t="shared" si="39"/>
        <v>1880025892799.4001</v>
      </c>
      <c r="J846" s="3">
        <v>317816130</v>
      </c>
      <c r="K846" s="3">
        <f t="shared" si="40"/>
        <v>1743173800630.5</v>
      </c>
      <c r="M846" s="4">
        <f t="shared" si="41"/>
        <v>-7.8507428300839122E-2</v>
      </c>
    </row>
    <row r="847" spans="1:13" x14ac:dyDescent="0.45">
      <c r="A847" s="2">
        <v>44726</v>
      </c>
      <c r="B847" s="1">
        <v>11334.8</v>
      </c>
      <c r="D847" s="2">
        <v>44726</v>
      </c>
      <c r="E847" s="1">
        <v>5375.3</v>
      </c>
      <c r="G847" s="3">
        <v>159137444</v>
      </c>
      <c r="H847" s="3">
        <f t="shared" si="39"/>
        <v>1803791100251.2</v>
      </c>
      <c r="J847" s="3">
        <v>317816130</v>
      </c>
      <c r="K847" s="3">
        <f t="shared" si="40"/>
        <v>1708357043589</v>
      </c>
      <c r="M847" s="4">
        <f t="shared" si="41"/>
        <v>-5.5863062712995459E-2</v>
      </c>
    </row>
    <row r="848" spans="1:13" x14ac:dyDescent="0.45">
      <c r="A848" s="2">
        <v>44725</v>
      </c>
      <c r="B848" s="1">
        <v>11390.9</v>
      </c>
      <c r="D848" s="2">
        <v>44725</v>
      </c>
      <c r="E848" s="1">
        <v>5359.55</v>
      </c>
      <c r="G848" s="3">
        <v>159137444</v>
      </c>
      <c r="H848" s="3">
        <f t="shared" si="39"/>
        <v>1812718710859.5999</v>
      </c>
      <c r="J848" s="3">
        <v>317816130</v>
      </c>
      <c r="K848" s="3">
        <f t="shared" si="40"/>
        <v>1703351439541.5</v>
      </c>
      <c r="M848" s="4">
        <f t="shared" si="41"/>
        <v>-6.4207108867409435E-2</v>
      </c>
    </row>
    <row r="849" spans="1:13" x14ac:dyDescent="0.45">
      <c r="A849" s="2">
        <v>44722</v>
      </c>
      <c r="B849" s="1">
        <v>12250.65</v>
      </c>
      <c r="D849" s="2">
        <v>44722</v>
      </c>
      <c r="E849" s="1">
        <v>5667.85</v>
      </c>
      <c r="G849" s="3">
        <v>159137444</v>
      </c>
      <c r="H849" s="3">
        <f t="shared" si="39"/>
        <v>1949537128338.5999</v>
      </c>
      <c r="J849" s="3">
        <v>317816130</v>
      </c>
      <c r="K849" s="3">
        <f t="shared" si="40"/>
        <v>1801334152420.5</v>
      </c>
      <c r="M849" s="4">
        <f t="shared" si="41"/>
        <v>-8.2274005474750833E-2</v>
      </c>
    </row>
    <row r="850" spans="1:13" x14ac:dyDescent="0.45">
      <c r="A850" s="2">
        <v>44721</v>
      </c>
      <c r="B850" s="1">
        <v>12474.3</v>
      </c>
      <c r="D850" s="2">
        <v>44721</v>
      </c>
      <c r="E850" s="1">
        <v>5897.75</v>
      </c>
      <c r="G850" s="3">
        <v>159137444</v>
      </c>
      <c r="H850" s="3">
        <f t="shared" si="39"/>
        <v>1985128217689.2</v>
      </c>
      <c r="J850" s="3">
        <v>317816130</v>
      </c>
      <c r="K850" s="3">
        <f t="shared" si="40"/>
        <v>1874400080707.5</v>
      </c>
      <c r="M850" s="4">
        <f t="shared" si="41"/>
        <v>-5.9073907497862121E-2</v>
      </c>
    </row>
    <row r="851" spans="1:13" x14ac:dyDescent="0.45">
      <c r="A851" s="2">
        <v>44720</v>
      </c>
      <c r="B851" s="1">
        <v>12464</v>
      </c>
      <c r="D851" s="2">
        <v>44720</v>
      </c>
      <c r="E851" s="1">
        <v>5952.05</v>
      </c>
      <c r="G851" s="3">
        <v>159137444</v>
      </c>
      <c r="H851" s="3">
        <f t="shared" si="39"/>
        <v>1983489102016</v>
      </c>
      <c r="J851" s="3">
        <v>317816130</v>
      </c>
      <c r="K851" s="3">
        <f t="shared" si="40"/>
        <v>1891657496566.5</v>
      </c>
      <c r="M851" s="4">
        <f t="shared" si="41"/>
        <v>-4.8545577418841024E-2</v>
      </c>
    </row>
    <row r="852" spans="1:13" x14ac:dyDescent="0.45">
      <c r="A852" s="2">
        <v>44719</v>
      </c>
      <c r="B852" s="1">
        <v>12336.35</v>
      </c>
      <c r="D852" s="2">
        <v>44719</v>
      </c>
      <c r="E852" s="1">
        <v>5878.7</v>
      </c>
      <c r="G852" s="3">
        <v>159137444</v>
      </c>
      <c r="H852" s="3">
        <f t="shared" si="39"/>
        <v>1963175207289.4001</v>
      </c>
      <c r="J852" s="3">
        <v>317816130</v>
      </c>
      <c r="K852" s="3">
        <f t="shared" si="40"/>
        <v>1868345683431</v>
      </c>
      <c r="M852" s="4">
        <f t="shared" si="41"/>
        <v>-5.0755877083868528E-2</v>
      </c>
    </row>
    <row r="853" spans="1:13" x14ac:dyDescent="0.45">
      <c r="A853" s="2">
        <v>44718</v>
      </c>
      <c r="B853" s="1">
        <v>12520.55</v>
      </c>
      <c r="D853" s="2">
        <v>44718</v>
      </c>
      <c r="E853" s="1">
        <v>6020.2</v>
      </c>
      <c r="G853" s="3">
        <v>159137444</v>
      </c>
      <c r="H853" s="3">
        <f t="shared" si="39"/>
        <v>1992488324474.2</v>
      </c>
      <c r="J853" s="3">
        <v>317816130</v>
      </c>
      <c r="K853" s="3">
        <f t="shared" si="40"/>
        <v>1913316665826</v>
      </c>
      <c r="M853" s="4">
        <f t="shared" si="41"/>
        <v>-4.1379276134628107E-2</v>
      </c>
    </row>
    <row r="854" spans="1:13" x14ac:dyDescent="0.45">
      <c r="A854" s="2">
        <v>44715</v>
      </c>
      <c r="B854" s="1">
        <v>12691.05</v>
      </c>
      <c r="D854" s="2">
        <v>44715</v>
      </c>
      <c r="E854" s="1">
        <v>6030.1</v>
      </c>
      <c r="G854" s="3">
        <v>159137444</v>
      </c>
      <c r="H854" s="3">
        <f t="shared" si="39"/>
        <v>2019621258676.2</v>
      </c>
      <c r="J854" s="3">
        <v>317816130</v>
      </c>
      <c r="K854" s="3">
        <f t="shared" si="40"/>
        <v>1916463045513</v>
      </c>
      <c r="M854" s="4">
        <f t="shared" si="41"/>
        <v>-5.382739490058186E-2</v>
      </c>
    </row>
    <row r="855" spans="1:13" x14ac:dyDescent="0.45">
      <c r="A855" s="2">
        <v>44714</v>
      </c>
      <c r="B855" s="1">
        <v>12961.4</v>
      </c>
      <c r="D855" s="2">
        <v>44714</v>
      </c>
      <c r="E855" s="1">
        <v>6059.45</v>
      </c>
      <c r="G855" s="3">
        <v>159137444</v>
      </c>
      <c r="H855" s="3">
        <f t="shared" si="39"/>
        <v>2062644066661.5999</v>
      </c>
      <c r="J855" s="3">
        <v>317816130</v>
      </c>
      <c r="K855" s="3">
        <f t="shared" si="40"/>
        <v>1925790948928.5</v>
      </c>
      <c r="M855" s="4">
        <f t="shared" si="41"/>
        <v>-7.1063330009544456E-2</v>
      </c>
    </row>
    <row r="856" spans="1:13" x14ac:dyDescent="0.45">
      <c r="A856" s="2">
        <v>44713</v>
      </c>
      <c r="B856" s="1">
        <v>12598.75</v>
      </c>
      <c r="D856" s="2">
        <v>44713</v>
      </c>
      <c r="E856" s="1">
        <v>6010</v>
      </c>
      <c r="G856" s="3">
        <v>159137444</v>
      </c>
      <c r="H856" s="3">
        <f t="shared" si="39"/>
        <v>2004932872595</v>
      </c>
      <c r="J856" s="3">
        <v>317816130</v>
      </c>
      <c r="K856" s="3">
        <f t="shared" si="40"/>
        <v>1910074941300</v>
      </c>
      <c r="M856" s="4">
        <f t="shared" si="41"/>
        <v>-4.9661889826395855E-2</v>
      </c>
    </row>
    <row r="857" spans="1:13" x14ac:dyDescent="0.45">
      <c r="A857" s="2">
        <v>44712</v>
      </c>
      <c r="B857" s="1">
        <v>12914</v>
      </c>
      <c r="D857" s="2">
        <v>44712</v>
      </c>
      <c r="E857" s="1">
        <v>6078.85</v>
      </c>
      <c r="G857" s="3">
        <v>159137444</v>
      </c>
      <c r="H857" s="3">
        <f t="shared" si="39"/>
        <v>2055100951816</v>
      </c>
      <c r="J857" s="3">
        <v>317816130</v>
      </c>
      <c r="K857" s="3">
        <f t="shared" si="40"/>
        <v>1931956581850.5</v>
      </c>
      <c r="M857" s="4">
        <f t="shared" si="41"/>
        <v>-6.3740754384628895E-2</v>
      </c>
    </row>
    <row r="858" spans="1:13" x14ac:dyDescent="0.45">
      <c r="A858" s="2">
        <v>44711</v>
      </c>
      <c r="B858" s="1">
        <v>12930</v>
      </c>
      <c r="D858" s="2">
        <v>44711</v>
      </c>
      <c r="E858" s="1">
        <v>6111.4</v>
      </c>
      <c r="G858" s="3">
        <v>159137444</v>
      </c>
      <c r="H858" s="3">
        <f t="shared" si="39"/>
        <v>2057647150920</v>
      </c>
      <c r="J858" s="3">
        <v>317816130</v>
      </c>
      <c r="K858" s="3">
        <f t="shared" si="40"/>
        <v>1942301496882</v>
      </c>
      <c r="M858" s="4">
        <f t="shared" si="41"/>
        <v>-5.9386070712073247E-2</v>
      </c>
    </row>
    <row r="859" spans="1:13" x14ac:dyDescent="0.45">
      <c r="A859" s="2">
        <v>44708</v>
      </c>
      <c r="B859" s="1">
        <v>12766</v>
      </c>
      <c r="D859" s="2">
        <v>44708</v>
      </c>
      <c r="E859" s="1">
        <v>5993.65</v>
      </c>
      <c r="G859" s="3">
        <v>159137444</v>
      </c>
      <c r="H859" s="3">
        <f t="shared" si="39"/>
        <v>2031548610104</v>
      </c>
      <c r="J859" s="3">
        <v>317816130</v>
      </c>
      <c r="K859" s="3">
        <f t="shared" si="40"/>
        <v>1904878647574.5</v>
      </c>
      <c r="M859" s="4">
        <f t="shared" si="41"/>
        <v>-6.6497654688286945E-2</v>
      </c>
    </row>
    <row r="860" spans="1:13" x14ac:dyDescent="0.45">
      <c r="A860" s="2">
        <v>44707</v>
      </c>
      <c r="B860" s="1">
        <v>12473.05</v>
      </c>
      <c r="D860" s="2">
        <v>44707</v>
      </c>
      <c r="E860" s="1">
        <v>5820.45</v>
      </c>
      <c r="G860" s="3">
        <v>159137444</v>
      </c>
      <c r="H860" s="3">
        <f t="shared" si="39"/>
        <v>1984929295884.2</v>
      </c>
      <c r="J860" s="3">
        <v>317816130</v>
      </c>
      <c r="K860" s="3">
        <f t="shared" si="40"/>
        <v>1849832893858.5</v>
      </c>
      <c r="M860" s="4">
        <f t="shared" si="41"/>
        <v>-7.3031678955555401E-2</v>
      </c>
    </row>
    <row r="861" spans="1:13" x14ac:dyDescent="0.45">
      <c r="A861" s="2">
        <v>44706</v>
      </c>
      <c r="B861" s="1">
        <v>12402.2</v>
      </c>
      <c r="D861" s="2">
        <v>44706</v>
      </c>
      <c r="E861" s="1">
        <v>5826.85</v>
      </c>
      <c r="G861" s="3">
        <v>159137444</v>
      </c>
      <c r="H861" s="3">
        <f t="shared" si="39"/>
        <v>1973654407976.8</v>
      </c>
      <c r="J861" s="3">
        <v>317816130</v>
      </c>
      <c r="K861" s="3">
        <f t="shared" si="40"/>
        <v>1851866917090.5</v>
      </c>
      <c r="M861" s="4">
        <f t="shared" si="41"/>
        <v>-6.5764710067633958E-2</v>
      </c>
    </row>
    <row r="862" spans="1:13" x14ac:dyDescent="0.45">
      <c r="A862" s="2">
        <v>44705</v>
      </c>
      <c r="B862" s="1">
        <v>12359.75</v>
      </c>
      <c r="D862" s="2">
        <v>44705</v>
      </c>
      <c r="E862" s="1">
        <v>5799</v>
      </c>
      <c r="G862" s="3">
        <v>159137444</v>
      </c>
      <c r="H862" s="3">
        <f t="shared" si="39"/>
        <v>1966899023479</v>
      </c>
      <c r="J862" s="3">
        <v>317816130</v>
      </c>
      <c r="K862" s="3">
        <f t="shared" si="40"/>
        <v>1843015737870</v>
      </c>
      <c r="M862" s="4">
        <f t="shared" si="41"/>
        <v>-6.7217703605816137E-2</v>
      </c>
    </row>
    <row r="863" spans="1:13" x14ac:dyDescent="0.45">
      <c r="A863" s="2">
        <v>44704</v>
      </c>
      <c r="B863" s="1">
        <v>12573.65</v>
      </c>
      <c r="D863" s="2">
        <v>44704</v>
      </c>
      <c r="E863" s="1">
        <v>5793.3</v>
      </c>
      <c r="G863" s="3">
        <v>159137444</v>
      </c>
      <c r="H863" s="3">
        <f t="shared" si="39"/>
        <v>2000938522750.5999</v>
      </c>
      <c r="J863" s="3">
        <v>317816130</v>
      </c>
      <c r="K863" s="3">
        <f t="shared" si="40"/>
        <v>1841204185929</v>
      </c>
      <c r="M863" s="4">
        <f t="shared" si="41"/>
        <v>-8.6755362627531696E-2</v>
      </c>
    </row>
    <row r="864" spans="1:13" x14ac:dyDescent="0.45">
      <c r="A864" s="2">
        <v>44701</v>
      </c>
      <c r="B864" s="1">
        <v>12562.15</v>
      </c>
      <c r="D864" s="2">
        <v>44701</v>
      </c>
      <c r="E864" s="1">
        <v>5776.45</v>
      </c>
      <c r="G864" s="3">
        <v>159137444</v>
      </c>
      <c r="H864" s="3">
        <f t="shared" si="39"/>
        <v>1999108442144.5999</v>
      </c>
      <c r="J864" s="3">
        <v>317816130</v>
      </c>
      <c r="K864" s="3">
        <f t="shared" si="40"/>
        <v>1835848984138.5</v>
      </c>
      <c r="M864" s="4">
        <f t="shared" si="41"/>
        <v>-8.8928588035639411E-2</v>
      </c>
    </row>
    <row r="865" spans="1:13" x14ac:dyDescent="0.45">
      <c r="A865" s="2">
        <v>44700</v>
      </c>
      <c r="B865" s="1">
        <v>12408.7</v>
      </c>
      <c r="D865" s="2">
        <v>44700</v>
      </c>
      <c r="E865" s="1">
        <v>5707.5</v>
      </c>
      <c r="G865" s="3">
        <v>159137444</v>
      </c>
      <c r="H865" s="3">
        <f t="shared" si="39"/>
        <v>1974688801362.8</v>
      </c>
      <c r="J865" s="3">
        <v>317816130</v>
      </c>
      <c r="K865" s="3">
        <f t="shared" si="40"/>
        <v>1813935561975</v>
      </c>
      <c r="M865" s="4">
        <f t="shared" si="41"/>
        <v>-8.8621251359542796E-2</v>
      </c>
    </row>
    <row r="866" spans="1:13" x14ac:dyDescent="0.45">
      <c r="A866" s="2">
        <v>44699</v>
      </c>
      <c r="B866" s="1">
        <v>12758.8</v>
      </c>
      <c r="D866" s="2">
        <v>44699</v>
      </c>
      <c r="E866" s="1">
        <v>5817.05</v>
      </c>
      <c r="G866" s="3">
        <v>159137444</v>
      </c>
      <c r="H866" s="3">
        <f t="shared" si="39"/>
        <v>2030402820507.2</v>
      </c>
      <c r="J866" s="3">
        <v>317816130</v>
      </c>
      <c r="K866" s="3">
        <f t="shared" si="40"/>
        <v>1848752319016.5</v>
      </c>
      <c r="M866" s="4">
        <f t="shared" si="41"/>
        <v>-9.8255726103610552E-2</v>
      </c>
    </row>
    <row r="867" spans="1:13" x14ac:dyDescent="0.45">
      <c r="A867" s="2">
        <v>44698</v>
      </c>
      <c r="B867" s="1">
        <v>12973.65</v>
      </c>
      <c r="D867" s="2">
        <v>44698</v>
      </c>
      <c r="E867" s="1">
        <v>5837.15</v>
      </c>
      <c r="G867" s="3">
        <v>159137444</v>
      </c>
      <c r="H867" s="3">
        <f t="shared" si="39"/>
        <v>2064593500350.5999</v>
      </c>
      <c r="J867" s="3">
        <v>317816130</v>
      </c>
      <c r="K867" s="3">
        <f t="shared" si="40"/>
        <v>1855140423229.5</v>
      </c>
      <c r="M867" s="4">
        <f t="shared" si="41"/>
        <v>-0.1129041632096377</v>
      </c>
    </row>
    <row r="868" spans="1:13" x14ac:dyDescent="0.45">
      <c r="A868" s="2">
        <v>44697</v>
      </c>
      <c r="B868" s="1">
        <v>12663.85</v>
      </c>
      <c r="D868" s="2">
        <v>44697</v>
      </c>
      <c r="E868" s="1">
        <v>5646.05</v>
      </c>
      <c r="G868" s="3">
        <v>159137444</v>
      </c>
      <c r="H868" s="3">
        <f t="shared" si="39"/>
        <v>2015292720199.4001</v>
      </c>
      <c r="J868" s="3">
        <v>317816130</v>
      </c>
      <c r="K868" s="3">
        <f t="shared" si="40"/>
        <v>1794405760786.5</v>
      </c>
      <c r="M868" s="4">
        <f t="shared" si="41"/>
        <v>-0.1230975536525718</v>
      </c>
    </row>
    <row r="869" spans="1:13" x14ac:dyDescent="0.45">
      <c r="A869" s="2">
        <v>44694</v>
      </c>
      <c r="B869" s="1">
        <v>12613.7</v>
      </c>
      <c r="D869" s="2">
        <v>44694</v>
      </c>
      <c r="E869" s="1">
        <v>5515.2</v>
      </c>
      <c r="G869" s="3">
        <v>159137444</v>
      </c>
      <c r="H869" s="3">
        <f t="shared" si="39"/>
        <v>2007311977382.8</v>
      </c>
      <c r="J869" s="3">
        <v>317816130</v>
      </c>
      <c r="K869" s="3">
        <f t="shared" si="40"/>
        <v>1752819520176</v>
      </c>
      <c r="M869" s="4">
        <f t="shared" si="41"/>
        <v>-0.14519033721238261</v>
      </c>
    </row>
    <row r="870" spans="1:13" x14ac:dyDescent="0.45">
      <c r="A870" s="2">
        <v>44693</v>
      </c>
      <c r="B870" s="1">
        <v>12848.95</v>
      </c>
      <c r="D870" s="2">
        <v>44693</v>
      </c>
      <c r="E870" s="1">
        <v>5588</v>
      </c>
      <c r="G870" s="3">
        <v>159137444</v>
      </c>
      <c r="H870" s="3">
        <f t="shared" si="39"/>
        <v>2044749061083.8</v>
      </c>
      <c r="J870" s="3">
        <v>317816130</v>
      </c>
      <c r="K870" s="3">
        <f t="shared" si="40"/>
        <v>1775956534440</v>
      </c>
      <c r="M870" s="4">
        <f t="shared" si="41"/>
        <v>-0.15135084751866201</v>
      </c>
    </row>
    <row r="871" spans="1:13" x14ac:dyDescent="0.45">
      <c r="A871" s="2">
        <v>44692</v>
      </c>
      <c r="B871" s="1">
        <v>13318.7</v>
      </c>
      <c r="D871" s="2">
        <v>44692</v>
      </c>
      <c r="E871" s="1">
        <v>5806.45</v>
      </c>
      <c r="G871" s="3">
        <v>159137444</v>
      </c>
      <c r="H871" s="3">
        <f t="shared" si="39"/>
        <v>2119503875402.8</v>
      </c>
      <c r="J871" s="3">
        <v>317816130</v>
      </c>
      <c r="K871" s="3">
        <f t="shared" si="40"/>
        <v>1845383468038.5</v>
      </c>
      <c r="M871" s="4">
        <f t="shared" si="41"/>
        <v>-0.14854387291963156</v>
      </c>
    </row>
    <row r="872" spans="1:13" x14ac:dyDescent="0.45">
      <c r="A872" s="2">
        <v>44691</v>
      </c>
      <c r="B872" s="1">
        <v>13626.45</v>
      </c>
      <c r="D872" s="2">
        <v>44691</v>
      </c>
      <c r="E872" s="1">
        <v>5929.95</v>
      </c>
      <c r="G872" s="3">
        <v>159137444</v>
      </c>
      <c r="H872" s="3">
        <f t="shared" si="39"/>
        <v>2168478423793.8</v>
      </c>
      <c r="J872" s="3">
        <v>317816130</v>
      </c>
      <c r="K872" s="3">
        <f t="shared" si="40"/>
        <v>1884633760093.5</v>
      </c>
      <c r="M872" s="4">
        <f t="shared" si="41"/>
        <v>-0.15060998572275275</v>
      </c>
    </row>
    <row r="873" spans="1:13" x14ac:dyDescent="0.45">
      <c r="A873" s="2">
        <v>44690</v>
      </c>
      <c r="B873" s="1">
        <v>13775.5</v>
      </c>
      <c r="D873" s="2">
        <v>44690</v>
      </c>
      <c r="E873" s="1">
        <v>6038.4</v>
      </c>
      <c r="G873" s="3">
        <v>159137444</v>
      </c>
      <c r="H873" s="3">
        <f t="shared" si="39"/>
        <v>2192197859822</v>
      </c>
      <c r="J873" s="3">
        <v>317816130</v>
      </c>
      <c r="K873" s="3">
        <f t="shared" si="40"/>
        <v>1919100919392</v>
      </c>
      <c r="M873" s="4">
        <f t="shared" si="41"/>
        <v>-0.1423046269586079</v>
      </c>
    </row>
    <row r="874" spans="1:13" x14ac:dyDescent="0.45">
      <c r="A874" s="2">
        <v>44687</v>
      </c>
      <c r="B874" s="1">
        <v>13643.5</v>
      </c>
      <c r="D874" s="2">
        <v>44687</v>
      </c>
      <c r="E874" s="1">
        <v>6000.95</v>
      </c>
      <c r="G874" s="3">
        <v>159137444</v>
      </c>
      <c r="H874" s="3">
        <f t="shared" si="39"/>
        <v>2171191717214</v>
      </c>
      <c r="J874" s="3">
        <v>317816130</v>
      </c>
      <c r="K874" s="3">
        <f t="shared" si="40"/>
        <v>1907198705323.5</v>
      </c>
      <c r="M874" s="4">
        <f t="shared" si="41"/>
        <v>-0.13841924868846922</v>
      </c>
    </row>
    <row r="875" spans="1:13" x14ac:dyDescent="0.45">
      <c r="A875" s="2">
        <v>44686</v>
      </c>
      <c r="B875" s="1">
        <v>14136.3</v>
      </c>
      <c r="D875" s="2">
        <v>44686</v>
      </c>
      <c r="E875" s="1">
        <v>6311.1</v>
      </c>
      <c r="G875" s="3">
        <v>159137444</v>
      </c>
      <c r="H875" s="3">
        <f t="shared" si="39"/>
        <v>2249614649617.1997</v>
      </c>
      <c r="J875" s="3">
        <v>317816130</v>
      </c>
      <c r="K875" s="3">
        <f t="shared" si="40"/>
        <v>2005769378043</v>
      </c>
      <c r="M875" s="4">
        <f t="shared" si="41"/>
        <v>-0.12157193855064041</v>
      </c>
    </row>
    <row r="876" spans="1:13" x14ac:dyDescent="0.45">
      <c r="A876" s="2">
        <v>44685</v>
      </c>
      <c r="B876" s="1">
        <v>14325.4</v>
      </c>
      <c r="D876" s="2">
        <v>44685</v>
      </c>
      <c r="E876" s="1">
        <v>6340.9</v>
      </c>
      <c r="G876" s="3">
        <v>159137444</v>
      </c>
      <c r="H876" s="3">
        <f t="shared" si="39"/>
        <v>2279707540277.6001</v>
      </c>
      <c r="J876" s="3">
        <v>317816130</v>
      </c>
      <c r="K876" s="3">
        <f t="shared" si="40"/>
        <v>2015240298717</v>
      </c>
      <c r="M876" s="4">
        <f t="shared" si="41"/>
        <v>-0.13123360113876892</v>
      </c>
    </row>
    <row r="877" spans="1:13" x14ac:dyDescent="0.45">
      <c r="A877" s="2">
        <v>44683</v>
      </c>
      <c r="B877" s="1">
        <v>14950.9</v>
      </c>
      <c r="D877" s="2">
        <v>44683</v>
      </c>
      <c r="E877" s="1">
        <v>6625.15</v>
      </c>
      <c r="G877" s="3">
        <v>159137444</v>
      </c>
      <c r="H877" s="3">
        <f t="shared" si="39"/>
        <v>2379248011499.6001</v>
      </c>
      <c r="J877" s="3">
        <v>317816130</v>
      </c>
      <c r="K877" s="3">
        <f t="shared" si="40"/>
        <v>2105579533669.5</v>
      </c>
      <c r="M877" s="4">
        <f t="shared" si="41"/>
        <v>-0.12997299482350311</v>
      </c>
    </row>
    <row r="878" spans="1:13" x14ac:dyDescent="0.45">
      <c r="A878" s="2">
        <v>44680</v>
      </c>
      <c r="B878" s="1">
        <v>14908.45</v>
      </c>
      <c r="D878" s="2">
        <v>44680</v>
      </c>
      <c r="E878" s="1">
        <v>6672.2</v>
      </c>
      <c r="G878" s="3">
        <v>159137444</v>
      </c>
      <c r="H878" s="3">
        <f t="shared" si="39"/>
        <v>2372492627001.8003</v>
      </c>
      <c r="J878" s="3">
        <v>317816130</v>
      </c>
      <c r="K878" s="3">
        <f t="shared" si="40"/>
        <v>2120532782586</v>
      </c>
      <c r="M878" s="4">
        <f t="shared" si="41"/>
        <v>-0.11881912247946191</v>
      </c>
    </row>
    <row r="879" spans="1:13" x14ac:dyDescent="0.45">
      <c r="A879" s="2">
        <v>44679</v>
      </c>
      <c r="B879" s="1">
        <v>15013.8</v>
      </c>
      <c r="D879" s="2">
        <v>44679</v>
      </c>
      <c r="E879" s="1">
        <v>6725.05</v>
      </c>
      <c r="G879" s="3">
        <v>159137444</v>
      </c>
      <c r="H879" s="3">
        <f t="shared" si="39"/>
        <v>2389257756727.1997</v>
      </c>
      <c r="J879" s="3">
        <v>317816130</v>
      </c>
      <c r="K879" s="3">
        <f t="shared" si="40"/>
        <v>2137329365056.5</v>
      </c>
      <c r="M879" s="4">
        <f t="shared" si="41"/>
        <v>-0.11787064539022984</v>
      </c>
    </row>
    <row r="880" spans="1:13" x14ac:dyDescent="0.45">
      <c r="A880" s="2">
        <v>44678</v>
      </c>
      <c r="B880" s="1">
        <v>14828.55</v>
      </c>
      <c r="D880" s="2">
        <v>44678</v>
      </c>
      <c r="E880" s="1">
        <v>6716.65</v>
      </c>
      <c r="G880" s="3">
        <v>159137444</v>
      </c>
      <c r="H880" s="3">
        <f t="shared" si="39"/>
        <v>2359777545226.1997</v>
      </c>
      <c r="J880" s="3">
        <v>317816130</v>
      </c>
      <c r="K880" s="3">
        <f t="shared" si="40"/>
        <v>2134659709564.5</v>
      </c>
      <c r="M880" s="4">
        <f t="shared" si="41"/>
        <v>-0.1054584178700908</v>
      </c>
    </row>
    <row r="881" spans="1:13" x14ac:dyDescent="0.45">
      <c r="A881" s="2">
        <v>44677</v>
      </c>
      <c r="B881" s="1">
        <v>15426.35</v>
      </c>
      <c r="D881" s="2">
        <v>44677</v>
      </c>
      <c r="E881" s="1">
        <v>7240.7</v>
      </c>
      <c r="G881" s="3">
        <v>159137444</v>
      </c>
      <c r="H881" s="3">
        <f t="shared" si="39"/>
        <v>2454909909249.3999</v>
      </c>
      <c r="J881" s="3">
        <v>317816130</v>
      </c>
      <c r="K881" s="3">
        <f t="shared" si="40"/>
        <v>2301211252491</v>
      </c>
      <c r="M881" s="4">
        <f t="shared" si="41"/>
        <v>-6.6790329046073182E-2</v>
      </c>
    </row>
    <row r="882" spans="1:13" x14ac:dyDescent="0.45">
      <c r="A882" s="2">
        <v>44676</v>
      </c>
      <c r="B882" s="1">
        <v>15263.2</v>
      </c>
      <c r="D882" s="2">
        <v>44676</v>
      </c>
      <c r="E882" s="1">
        <v>7009.05</v>
      </c>
      <c r="G882" s="3">
        <v>159137444</v>
      </c>
      <c r="H882" s="3">
        <f t="shared" si="39"/>
        <v>2428946635260.8003</v>
      </c>
      <c r="J882" s="3">
        <v>317816130</v>
      </c>
      <c r="K882" s="3">
        <f t="shared" si="40"/>
        <v>2227589145976.5</v>
      </c>
      <c r="M882" s="4">
        <f t="shared" si="41"/>
        <v>-9.0392561684004669E-2</v>
      </c>
    </row>
    <row r="883" spans="1:13" x14ac:dyDescent="0.45">
      <c r="A883" s="2">
        <v>44673</v>
      </c>
      <c r="B883" s="1">
        <v>15450.05</v>
      </c>
      <c r="D883" s="2">
        <v>44673</v>
      </c>
      <c r="E883" s="1">
        <v>7109.35</v>
      </c>
      <c r="G883" s="3">
        <v>159137444</v>
      </c>
      <c r="H883" s="3">
        <f t="shared" si="39"/>
        <v>2458681466672.1997</v>
      </c>
      <c r="J883" s="3">
        <v>317816130</v>
      </c>
      <c r="K883" s="3">
        <f t="shared" si="40"/>
        <v>2259466103815.5</v>
      </c>
      <c r="M883" s="4">
        <f t="shared" si="41"/>
        <v>-8.8169219498486884E-2</v>
      </c>
    </row>
    <row r="884" spans="1:13" x14ac:dyDescent="0.45">
      <c r="A884" s="2">
        <v>44672</v>
      </c>
      <c r="B884" s="1">
        <v>15834.85</v>
      </c>
      <c r="D884" s="2">
        <v>44672</v>
      </c>
      <c r="E884" s="1">
        <v>7137.1</v>
      </c>
      <c r="G884" s="3">
        <v>159137444</v>
      </c>
      <c r="H884" s="3">
        <f t="shared" si="39"/>
        <v>2519917555123.3999</v>
      </c>
      <c r="J884" s="3">
        <v>317816130</v>
      </c>
      <c r="K884" s="3">
        <f t="shared" si="40"/>
        <v>2268285501423</v>
      </c>
      <c r="M884" s="4">
        <f t="shared" si="41"/>
        <v>-0.11093491253307386</v>
      </c>
    </row>
    <row r="885" spans="1:13" x14ac:dyDescent="0.45">
      <c r="A885" s="2">
        <v>44671</v>
      </c>
      <c r="B885" s="1">
        <v>15509.1</v>
      </c>
      <c r="D885" s="2">
        <v>44671</v>
      </c>
      <c r="E885" s="1">
        <v>7032.35</v>
      </c>
      <c r="G885" s="3">
        <v>159137444</v>
      </c>
      <c r="H885" s="3">
        <f t="shared" si="39"/>
        <v>2468078532740.3999</v>
      </c>
      <c r="J885" s="3">
        <v>317816130</v>
      </c>
      <c r="K885" s="3">
        <f t="shared" si="40"/>
        <v>2234994261805.5</v>
      </c>
      <c r="M885" s="4">
        <f t="shared" si="41"/>
        <v>-0.10428853215336975</v>
      </c>
    </row>
    <row r="886" spans="1:13" x14ac:dyDescent="0.45">
      <c r="A886" s="2">
        <v>44670</v>
      </c>
      <c r="B886" s="1">
        <v>15689.05</v>
      </c>
      <c r="D886" s="2">
        <v>44670</v>
      </c>
      <c r="E886" s="1">
        <v>7276.15</v>
      </c>
      <c r="G886" s="3">
        <v>159137444</v>
      </c>
      <c r="H886" s="3">
        <f t="shared" si="39"/>
        <v>2496715315788.1997</v>
      </c>
      <c r="J886" s="3">
        <v>317816130</v>
      </c>
      <c r="K886" s="3">
        <f t="shared" si="40"/>
        <v>2312477834299.5</v>
      </c>
      <c r="M886" s="4">
        <f t="shared" si="41"/>
        <v>-7.9671025925534655E-2</v>
      </c>
    </row>
    <row r="887" spans="1:13" x14ac:dyDescent="0.45">
      <c r="A887" s="2">
        <v>44669</v>
      </c>
      <c r="B887" s="1">
        <v>15820.5</v>
      </c>
      <c r="D887" s="2">
        <v>44669</v>
      </c>
      <c r="E887" s="1">
        <v>7257.85</v>
      </c>
      <c r="G887" s="3">
        <v>159137444</v>
      </c>
      <c r="H887" s="3">
        <f t="shared" si="39"/>
        <v>2517633932802</v>
      </c>
      <c r="J887" s="3">
        <v>317816130</v>
      </c>
      <c r="K887" s="3">
        <f t="shared" si="40"/>
        <v>2306661799120.5</v>
      </c>
      <c r="M887" s="4">
        <f t="shared" si="41"/>
        <v>-9.1462100669435387E-2</v>
      </c>
    </row>
    <row r="888" spans="1:13" x14ac:dyDescent="0.45">
      <c r="A888" s="2">
        <v>44664</v>
      </c>
      <c r="B888" s="1">
        <v>16081.8</v>
      </c>
      <c r="D888" s="2">
        <v>44664</v>
      </c>
      <c r="E888" s="1">
        <v>7328.45</v>
      </c>
      <c r="G888" s="3">
        <v>159137444</v>
      </c>
      <c r="H888" s="3">
        <f t="shared" si="39"/>
        <v>2559216546919.1997</v>
      </c>
      <c r="J888" s="3">
        <v>317816130</v>
      </c>
      <c r="K888" s="3">
        <f t="shared" si="40"/>
        <v>2329099617898.5</v>
      </c>
      <c r="M888" s="4">
        <f t="shared" si="41"/>
        <v>-9.8800810086573154E-2</v>
      </c>
    </row>
    <row r="889" spans="1:13" x14ac:dyDescent="0.45">
      <c r="A889" s="2">
        <v>44663</v>
      </c>
      <c r="B889" s="1">
        <v>16305.75</v>
      </c>
      <c r="D889" s="2">
        <v>44663</v>
      </c>
      <c r="E889" s="1">
        <v>7272.25</v>
      </c>
      <c r="G889" s="3">
        <v>159137444</v>
      </c>
      <c r="H889" s="3">
        <f t="shared" si="39"/>
        <v>2594855377503</v>
      </c>
      <c r="J889" s="3">
        <v>317816130</v>
      </c>
      <c r="K889" s="3">
        <f t="shared" si="40"/>
        <v>2311238351392.5</v>
      </c>
      <c r="M889" s="4">
        <f t="shared" si="41"/>
        <v>-0.12271214950185616</v>
      </c>
    </row>
    <row r="890" spans="1:13" x14ac:dyDescent="0.45">
      <c r="A890" s="2">
        <v>44662</v>
      </c>
      <c r="B890" s="1">
        <v>16574.05</v>
      </c>
      <c r="D890" s="2">
        <v>44662</v>
      </c>
      <c r="E890" s="1">
        <v>7336.5</v>
      </c>
      <c r="G890" s="3">
        <v>159137444</v>
      </c>
      <c r="H890" s="3">
        <f t="shared" si="39"/>
        <v>2637551953728.1997</v>
      </c>
      <c r="J890" s="3">
        <v>317816130</v>
      </c>
      <c r="K890" s="3">
        <f t="shared" si="40"/>
        <v>2331658037745</v>
      </c>
      <c r="M890" s="4">
        <f t="shared" si="41"/>
        <v>-0.13119158600076575</v>
      </c>
    </row>
    <row r="891" spans="1:13" x14ac:dyDescent="0.45">
      <c r="A891" s="2">
        <v>44659</v>
      </c>
      <c r="B891" s="1">
        <v>16733.75</v>
      </c>
      <c r="D891" s="2">
        <v>44659</v>
      </c>
      <c r="E891" s="1">
        <v>7363.55</v>
      </c>
      <c r="G891" s="3">
        <v>159137444</v>
      </c>
      <c r="H891" s="3">
        <f t="shared" si="39"/>
        <v>2662966203535</v>
      </c>
      <c r="J891" s="3">
        <v>317816130</v>
      </c>
      <c r="K891" s="3">
        <f t="shared" si="40"/>
        <v>2340254964061.5</v>
      </c>
      <c r="M891" s="4">
        <f t="shared" si="41"/>
        <v>-0.13789576111546253</v>
      </c>
    </row>
    <row r="892" spans="1:13" x14ac:dyDescent="0.45">
      <c r="A892" s="2">
        <v>44658</v>
      </c>
      <c r="B892" s="1">
        <v>16564.55</v>
      </c>
      <c r="D892" s="2">
        <v>44658</v>
      </c>
      <c r="E892" s="1">
        <v>7291.25</v>
      </c>
      <c r="G892" s="3">
        <v>159137444</v>
      </c>
      <c r="H892" s="3">
        <f t="shared" si="39"/>
        <v>2636040148010.1997</v>
      </c>
      <c r="J892" s="3">
        <v>317816130</v>
      </c>
      <c r="K892" s="3">
        <f t="shared" si="40"/>
        <v>2317276857862.5</v>
      </c>
      <c r="M892" s="4">
        <f t="shared" si="41"/>
        <v>-0.13755943277392113</v>
      </c>
    </row>
    <row r="893" spans="1:13" x14ac:dyDescent="0.45">
      <c r="A893" s="2">
        <v>44657</v>
      </c>
      <c r="B893" s="1">
        <v>16718.099999999999</v>
      </c>
      <c r="D893" s="2">
        <v>44657</v>
      </c>
      <c r="E893" s="1">
        <v>7336.95</v>
      </c>
      <c r="G893" s="3">
        <v>159137444</v>
      </c>
      <c r="H893" s="3">
        <f t="shared" si="39"/>
        <v>2660475702536.3999</v>
      </c>
      <c r="J893" s="3">
        <v>317816130</v>
      </c>
      <c r="K893" s="3">
        <f t="shared" si="40"/>
        <v>2331801055003.5</v>
      </c>
      <c r="M893" s="4">
        <f t="shared" si="41"/>
        <v>-0.14095312583706088</v>
      </c>
    </row>
    <row r="894" spans="1:13" x14ac:dyDescent="0.45">
      <c r="A894" s="2">
        <v>44656</v>
      </c>
      <c r="B894" s="1">
        <v>16818.849999999999</v>
      </c>
      <c r="D894" s="2">
        <v>44656</v>
      </c>
      <c r="E894" s="1">
        <v>7389.25</v>
      </c>
      <c r="G894" s="3">
        <v>159137444</v>
      </c>
      <c r="H894" s="3">
        <f t="shared" si="39"/>
        <v>2676508800019.3999</v>
      </c>
      <c r="J894" s="3">
        <v>317816130</v>
      </c>
      <c r="K894" s="3">
        <f t="shared" si="40"/>
        <v>2348422838602.5</v>
      </c>
      <c r="M894" s="4">
        <f t="shared" si="41"/>
        <v>-0.13970480784973849</v>
      </c>
    </row>
    <row r="895" spans="1:13" x14ac:dyDescent="0.45">
      <c r="A895" s="2">
        <v>44655</v>
      </c>
      <c r="B895" s="1">
        <v>17186.55</v>
      </c>
      <c r="D895" s="2">
        <v>44655</v>
      </c>
      <c r="E895" s="1">
        <v>7488.65</v>
      </c>
      <c r="G895" s="3">
        <v>159137444</v>
      </c>
      <c r="H895" s="3">
        <f t="shared" si="39"/>
        <v>2735023638178.1997</v>
      </c>
      <c r="J895" s="3">
        <v>317816130</v>
      </c>
      <c r="K895" s="3">
        <f t="shared" si="40"/>
        <v>2380013761924.5</v>
      </c>
      <c r="M895" s="4">
        <f t="shared" si="41"/>
        <v>-0.14916295104387789</v>
      </c>
    </row>
    <row r="896" spans="1:13" x14ac:dyDescent="0.45">
      <c r="A896" s="2">
        <v>44652</v>
      </c>
      <c r="B896" s="1">
        <v>17134.05</v>
      </c>
      <c r="D896" s="2">
        <v>44652</v>
      </c>
      <c r="E896" s="1">
        <v>7413.1</v>
      </c>
      <c r="G896" s="3">
        <v>159137444</v>
      </c>
      <c r="H896" s="3">
        <f t="shared" si="39"/>
        <v>2726668922368.1997</v>
      </c>
      <c r="J896" s="3">
        <v>317816130</v>
      </c>
      <c r="K896" s="3">
        <f t="shared" si="40"/>
        <v>2356002753303</v>
      </c>
      <c r="M896" s="4">
        <f t="shared" si="41"/>
        <v>-0.15732841082020976</v>
      </c>
    </row>
    <row r="897" spans="1:13" x14ac:dyDescent="0.45">
      <c r="A897" s="2">
        <v>44651</v>
      </c>
      <c r="B897" s="1">
        <v>17052.150000000001</v>
      </c>
      <c r="D897" s="2">
        <v>44651</v>
      </c>
      <c r="E897" s="1">
        <v>7259.1</v>
      </c>
      <c r="G897" s="3">
        <v>159137444</v>
      </c>
      <c r="H897" s="3">
        <f t="shared" si="39"/>
        <v>2713635565704.6001</v>
      </c>
      <c r="J897" s="3">
        <v>317816130</v>
      </c>
      <c r="K897" s="3">
        <f t="shared" si="40"/>
        <v>2307059069283</v>
      </c>
      <c r="M897" s="4">
        <f t="shared" si="41"/>
        <v>-0.17623150695831913</v>
      </c>
    </row>
    <row r="898" spans="1:13" x14ac:dyDescent="0.45">
      <c r="A898" s="2">
        <v>44650</v>
      </c>
      <c r="B898" s="1">
        <v>17127.5</v>
      </c>
      <c r="D898" s="2">
        <v>44650</v>
      </c>
      <c r="E898" s="1">
        <v>7254</v>
      </c>
      <c r="G898" s="3">
        <v>159137444</v>
      </c>
      <c r="H898" s="3">
        <f t="shared" si="39"/>
        <v>2725626572110</v>
      </c>
      <c r="J898" s="3">
        <v>317816130</v>
      </c>
      <c r="K898" s="3">
        <f t="shared" si="40"/>
        <v>2305438207020</v>
      </c>
      <c r="M898" s="4">
        <f t="shared" si="41"/>
        <v>-0.18225965190068294</v>
      </c>
    </row>
    <row r="899" spans="1:13" x14ac:dyDescent="0.45">
      <c r="A899" s="2">
        <v>44649</v>
      </c>
      <c r="B899" s="1">
        <v>16496.8</v>
      </c>
      <c r="D899" s="2">
        <v>44649</v>
      </c>
      <c r="E899" s="1">
        <v>7036.75</v>
      </c>
      <c r="G899" s="3">
        <v>159137444</v>
      </c>
      <c r="H899" s="3">
        <f t="shared" si="39"/>
        <v>2625258586179.1997</v>
      </c>
      <c r="J899" s="3">
        <v>317816130</v>
      </c>
      <c r="K899" s="3">
        <f t="shared" si="40"/>
        <v>2236392652777.5</v>
      </c>
      <c r="M899" s="4">
        <f t="shared" si="41"/>
        <v>-0.17388088487893461</v>
      </c>
    </row>
    <row r="900" spans="1:13" x14ac:dyDescent="0.45">
      <c r="A900" s="2">
        <v>44648</v>
      </c>
      <c r="B900" s="1">
        <v>16519</v>
      </c>
      <c r="D900" s="2">
        <v>44648</v>
      </c>
      <c r="E900" s="1">
        <v>7000.05</v>
      </c>
      <c r="G900" s="3">
        <v>159137444</v>
      </c>
      <c r="H900" s="3">
        <f t="shared" ref="H900:H963" si="42">+G900*B900</f>
        <v>2628791437436</v>
      </c>
      <c r="J900" s="3">
        <v>317816130</v>
      </c>
      <c r="K900" s="3">
        <f t="shared" ref="K900:K963" si="43">+J900*E900</f>
        <v>2224728800806.5</v>
      </c>
      <c r="M900" s="4">
        <f t="shared" ref="M900:M963" si="44">1- (H900/K900)</f>
        <v>-0.18162332257442837</v>
      </c>
    </row>
    <row r="901" spans="1:13" x14ac:dyDescent="0.45">
      <c r="A901" s="2">
        <v>44645</v>
      </c>
      <c r="B901" s="1">
        <v>16340.85</v>
      </c>
      <c r="D901" s="2">
        <v>44645</v>
      </c>
      <c r="E901" s="1">
        <v>6972.55</v>
      </c>
      <c r="G901" s="3">
        <v>159137444</v>
      </c>
      <c r="H901" s="3">
        <f t="shared" si="42"/>
        <v>2600441101787.3999</v>
      </c>
      <c r="J901" s="3">
        <v>317816130</v>
      </c>
      <c r="K901" s="3">
        <f t="shared" si="43"/>
        <v>2215988857231.5</v>
      </c>
      <c r="M901" s="4">
        <f t="shared" si="44"/>
        <v>-0.173490152399145</v>
      </c>
    </row>
    <row r="902" spans="1:13" x14ac:dyDescent="0.45">
      <c r="A902" s="2">
        <v>44644</v>
      </c>
      <c r="B902" s="1">
        <v>16377.55</v>
      </c>
      <c r="D902" s="2">
        <v>44644</v>
      </c>
      <c r="E902" s="1">
        <v>6998.15</v>
      </c>
      <c r="G902" s="3">
        <v>159137444</v>
      </c>
      <c r="H902" s="3">
        <f t="shared" si="42"/>
        <v>2606281445982.1997</v>
      </c>
      <c r="J902" s="3">
        <v>317816130</v>
      </c>
      <c r="K902" s="3">
        <f t="shared" si="43"/>
        <v>2224124950159.5</v>
      </c>
      <c r="M902" s="4">
        <f t="shared" si="44"/>
        <v>-0.17182330327048123</v>
      </c>
    </row>
    <row r="903" spans="1:13" x14ac:dyDescent="0.45">
      <c r="A903" s="2">
        <v>44643</v>
      </c>
      <c r="B903" s="1">
        <v>16393.75</v>
      </c>
      <c r="D903" s="2">
        <v>44643</v>
      </c>
      <c r="E903" s="1">
        <v>6998.15</v>
      </c>
      <c r="G903" s="3">
        <v>159137444</v>
      </c>
      <c r="H903" s="3">
        <f t="shared" si="42"/>
        <v>2608859472575</v>
      </c>
      <c r="J903" s="3">
        <v>317816130</v>
      </c>
      <c r="K903" s="3">
        <f t="shared" si="43"/>
        <v>2224124950159.5</v>
      </c>
      <c r="M903" s="4">
        <f t="shared" si="44"/>
        <v>-0.17298242276716924</v>
      </c>
    </row>
    <row r="904" spans="1:13" x14ac:dyDescent="0.45">
      <c r="A904" s="2">
        <v>44642</v>
      </c>
      <c r="B904" s="1">
        <v>16500.95</v>
      </c>
      <c r="D904" s="2">
        <v>44642</v>
      </c>
      <c r="E904" s="1">
        <v>6985</v>
      </c>
      <c r="G904" s="3">
        <v>159137444</v>
      </c>
      <c r="H904" s="3">
        <f t="shared" si="42"/>
        <v>2625919006571.8003</v>
      </c>
      <c r="J904" s="3">
        <v>317816130</v>
      </c>
      <c r="K904" s="3">
        <f t="shared" si="43"/>
        <v>2219945668050</v>
      </c>
      <c r="M904" s="4">
        <f t="shared" si="44"/>
        <v>-0.1828753488721222</v>
      </c>
    </row>
    <row r="905" spans="1:13" x14ac:dyDescent="0.45">
      <c r="A905" s="2">
        <v>44641</v>
      </c>
      <c r="B905" s="1">
        <v>16177.3</v>
      </c>
      <c r="D905" s="2">
        <v>44641</v>
      </c>
      <c r="E905" s="1">
        <v>6869.95</v>
      </c>
      <c r="G905" s="3">
        <v>159137444</v>
      </c>
      <c r="H905" s="3">
        <f t="shared" si="42"/>
        <v>2574414172821.1997</v>
      </c>
      <c r="J905" s="3">
        <v>317816130</v>
      </c>
      <c r="K905" s="3">
        <f t="shared" si="43"/>
        <v>2183380922293.5</v>
      </c>
      <c r="M905" s="4">
        <f t="shared" si="44"/>
        <v>-0.17909529506969624</v>
      </c>
    </row>
    <row r="906" spans="1:13" x14ac:dyDescent="0.45">
      <c r="A906" s="2">
        <v>44637</v>
      </c>
      <c r="B906" s="1">
        <v>16377.4</v>
      </c>
      <c r="D906" s="2">
        <v>44637</v>
      </c>
      <c r="E906" s="1">
        <v>6996.85</v>
      </c>
      <c r="G906" s="3">
        <v>159137444</v>
      </c>
      <c r="H906" s="3">
        <f t="shared" si="42"/>
        <v>2606257575365.6001</v>
      </c>
      <c r="J906" s="3">
        <v>317816130</v>
      </c>
      <c r="K906" s="3">
        <f t="shared" si="43"/>
        <v>2223711789190.5</v>
      </c>
      <c r="M906" s="4">
        <f t="shared" si="44"/>
        <v>-0.17203029099124345</v>
      </c>
    </row>
    <row r="907" spans="1:13" x14ac:dyDescent="0.45">
      <c r="A907" s="2">
        <v>44636</v>
      </c>
      <c r="B907" s="1">
        <v>16116.95</v>
      </c>
      <c r="D907" s="2">
        <v>44636</v>
      </c>
      <c r="E907" s="1">
        <v>6840.1</v>
      </c>
      <c r="G907" s="3">
        <v>159137444</v>
      </c>
      <c r="H907" s="3">
        <f t="shared" si="42"/>
        <v>2564810228075.8003</v>
      </c>
      <c r="J907" s="3">
        <v>317816130</v>
      </c>
      <c r="K907" s="3">
        <f t="shared" si="43"/>
        <v>2173894110813</v>
      </c>
      <c r="M907" s="4">
        <f t="shared" si="44"/>
        <v>-0.17982298002390018</v>
      </c>
    </row>
    <row r="908" spans="1:13" x14ac:dyDescent="0.45">
      <c r="A908" s="2">
        <v>44635</v>
      </c>
      <c r="B908" s="1">
        <v>15709.05</v>
      </c>
      <c r="D908" s="2">
        <v>44635</v>
      </c>
      <c r="E908" s="1">
        <v>6664.85</v>
      </c>
      <c r="G908" s="3">
        <v>159137444</v>
      </c>
      <c r="H908" s="3">
        <f t="shared" si="42"/>
        <v>2499898064668.1997</v>
      </c>
      <c r="J908" s="3">
        <v>317816130</v>
      </c>
      <c r="K908" s="3">
        <f t="shared" si="43"/>
        <v>2118196834030.5</v>
      </c>
      <c r="M908" s="4">
        <f t="shared" si="44"/>
        <v>-0.18020102027600493</v>
      </c>
    </row>
    <row r="909" spans="1:13" x14ac:dyDescent="0.45">
      <c r="A909" s="2">
        <v>44634</v>
      </c>
      <c r="B909" s="1">
        <v>15671.9</v>
      </c>
      <c r="D909" s="2">
        <v>44634</v>
      </c>
      <c r="E909" s="1">
        <v>6665</v>
      </c>
      <c r="G909" s="3">
        <v>159137444</v>
      </c>
      <c r="H909" s="3">
        <f t="shared" si="42"/>
        <v>2493986108623.6001</v>
      </c>
      <c r="J909" s="3">
        <v>317816130</v>
      </c>
      <c r="K909" s="3">
        <f t="shared" si="43"/>
        <v>2118244506450</v>
      </c>
      <c r="M909" s="4">
        <f t="shared" si="44"/>
        <v>-0.17738348950249927</v>
      </c>
    </row>
    <row r="910" spans="1:13" x14ac:dyDescent="0.45">
      <c r="A910" s="2">
        <v>44631</v>
      </c>
      <c r="B910" s="1">
        <v>15564.85</v>
      </c>
      <c r="D910" s="2">
        <v>44631</v>
      </c>
      <c r="E910" s="1">
        <v>6627.2</v>
      </c>
      <c r="G910" s="3">
        <v>159137444</v>
      </c>
      <c r="H910" s="3">
        <f t="shared" si="42"/>
        <v>2476950445243.3999</v>
      </c>
      <c r="J910" s="3">
        <v>317816130</v>
      </c>
      <c r="K910" s="3">
        <f t="shared" si="43"/>
        <v>2106231056736</v>
      </c>
      <c r="M910" s="4">
        <f t="shared" si="44"/>
        <v>-0.176010788237972</v>
      </c>
    </row>
    <row r="911" spans="1:13" x14ac:dyDescent="0.45">
      <c r="A911" s="2">
        <v>44630</v>
      </c>
      <c r="B911" s="1">
        <v>15466.95</v>
      </c>
      <c r="D911" s="2">
        <v>44630</v>
      </c>
      <c r="E911" s="1">
        <v>6583.5</v>
      </c>
      <c r="G911" s="3">
        <v>159137444</v>
      </c>
      <c r="H911" s="3">
        <f t="shared" si="42"/>
        <v>2461370889475.8003</v>
      </c>
      <c r="J911" s="3">
        <v>317816130</v>
      </c>
      <c r="K911" s="3">
        <f t="shared" si="43"/>
        <v>2092342491855</v>
      </c>
      <c r="M911" s="4">
        <f t="shared" si="44"/>
        <v>-0.17637093308449336</v>
      </c>
    </row>
    <row r="912" spans="1:13" x14ac:dyDescent="0.45">
      <c r="A912" s="2">
        <v>44629</v>
      </c>
      <c r="B912" s="1">
        <v>15018.85</v>
      </c>
      <c r="D912" s="2">
        <v>44629</v>
      </c>
      <c r="E912" s="1">
        <v>6473</v>
      </c>
      <c r="G912" s="3">
        <v>159137444</v>
      </c>
      <c r="H912" s="3">
        <f t="shared" si="42"/>
        <v>2390061400819.3999</v>
      </c>
      <c r="J912" s="3">
        <v>317816130</v>
      </c>
      <c r="K912" s="3">
        <f t="shared" si="43"/>
        <v>2057223809490</v>
      </c>
      <c r="M912" s="4">
        <f t="shared" si="44"/>
        <v>-0.16178968461963916</v>
      </c>
    </row>
    <row r="913" spans="1:13" x14ac:dyDescent="0.45">
      <c r="A913" s="2">
        <v>44628</v>
      </c>
      <c r="B913" s="1">
        <v>14456.1</v>
      </c>
      <c r="D913" s="2">
        <v>44628</v>
      </c>
      <c r="E913" s="1">
        <v>6157.15</v>
      </c>
      <c r="G913" s="3">
        <v>159137444</v>
      </c>
      <c r="H913" s="3">
        <f t="shared" si="42"/>
        <v>2300506804208.3999</v>
      </c>
      <c r="J913" s="3">
        <v>317816130</v>
      </c>
      <c r="K913" s="3">
        <f t="shared" si="43"/>
        <v>1956841584829.5</v>
      </c>
      <c r="M913" s="4">
        <f t="shared" si="44"/>
        <v>-0.17562240195792023</v>
      </c>
    </row>
    <row r="914" spans="1:13" x14ac:dyDescent="0.45">
      <c r="A914" s="2">
        <v>44627</v>
      </c>
      <c r="B914" s="1">
        <v>14368.2</v>
      </c>
      <c r="D914" s="2">
        <v>44627</v>
      </c>
      <c r="E914" s="1">
        <v>6122.55</v>
      </c>
      <c r="G914" s="3">
        <v>159137444</v>
      </c>
      <c r="H914" s="3">
        <f t="shared" si="42"/>
        <v>2286518622880.8003</v>
      </c>
      <c r="J914" s="3">
        <v>317816130</v>
      </c>
      <c r="K914" s="3">
        <f t="shared" si="43"/>
        <v>1945845146731.5</v>
      </c>
      <c r="M914" s="4">
        <f t="shared" si="44"/>
        <v>-0.17507738307004583</v>
      </c>
    </row>
    <row r="915" spans="1:13" x14ac:dyDescent="0.45">
      <c r="A915" s="2">
        <v>44624</v>
      </c>
      <c r="B915" s="1">
        <v>15329.95</v>
      </c>
      <c r="D915" s="2">
        <v>44624</v>
      </c>
      <c r="E915" s="1">
        <v>6539.25</v>
      </c>
      <c r="G915" s="3">
        <v>159137444</v>
      </c>
      <c r="H915" s="3">
        <f t="shared" si="42"/>
        <v>2439569059647.8003</v>
      </c>
      <c r="J915" s="3">
        <v>317816130</v>
      </c>
      <c r="K915" s="3">
        <f t="shared" si="43"/>
        <v>2078279128102.5</v>
      </c>
      <c r="M915" s="4">
        <f t="shared" si="44"/>
        <v>-0.17384090840346533</v>
      </c>
    </row>
    <row r="916" spans="1:13" x14ac:dyDescent="0.45">
      <c r="A916" s="2">
        <v>44623</v>
      </c>
      <c r="B916" s="1">
        <v>15701.35</v>
      </c>
      <c r="D916" s="2">
        <v>44623</v>
      </c>
      <c r="E916" s="1">
        <v>6747.85</v>
      </c>
      <c r="G916" s="3">
        <v>159137444</v>
      </c>
      <c r="H916" s="3">
        <f t="shared" si="42"/>
        <v>2498672706349.3999</v>
      </c>
      <c r="J916" s="3">
        <v>317816130</v>
      </c>
      <c r="K916" s="3">
        <f t="shared" si="43"/>
        <v>2144575572820.5</v>
      </c>
      <c r="M916" s="4">
        <f t="shared" si="44"/>
        <v>-0.16511291931913541</v>
      </c>
    </row>
    <row r="917" spans="1:13" x14ac:dyDescent="0.45">
      <c r="A917" s="2">
        <v>44622</v>
      </c>
      <c r="B917" s="1">
        <v>16061.9</v>
      </c>
      <c r="D917" s="2">
        <v>44622</v>
      </c>
      <c r="E917" s="1">
        <v>6830.2</v>
      </c>
      <c r="G917" s="3">
        <v>159137444</v>
      </c>
      <c r="H917" s="3">
        <f t="shared" si="42"/>
        <v>2556049711783.6001</v>
      </c>
      <c r="J917" s="3">
        <v>317816130</v>
      </c>
      <c r="K917" s="3">
        <f t="shared" si="43"/>
        <v>2170747731126</v>
      </c>
      <c r="M917" s="4">
        <f t="shared" si="44"/>
        <v>-0.17749735500482955</v>
      </c>
    </row>
    <row r="918" spans="1:13" x14ac:dyDescent="0.45">
      <c r="A918" s="2">
        <v>44620</v>
      </c>
      <c r="B918" s="1">
        <v>16007.35</v>
      </c>
      <c r="D918" s="2">
        <v>44620</v>
      </c>
      <c r="E918" s="1">
        <v>7001.85</v>
      </c>
      <c r="G918" s="3">
        <v>159137444</v>
      </c>
      <c r="H918" s="3">
        <f t="shared" si="42"/>
        <v>2547368764213.3999</v>
      </c>
      <c r="J918" s="3">
        <v>317816130</v>
      </c>
      <c r="K918" s="3">
        <f t="shared" si="43"/>
        <v>2225300869840.5</v>
      </c>
      <c r="M918" s="4">
        <f t="shared" si="44"/>
        <v>-0.14473004470446482</v>
      </c>
    </row>
    <row r="919" spans="1:13" x14ac:dyDescent="0.45">
      <c r="A919" s="2">
        <v>44617</v>
      </c>
      <c r="B919" s="1">
        <v>15771.65</v>
      </c>
      <c r="D919" s="2">
        <v>44617</v>
      </c>
      <c r="E919" s="1">
        <v>6969.15</v>
      </c>
      <c r="G919" s="3">
        <v>159137444</v>
      </c>
      <c r="H919" s="3">
        <f t="shared" si="42"/>
        <v>2509860068662.6001</v>
      </c>
      <c r="J919" s="3">
        <v>317816130</v>
      </c>
      <c r="K919" s="3">
        <f t="shared" si="43"/>
        <v>2214908282389.5</v>
      </c>
      <c r="M919" s="4">
        <f t="shared" si="44"/>
        <v>-0.13316659141971265</v>
      </c>
    </row>
    <row r="920" spans="1:13" x14ac:dyDescent="0.45">
      <c r="A920" s="2">
        <v>44616</v>
      </c>
      <c r="B920" s="1">
        <v>15246.4</v>
      </c>
      <c r="D920" s="2">
        <v>44616</v>
      </c>
      <c r="E920" s="1">
        <v>6626.1</v>
      </c>
      <c r="G920" s="3">
        <v>159137444</v>
      </c>
      <c r="H920" s="3">
        <f t="shared" si="42"/>
        <v>2426273126201.6001</v>
      </c>
      <c r="J920" s="3">
        <v>317816130</v>
      </c>
      <c r="K920" s="3">
        <f t="shared" si="43"/>
        <v>2105881458993</v>
      </c>
      <c r="M920" s="4">
        <f t="shared" si="44"/>
        <v>-0.15214135906861848</v>
      </c>
    </row>
    <row r="921" spans="1:13" x14ac:dyDescent="0.45">
      <c r="A921" s="2">
        <v>44615</v>
      </c>
      <c r="B921" s="1">
        <v>16146.45</v>
      </c>
      <c r="D921" s="2">
        <v>44615</v>
      </c>
      <c r="E921" s="1">
        <v>7050.2</v>
      </c>
      <c r="G921" s="3">
        <v>159137444</v>
      </c>
      <c r="H921" s="3">
        <f t="shared" si="42"/>
        <v>2569504782673.8003</v>
      </c>
      <c r="J921" s="3">
        <v>317816130</v>
      </c>
      <c r="K921" s="3">
        <f t="shared" si="43"/>
        <v>2240667279726</v>
      </c>
      <c r="M921" s="4">
        <f t="shared" si="44"/>
        <v>-0.14675873831121056</v>
      </c>
    </row>
    <row r="922" spans="1:13" x14ac:dyDescent="0.45">
      <c r="A922" s="2">
        <v>44614</v>
      </c>
      <c r="B922" s="1">
        <v>16222.3</v>
      </c>
      <c r="D922" s="2">
        <v>44614</v>
      </c>
      <c r="E922" s="1">
        <v>7010</v>
      </c>
      <c r="G922" s="3">
        <v>159137444</v>
      </c>
      <c r="H922" s="3">
        <f t="shared" si="42"/>
        <v>2581575357801.1997</v>
      </c>
      <c r="J922" s="3">
        <v>317816130</v>
      </c>
      <c r="K922" s="3">
        <f t="shared" si="43"/>
        <v>2227891071300</v>
      </c>
      <c r="M922" s="4">
        <f t="shared" si="44"/>
        <v>-0.15875295298653036</v>
      </c>
    </row>
    <row r="923" spans="1:13" x14ac:dyDescent="0.45">
      <c r="A923" s="2">
        <v>44613</v>
      </c>
      <c r="B923" s="1">
        <v>16004.05</v>
      </c>
      <c r="D923" s="2">
        <v>44613</v>
      </c>
      <c r="E923" s="1">
        <v>7006.1</v>
      </c>
      <c r="G923" s="3">
        <v>159137444</v>
      </c>
      <c r="H923" s="3">
        <f t="shared" si="42"/>
        <v>2546843610648.1997</v>
      </c>
      <c r="J923" s="3">
        <v>317816130</v>
      </c>
      <c r="K923" s="3">
        <f t="shared" si="43"/>
        <v>2226651588393</v>
      </c>
      <c r="M923" s="4">
        <f t="shared" si="44"/>
        <v>-0.14379978615616551</v>
      </c>
    </row>
    <row r="924" spans="1:13" x14ac:dyDescent="0.45">
      <c r="A924" s="2">
        <v>44610</v>
      </c>
      <c r="B924" s="1">
        <v>16101.3</v>
      </c>
      <c r="D924" s="2">
        <v>44610</v>
      </c>
      <c r="E924" s="1">
        <v>7032.15</v>
      </c>
      <c r="G924" s="3">
        <v>159137444</v>
      </c>
      <c r="H924" s="3">
        <f t="shared" si="42"/>
        <v>2562319727077.1997</v>
      </c>
      <c r="J924" s="3">
        <v>317816130</v>
      </c>
      <c r="K924" s="3">
        <f t="shared" si="43"/>
        <v>2234930698579.5</v>
      </c>
      <c r="M924" s="4">
        <f t="shared" si="44"/>
        <v>-0.14648732898330352</v>
      </c>
    </row>
    <row r="925" spans="1:13" x14ac:dyDescent="0.45">
      <c r="A925" s="2">
        <v>44609</v>
      </c>
      <c r="B925" s="1">
        <v>16175.55</v>
      </c>
      <c r="D925" s="2">
        <v>44609</v>
      </c>
      <c r="E925" s="1">
        <v>7084.45</v>
      </c>
      <c r="G925" s="3">
        <v>159137444</v>
      </c>
      <c r="H925" s="3">
        <f t="shared" si="42"/>
        <v>2574135682294.1997</v>
      </c>
      <c r="J925" s="3">
        <v>317816130</v>
      </c>
      <c r="K925" s="3">
        <f t="shared" si="43"/>
        <v>2251552482178.5</v>
      </c>
      <c r="M925" s="4">
        <f t="shared" si="44"/>
        <v>-0.14327145499339311</v>
      </c>
    </row>
    <row r="926" spans="1:13" x14ac:dyDescent="0.45">
      <c r="A926" s="2">
        <v>44608</v>
      </c>
      <c r="B926" s="1">
        <v>16279.95</v>
      </c>
      <c r="D926" s="2">
        <v>44608</v>
      </c>
      <c r="E926" s="1">
        <v>7072.9</v>
      </c>
      <c r="G926" s="3">
        <v>159137444</v>
      </c>
      <c r="H926" s="3">
        <f t="shared" si="42"/>
        <v>2590749631447.8003</v>
      </c>
      <c r="J926" s="3">
        <v>317816130</v>
      </c>
      <c r="K926" s="3">
        <f t="shared" si="43"/>
        <v>2247881705877</v>
      </c>
      <c r="M926" s="4">
        <f t="shared" si="44"/>
        <v>-0.15252934559429221</v>
      </c>
    </row>
    <row r="927" spans="1:13" x14ac:dyDescent="0.45">
      <c r="A927" s="2">
        <v>44607</v>
      </c>
      <c r="B927" s="1">
        <v>16365.8</v>
      </c>
      <c r="D927" s="2">
        <v>44607</v>
      </c>
      <c r="E927" s="1">
        <v>7137.9</v>
      </c>
      <c r="G927" s="3">
        <v>159137444</v>
      </c>
      <c r="H927" s="3">
        <f t="shared" si="42"/>
        <v>2604411581015.1997</v>
      </c>
      <c r="J927" s="3">
        <v>317816130</v>
      </c>
      <c r="K927" s="3">
        <f t="shared" si="43"/>
        <v>2268539754327</v>
      </c>
      <c r="M927" s="4">
        <f t="shared" si="44"/>
        <v>-0.14805639885638322</v>
      </c>
    </row>
    <row r="928" spans="1:13" x14ac:dyDescent="0.45">
      <c r="A928" s="2">
        <v>44606</v>
      </c>
      <c r="B928" s="1">
        <v>15681.3</v>
      </c>
      <c r="D928" s="2">
        <v>44606</v>
      </c>
      <c r="E928" s="1">
        <v>6789.65</v>
      </c>
      <c r="G928" s="3">
        <v>159137444</v>
      </c>
      <c r="H928" s="3">
        <f t="shared" si="42"/>
        <v>2495482000597.1997</v>
      </c>
      <c r="J928" s="3">
        <v>317816130</v>
      </c>
      <c r="K928" s="3">
        <f t="shared" si="43"/>
        <v>2157860287054.5</v>
      </c>
      <c r="M928" s="4">
        <f t="shared" si="44"/>
        <v>-0.15646134069391326</v>
      </c>
    </row>
    <row r="929" spans="1:13" x14ac:dyDescent="0.45">
      <c r="A929" s="2">
        <v>44603</v>
      </c>
      <c r="B929" s="1">
        <v>16103.95</v>
      </c>
      <c r="D929" s="2">
        <v>44603</v>
      </c>
      <c r="E929" s="1">
        <v>7007</v>
      </c>
      <c r="G929" s="3">
        <v>159137444</v>
      </c>
      <c r="H929" s="3">
        <f t="shared" si="42"/>
        <v>2562741441303.8003</v>
      </c>
      <c r="J929" s="3">
        <v>317816130</v>
      </c>
      <c r="K929" s="3">
        <f t="shared" si="43"/>
        <v>2226937622910</v>
      </c>
      <c r="M929" s="4">
        <f t="shared" si="44"/>
        <v>-0.15079174869523126</v>
      </c>
    </row>
    <row r="930" spans="1:13" x14ac:dyDescent="0.45">
      <c r="A930" s="2">
        <v>44602</v>
      </c>
      <c r="B930" s="1">
        <v>16389.2</v>
      </c>
      <c r="D930" s="2">
        <v>44602</v>
      </c>
      <c r="E930" s="1">
        <v>7139.5</v>
      </c>
      <c r="G930" s="3">
        <v>159137444</v>
      </c>
      <c r="H930" s="3">
        <f t="shared" si="42"/>
        <v>2608135397204.8003</v>
      </c>
      <c r="J930" s="3">
        <v>317816130</v>
      </c>
      <c r="K930" s="3">
        <f t="shared" si="43"/>
        <v>2269048260135</v>
      </c>
      <c r="M930" s="4">
        <f t="shared" si="44"/>
        <v>-0.14944024903623077</v>
      </c>
    </row>
    <row r="931" spans="1:13" x14ac:dyDescent="0.45">
      <c r="A931" s="2">
        <v>44601</v>
      </c>
      <c r="B931" s="1">
        <v>16263.55</v>
      </c>
      <c r="D931" s="2">
        <v>44601</v>
      </c>
      <c r="E931" s="1">
        <v>7115.7</v>
      </c>
      <c r="G931" s="3">
        <v>159137444</v>
      </c>
      <c r="H931" s="3">
        <f t="shared" si="42"/>
        <v>2588139777366.1997</v>
      </c>
      <c r="J931" s="3">
        <v>317816130</v>
      </c>
      <c r="K931" s="3">
        <f t="shared" si="43"/>
        <v>2261484236241</v>
      </c>
      <c r="M931" s="4">
        <f t="shared" si="44"/>
        <v>-0.14444298832175839</v>
      </c>
    </row>
    <row r="932" spans="1:13" x14ac:dyDescent="0.45">
      <c r="A932" s="2">
        <v>44600</v>
      </c>
      <c r="B932" s="1">
        <v>15975.2</v>
      </c>
      <c r="D932" s="2">
        <v>44600</v>
      </c>
      <c r="E932" s="1">
        <v>7051.05</v>
      </c>
      <c r="G932" s="3">
        <v>159137444</v>
      </c>
      <c r="H932" s="3">
        <f t="shared" si="42"/>
        <v>2542252495388.8003</v>
      </c>
      <c r="J932" s="3">
        <v>317816130</v>
      </c>
      <c r="K932" s="3">
        <f t="shared" si="43"/>
        <v>2240937423436.5</v>
      </c>
      <c r="M932" s="4">
        <f t="shared" si="44"/>
        <v>-0.13445938686240977</v>
      </c>
    </row>
    <row r="933" spans="1:13" x14ac:dyDescent="0.45">
      <c r="A933" s="2">
        <v>44599</v>
      </c>
      <c r="B933" s="1">
        <v>15709.2</v>
      </c>
      <c r="D933" s="2">
        <v>44599</v>
      </c>
      <c r="E933" s="1">
        <v>6930.65</v>
      </c>
      <c r="G933" s="3">
        <v>159137444</v>
      </c>
      <c r="H933" s="3">
        <f t="shared" si="42"/>
        <v>2499921935284.8003</v>
      </c>
      <c r="J933" s="3">
        <v>317816130</v>
      </c>
      <c r="K933" s="3">
        <f t="shared" si="43"/>
        <v>2202672361384.5</v>
      </c>
      <c r="M933" s="4">
        <f t="shared" si="44"/>
        <v>-0.13494951819046874</v>
      </c>
    </row>
    <row r="934" spans="1:13" x14ac:dyDescent="0.45">
      <c r="A934" s="2">
        <v>44596</v>
      </c>
      <c r="B934" s="1">
        <v>16201.95</v>
      </c>
      <c r="D934" s="2">
        <v>44596</v>
      </c>
      <c r="E934" s="1">
        <v>7155.9</v>
      </c>
      <c r="G934" s="3">
        <v>159137444</v>
      </c>
      <c r="H934" s="3">
        <f t="shared" si="42"/>
        <v>2578336910815.8003</v>
      </c>
      <c r="J934" s="3">
        <v>317816130</v>
      </c>
      <c r="K934" s="3">
        <f t="shared" si="43"/>
        <v>2274260444667</v>
      </c>
      <c r="M934" s="4">
        <f t="shared" si="44"/>
        <v>-0.13370344933969225</v>
      </c>
    </row>
    <row r="935" spans="1:13" x14ac:dyDescent="0.45">
      <c r="A935" s="2">
        <v>44595</v>
      </c>
      <c r="B935" s="1">
        <v>16339.9</v>
      </c>
      <c r="D935" s="2">
        <v>44595</v>
      </c>
      <c r="E935" s="1">
        <v>7111.2</v>
      </c>
      <c r="G935" s="3">
        <v>159137444</v>
      </c>
      <c r="H935" s="3">
        <f t="shared" si="42"/>
        <v>2600289921215.6001</v>
      </c>
      <c r="J935" s="3">
        <v>317816130</v>
      </c>
      <c r="K935" s="3">
        <f t="shared" si="43"/>
        <v>2260054063656</v>
      </c>
      <c r="M935" s="4">
        <f t="shared" si="44"/>
        <v>-0.15054323833705729</v>
      </c>
    </row>
    <row r="936" spans="1:13" x14ac:dyDescent="0.45">
      <c r="A936" s="2">
        <v>44594</v>
      </c>
      <c r="B936" s="1">
        <v>16706.900000000001</v>
      </c>
      <c r="D936" s="2">
        <v>44594</v>
      </c>
      <c r="E936" s="1">
        <v>7247.4</v>
      </c>
      <c r="G936" s="3">
        <v>159137444</v>
      </c>
      <c r="H936" s="3">
        <f t="shared" si="42"/>
        <v>2658693363163.6001</v>
      </c>
      <c r="J936" s="3">
        <v>317816130</v>
      </c>
      <c r="K936" s="3">
        <f t="shared" si="43"/>
        <v>2303340620562</v>
      </c>
      <c r="M936" s="4">
        <f t="shared" si="44"/>
        <v>-0.15427711361027296</v>
      </c>
    </row>
    <row r="937" spans="1:13" x14ac:dyDescent="0.45">
      <c r="A937" s="2">
        <v>44593</v>
      </c>
      <c r="B937" s="1">
        <v>15892.05</v>
      </c>
      <c r="D937" s="2">
        <v>44593</v>
      </c>
      <c r="E937" s="1">
        <v>7024.7</v>
      </c>
      <c r="G937" s="3">
        <v>159137444</v>
      </c>
      <c r="H937" s="3">
        <f t="shared" si="42"/>
        <v>2529020216920.1997</v>
      </c>
      <c r="J937" s="3">
        <v>317816130</v>
      </c>
      <c r="K937" s="3">
        <f t="shared" si="43"/>
        <v>2232562968411</v>
      </c>
      <c r="M937" s="4">
        <f t="shared" si="44"/>
        <v>-0.13278785535003279</v>
      </c>
    </row>
    <row r="938" spans="1:13" x14ac:dyDescent="0.45">
      <c r="A938" s="2">
        <v>44592</v>
      </c>
      <c r="B938" s="1">
        <v>15689.85</v>
      </c>
      <c r="D938" s="2">
        <v>44592</v>
      </c>
      <c r="E938" s="1">
        <v>7002.15</v>
      </c>
      <c r="G938" s="3">
        <v>159137444</v>
      </c>
      <c r="H938" s="3">
        <f t="shared" si="42"/>
        <v>2496842625743.3999</v>
      </c>
      <c r="J938" s="3">
        <v>317816130</v>
      </c>
      <c r="K938" s="3">
        <f t="shared" si="43"/>
        <v>2225396214679.5</v>
      </c>
      <c r="M938" s="4">
        <f t="shared" si="44"/>
        <v>-0.12197666612055125</v>
      </c>
    </row>
    <row r="939" spans="1:13" x14ac:dyDescent="0.45">
      <c r="A939" s="2">
        <v>44589</v>
      </c>
      <c r="B939" s="1">
        <v>15200</v>
      </c>
      <c r="D939" s="2">
        <v>44589</v>
      </c>
      <c r="E939" s="1">
        <v>6870.5</v>
      </c>
      <c r="G939" s="3">
        <v>159137444</v>
      </c>
      <c r="H939" s="3">
        <f t="shared" si="42"/>
        <v>2418889148800</v>
      </c>
      <c r="J939" s="3">
        <v>317816130</v>
      </c>
      <c r="K939" s="3">
        <f t="shared" si="43"/>
        <v>2183555721165</v>
      </c>
      <c r="M939" s="4">
        <f t="shared" si="44"/>
        <v>-0.10777532505991738</v>
      </c>
    </row>
    <row r="940" spans="1:13" x14ac:dyDescent="0.45">
      <c r="A940" s="2">
        <v>44588</v>
      </c>
      <c r="B940" s="1">
        <v>15360.55</v>
      </c>
      <c r="D940" s="2">
        <v>44588</v>
      </c>
      <c r="E940" s="1">
        <v>6839.1</v>
      </c>
      <c r="G940" s="3">
        <v>159137444</v>
      </c>
      <c r="H940" s="3">
        <f t="shared" si="42"/>
        <v>2444438665434.1997</v>
      </c>
      <c r="J940" s="3">
        <v>317816130</v>
      </c>
      <c r="K940" s="3">
        <f t="shared" si="43"/>
        <v>2173576294683</v>
      </c>
      <c r="M940" s="4">
        <f t="shared" si="44"/>
        <v>-0.12461599411706081</v>
      </c>
    </row>
    <row r="941" spans="1:13" x14ac:dyDescent="0.45">
      <c r="A941" s="2">
        <v>44586</v>
      </c>
      <c r="B941" s="1">
        <v>15526.35</v>
      </c>
      <c r="D941" s="2">
        <v>44586</v>
      </c>
      <c r="E941" s="1">
        <v>6961.05</v>
      </c>
      <c r="G941" s="3">
        <v>159137444</v>
      </c>
      <c r="H941" s="3">
        <f t="shared" si="42"/>
        <v>2470823653649.3999</v>
      </c>
      <c r="J941" s="3">
        <v>317816130</v>
      </c>
      <c r="K941" s="3">
        <f t="shared" si="43"/>
        <v>2212333971736.5</v>
      </c>
      <c r="M941" s="4">
        <f t="shared" si="44"/>
        <v>-0.11684026246272694</v>
      </c>
    </row>
    <row r="942" spans="1:13" x14ac:dyDescent="0.45">
      <c r="A942" s="2">
        <v>44585</v>
      </c>
      <c r="B942" s="1">
        <v>15707.95</v>
      </c>
      <c r="D942" s="2">
        <v>44585</v>
      </c>
      <c r="E942" s="1">
        <v>6932.75</v>
      </c>
      <c r="G942" s="3">
        <v>159137444</v>
      </c>
      <c r="H942" s="3">
        <f t="shared" si="42"/>
        <v>2499723013479.8003</v>
      </c>
      <c r="J942" s="3">
        <v>317816130</v>
      </c>
      <c r="K942" s="3">
        <f t="shared" si="43"/>
        <v>2203339775257.5</v>
      </c>
      <c r="M942" s="4">
        <f t="shared" si="44"/>
        <v>-0.13451544857064213</v>
      </c>
    </row>
    <row r="943" spans="1:13" x14ac:dyDescent="0.45">
      <c r="A943" s="2">
        <v>44582</v>
      </c>
      <c r="B943" s="1">
        <v>16333.05</v>
      </c>
      <c r="D943" s="2">
        <v>44582</v>
      </c>
      <c r="E943" s="1">
        <v>7373.05</v>
      </c>
      <c r="G943" s="3">
        <v>159137444</v>
      </c>
      <c r="H943" s="3">
        <f t="shared" si="42"/>
        <v>2599199829724.1997</v>
      </c>
      <c r="J943" s="3">
        <v>317816130</v>
      </c>
      <c r="K943" s="3">
        <f t="shared" si="43"/>
        <v>2343274217296.5</v>
      </c>
      <c r="M943" s="4">
        <f t="shared" si="44"/>
        <v>-0.10921709910800281</v>
      </c>
    </row>
    <row r="944" spans="1:13" x14ac:dyDescent="0.45">
      <c r="A944" s="2">
        <v>44581</v>
      </c>
      <c r="B944" s="1">
        <v>17260.3</v>
      </c>
      <c r="D944" s="2">
        <v>44581</v>
      </c>
      <c r="E944" s="1">
        <v>7531.9</v>
      </c>
      <c r="G944" s="3">
        <v>159137444</v>
      </c>
      <c r="H944" s="3">
        <f t="shared" si="42"/>
        <v>2746760024673.1997</v>
      </c>
      <c r="J944" s="3">
        <v>317816130</v>
      </c>
      <c r="K944" s="3">
        <f t="shared" si="43"/>
        <v>2393759309547</v>
      </c>
      <c r="M944" s="4">
        <f t="shared" si="44"/>
        <v>-0.14746708815641218</v>
      </c>
    </row>
    <row r="945" spans="1:13" x14ac:dyDescent="0.45">
      <c r="A945" s="2">
        <v>44580</v>
      </c>
      <c r="B945" s="1">
        <v>18087.55</v>
      </c>
      <c r="D945" s="2">
        <v>44580</v>
      </c>
      <c r="E945" s="1">
        <v>7570.3</v>
      </c>
      <c r="G945" s="3">
        <v>159137444</v>
      </c>
      <c r="H945" s="3">
        <f t="shared" si="42"/>
        <v>2878406475222.1997</v>
      </c>
      <c r="J945" s="3">
        <v>317816130</v>
      </c>
      <c r="K945" s="3">
        <f t="shared" si="43"/>
        <v>2405963448939</v>
      </c>
      <c r="M945" s="4">
        <f t="shared" si="44"/>
        <v>-0.19636334313039594</v>
      </c>
    </row>
    <row r="946" spans="1:13" x14ac:dyDescent="0.45">
      <c r="A946" s="2">
        <v>44579</v>
      </c>
      <c r="B946" s="1">
        <v>18156.45</v>
      </c>
      <c r="D946" s="2">
        <v>44579</v>
      </c>
      <c r="E946" s="1">
        <v>7747.15</v>
      </c>
      <c r="G946" s="3">
        <v>159137444</v>
      </c>
      <c r="H946" s="3">
        <f t="shared" si="42"/>
        <v>2889371045113.8003</v>
      </c>
      <c r="J946" s="3">
        <v>317816130</v>
      </c>
      <c r="K946" s="3">
        <f t="shared" si="43"/>
        <v>2462169231529.5</v>
      </c>
      <c r="M946" s="4">
        <f t="shared" si="44"/>
        <v>-0.1735062757318766</v>
      </c>
    </row>
    <row r="947" spans="1:13" x14ac:dyDescent="0.45">
      <c r="A947" s="2">
        <v>44578</v>
      </c>
      <c r="B947" s="1">
        <v>18340.2</v>
      </c>
      <c r="D947" s="2">
        <v>44578</v>
      </c>
      <c r="E947" s="1">
        <v>7852.15</v>
      </c>
      <c r="G947" s="3">
        <v>159137444</v>
      </c>
      <c r="H947" s="3">
        <f t="shared" si="42"/>
        <v>2918612550448.8003</v>
      </c>
      <c r="J947" s="3">
        <v>317816130</v>
      </c>
      <c r="K947" s="3">
        <f t="shared" si="43"/>
        <v>2495539925179.5</v>
      </c>
      <c r="M947" s="4">
        <f t="shared" si="44"/>
        <v>-0.16953149937638012</v>
      </c>
    </row>
    <row r="948" spans="1:13" x14ac:dyDescent="0.45">
      <c r="A948" s="2">
        <v>44575</v>
      </c>
      <c r="B948" s="1">
        <v>18199.2</v>
      </c>
      <c r="D948" s="2">
        <v>44575</v>
      </c>
      <c r="E948" s="1">
        <v>7831.2</v>
      </c>
      <c r="G948" s="3">
        <v>159137444</v>
      </c>
      <c r="H948" s="3">
        <f t="shared" si="42"/>
        <v>2896174170844.8003</v>
      </c>
      <c r="J948" s="3">
        <v>317816130</v>
      </c>
      <c r="K948" s="3">
        <f t="shared" si="43"/>
        <v>2488881677256</v>
      </c>
      <c r="M948" s="4">
        <f t="shared" si="44"/>
        <v>-0.16364477962561952</v>
      </c>
    </row>
    <row r="949" spans="1:13" x14ac:dyDescent="0.45">
      <c r="A949" s="2">
        <v>44574</v>
      </c>
      <c r="B949" s="1">
        <v>18224.099999999999</v>
      </c>
      <c r="D949" s="2">
        <v>44574</v>
      </c>
      <c r="E949" s="1">
        <v>7803</v>
      </c>
      <c r="G949" s="3">
        <v>159137444</v>
      </c>
      <c r="H949" s="3">
        <f t="shared" si="42"/>
        <v>2900136693200.3999</v>
      </c>
      <c r="J949" s="3">
        <v>317816130</v>
      </c>
      <c r="K949" s="3">
        <f t="shared" si="43"/>
        <v>2479919262390</v>
      </c>
      <c r="M949" s="4">
        <f t="shared" si="44"/>
        <v>-0.16944802888680299</v>
      </c>
    </row>
    <row r="950" spans="1:13" x14ac:dyDescent="0.45">
      <c r="A950" s="2">
        <v>44573</v>
      </c>
      <c r="B950" s="1">
        <v>17944.650000000001</v>
      </c>
      <c r="D950" s="2">
        <v>44573</v>
      </c>
      <c r="E950" s="1">
        <v>7773.05</v>
      </c>
      <c r="G950" s="3">
        <v>159137444</v>
      </c>
      <c r="H950" s="3">
        <f t="shared" si="42"/>
        <v>2855665734474.6001</v>
      </c>
      <c r="J950" s="3">
        <v>317816130</v>
      </c>
      <c r="K950" s="3">
        <f t="shared" si="43"/>
        <v>2470400669296.5</v>
      </c>
      <c r="M950" s="4">
        <f t="shared" si="44"/>
        <v>-0.15595246146359432</v>
      </c>
    </row>
    <row r="951" spans="1:13" x14ac:dyDescent="0.45">
      <c r="A951" s="2">
        <v>44572</v>
      </c>
      <c r="B951" s="1">
        <v>17794.349999999999</v>
      </c>
      <c r="D951" s="2">
        <v>44572</v>
      </c>
      <c r="E951" s="1">
        <v>7669.05</v>
      </c>
      <c r="G951" s="3">
        <v>159137444</v>
      </c>
      <c r="H951" s="3">
        <f t="shared" si="42"/>
        <v>2831747376641.3999</v>
      </c>
      <c r="J951" s="3">
        <v>317816130</v>
      </c>
      <c r="K951" s="3">
        <f t="shared" si="43"/>
        <v>2437347791776.5</v>
      </c>
      <c r="M951" s="4">
        <f t="shared" si="44"/>
        <v>-0.16181506233767129</v>
      </c>
    </row>
    <row r="952" spans="1:13" x14ac:dyDescent="0.45">
      <c r="A952" s="2">
        <v>44571</v>
      </c>
      <c r="B952" s="1">
        <v>17804.95</v>
      </c>
      <c r="D952" s="2">
        <v>44571</v>
      </c>
      <c r="E952" s="1">
        <v>7728.75</v>
      </c>
      <c r="G952" s="3">
        <v>159137444</v>
      </c>
      <c r="H952" s="3">
        <f t="shared" si="42"/>
        <v>2833434233547.8003</v>
      </c>
      <c r="J952" s="3">
        <v>317816130</v>
      </c>
      <c r="K952" s="3">
        <f t="shared" si="43"/>
        <v>2456321414737.5</v>
      </c>
      <c r="M952" s="4">
        <f t="shared" si="44"/>
        <v>-0.15352747264575761</v>
      </c>
    </row>
    <row r="953" spans="1:13" x14ac:dyDescent="0.45">
      <c r="A953" s="2">
        <v>44568</v>
      </c>
      <c r="B953" s="1">
        <v>17749.7</v>
      </c>
      <c r="D953" s="2">
        <v>44568</v>
      </c>
      <c r="E953" s="1">
        <v>7660.7</v>
      </c>
      <c r="G953" s="3">
        <v>159137444</v>
      </c>
      <c r="H953" s="3">
        <f t="shared" si="42"/>
        <v>2824641889766.8003</v>
      </c>
      <c r="J953" s="3">
        <v>317816130</v>
      </c>
      <c r="K953" s="3">
        <f t="shared" si="43"/>
        <v>2434694027091</v>
      </c>
      <c r="M953" s="4">
        <f t="shared" si="44"/>
        <v>-0.16016298489125314</v>
      </c>
    </row>
    <row r="954" spans="1:13" x14ac:dyDescent="0.45">
      <c r="A954" s="2">
        <v>44567</v>
      </c>
      <c r="B954" s="1">
        <v>17986.349999999999</v>
      </c>
      <c r="D954" s="2">
        <v>44567</v>
      </c>
      <c r="E954" s="1">
        <v>7739.5</v>
      </c>
      <c r="G954" s="3">
        <v>159137444</v>
      </c>
      <c r="H954" s="3">
        <f t="shared" si="42"/>
        <v>2862301765889.3999</v>
      </c>
      <c r="J954" s="3">
        <v>317816130</v>
      </c>
      <c r="K954" s="3">
        <f t="shared" si="43"/>
        <v>2459737938135</v>
      </c>
      <c r="M954" s="4">
        <f t="shared" si="44"/>
        <v>-0.16366126712654117</v>
      </c>
    </row>
    <row r="955" spans="1:13" x14ac:dyDescent="0.45">
      <c r="A955" s="2">
        <v>44566</v>
      </c>
      <c r="B955" s="1">
        <v>17983</v>
      </c>
      <c r="D955" s="2">
        <v>44566</v>
      </c>
      <c r="E955" s="1">
        <v>7668.55</v>
      </c>
      <c r="G955" s="3">
        <v>159137444</v>
      </c>
      <c r="H955" s="3">
        <f t="shared" si="42"/>
        <v>2861768655452</v>
      </c>
      <c r="J955" s="3">
        <v>317816130</v>
      </c>
      <c r="K955" s="3">
        <f t="shared" si="43"/>
        <v>2437188883711.5</v>
      </c>
      <c r="M955" s="4">
        <f t="shared" si="44"/>
        <v>-0.17420880859013432</v>
      </c>
    </row>
    <row r="956" spans="1:13" x14ac:dyDescent="0.45">
      <c r="A956" s="2">
        <v>44565</v>
      </c>
      <c r="B956" s="1">
        <v>17112.599999999999</v>
      </c>
      <c r="D956" s="2">
        <v>44565</v>
      </c>
      <c r="E956" s="1">
        <v>7342.75</v>
      </c>
      <c r="G956" s="3">
        <v>159137444</v>
      </c>
      <c r="H956" s="3">
        <f t="shared" si="42"/>
        <v>2723255424194.3999</v>
      </c>
      <c r="J956" s="3">
        <v>317816130</v>
      </c>
      <c r="K956" s="3">
        <f t="shared" si="43"/>
        <v>2333644388557.5</v>
      </c>
      <c r="M956" s="4">
        <f t="shared" si="44"/>
        <v>-0.16695390160868984</v>
      </c>
    </row>
    <row r="957" spans="1:13" x14ac:dyDescent="0.45">
      <c r="A957" s="2">
        <v>44564</v>
      </c>
      <c r="B957" s="1">
        <v>16973.8</v>
      </c>
      <c r="D957" s="2">
        <v>44564</v>
      </c>
      <c r="E957" s="1">
        <v>7222.3</v>
      </c>
      <c r="G957" s="3">
        <v>159137444</v>
      </c>
      <c r="H957" s="3">
        <f t="shared" si="42"/>
        <v>2701167146967.1997</v>
      </c>
      <c r="J957" s="3">
        <v>317816130</v>
      </c>
      <c r="K957" s="3">
        <f t="shared" si="43"/>
        <v>2295363435699</v>
      </c>
      <c r="M957" s="4">
        <f t="shared" si="44"/>
        <v>-0.17679279235561296</v>
      </c>
    </row>
    <row r="958" spans="1:13" x14ac:dyDescent="0.45">
      <c r="A958" s="2">
        <v>44561</v>
      </c>
      <c r="B958" s="1">
        <v>16390.2</v>
      </c>
      <c r="D958" s="2">
        <v>44561</v>
      </c>
      <c r="E958" s="1">
        <v>6976.9</v>
      </c>
      <c r="G958" s="3">
        <v>159137444</v>
      </c>
      <c r="H958" s="3">
        <f t="shared" si="42"/>
        <v>2608294534648.8003</v>
      </c>
      <c r="J958" s="3">
        <v>317816130</v>
      </c>
      <c r="K958" s="3">
        <f t="shared" si="43"/>
        <v>2217371357397</v>
      </c>
      <c r="M958" s="4">
        <f t="shared" si="44"/>
        <v>-0.17630027372172341</v>
      </c>
    </row>
    <row r="959" spans="1:13" x14ac:dyDescent="0.45">
      <c r="A959" s="2">
        <v>44560</v>
      </c>
      <c r="B959" s="1">
        <v>16177.8</v>
      </c>
      <c r="D959" s="2">
        <v>44560</v>
      </c>
      <c r="E959" s="1">
        <v>6868.85</v>
      </c>
      <c r="G959" s="3">
        <v>159137444</v>
      </c>
      <c r="H959" s="3">
        <f t="shared" si="42"/>
        <v>2574493741543.1997</v>
      </c>
      <c r="J959" s="3">
        <v>317816130</v>
      </c>
      <c r="K959" s="3">
        <f t="shared" si="43"/>
        <v>2183031324550.5</v>
      </c>
      <c r="M959" s="4">
        <f t="shared" si="44"/>
        <v>-0.17932056795992346</v>
      </c>
    </row>
    <row r="960" spans="1:13" x14ac:dyDescent="0.45">
      <c r="A960" s="2">
        <v>44559</v>
      </c>
      <c r="B960" s="1">
        <v>16241.75</v>
      </c>
      <c r="D960" s="2">
        <v>44559</v>
      </c>
      <c r="E960" s="1">
        <v>6912.15</v>
      </c>
      <c r="G960" s="3">
        <v>159137444</v>
      </c>
      <c r="H960" s="3">
        <f t="shared" si="42"/>
        <v>2584670581087</v>
      </c>
      <c r="J960" s="3">
        <v>317816130</v>
      </c>
      <c r="K960" s="3">
        <f t="shared" si="43"/>
        <v>2196792762979.5</v>
      </c>
      <c r="M960" s="4">
        <f t="shared" si="44"/>
        <v>-0.17656550251077086</v>
      </c>
    </row>
    <row r="961" spans="1:13" x14ac:dyDescent="0.45">
      <c r="A961" s="2">
        <v>44558</v>
      </c>
      <c r="B961" s="1">
        <v>16102.15</v>
      </c>
      <c r="D961" s="2">
        <v>44558</v>
      </c>
      <c r="E961" s="1">
        <v>6904.85</v>
      </c>
      <c r="G961" s="3">
        <v>159137444</v>
      </c>
      <c r="H961" s="3">
        <f t="shared" si="42"/>
        <v>2562454993904.6001</v>
      </c>
      <c r="J961" s="3">
        <v>317816130</v>
      </c>
      <c r="K961" s="3">
        <f t="shared" si="43"/>
        <v>2194472705230.5</v>
      </c>
      <c r="M961" s="4">
        <f t="shared" si="44"/>
        <v>-0.16768597203192304</v>
      </c>
    </row>
    <row r="962" spans="1:13" x14ac:dyDescent="0.45">
      <c r="A962" s="2">
        <v>44557</v>
      </c>
      <c r="B962" s="1">
        <v>16017.45</v>
      </c>
      <c r="D962" s="2">
        <v>44557</v>
      </c>
      <c r="E962" s="1">
        <v>6889.3</v>
      </c>
      <c r="G962" s="3">
        <v>159137444</v>
      </c>
      <c r="H962" s="3">
        <f t="shared" si="42"/>
        <v>2548976052397.8003</v>
      </c>
      <c r="J962" s="3">
        <v>317816130</v>
      </c>
      <c r="K962" s="3">
        <f t="shared" si="43"/>
        <v>2189530664409</v>
      </c>
      <c r="M962" s="4">
        <f t="shared" si="44"/>
        <v>-0.16416549620958243</v>
      </c>
    </row>
    <row r="963" spans="1:13" x14ac:dyDescent="0.45">
      <c r="A963" s="2">
        <v>44554</v>
      </c>
      <c r="B963" s="1">
        <v>15920.55</v>
      </c>
      <c r="D963" s="2">
        <v>44554</v>
      </c>
      <c r="E963" s="1">
        <v>6851.4</v>
      </c>
      <c r="G963" s="3">
        <v>159137444</v>
      </c>
      <c r="H963" s="3">
        <f t="shared" si="42"/>
        <v>2533555634074.1997</v>
      </c>
      <c r="J963" s="3">
        <v>317816130</v>
      </c>
      <c r="K963" s="3">
        <f t="shared" si="43"/>
        <v>2177485433082</v>
      </c>
      <c r="M963" s="4">
        <f t="shared" si="44"/>
        <v>-0.16352357429469455</v>
      </c>
    </row>
    <row r="964" spans="1:13" x14ac:dyDescent="0.45">
      <c r="A964" s="2">
        <v>44553</v>
      </c>
      <c r="B964" s="1">
        <v>16161.3</v>
      </c>
      <c r="D964" s="2">
        <v>44553</v>
      </c>
      <c r="E964" s="1">
        <v>6917.5</v>
      </c>
      <c r="G964" s="3">
        <v>159137444</v>
      </c>
      <c r="H964" s="3">
        <f t="shared" ref="H964:H1027" si="45">+G964*B964</f>
        <v>2571867973717.1997</v>
      </c>
      <c r="J964" s="3">
        <v>317816130</v>
      </c>
      <c r="K964" s="3">
        <f t="shared" ref="K964:K1027" si="46">+J964*E964</f>
        <v>2198493079275</v>
      </c>
      <c r="M964" s="4">
        <f t="shared" ref="M964:M1027" si="47">1- (H964/K964)</f>
        <v>-0.16983219004051997</v>
      </c>
    </row>
    <row r="965" spans="1:13" x14ac:dyDescent="0.45">
      <c r="A965" s="2">
        <v>44552</v>
      </c>
      <c r="B965" s="1">
        <v>15949.2</v>
      </c>
      <c r="D965" s="2">
        <v>44552</v>
      </c>
      <c r="E965" s="1">
        <v>6773.75</v>
      </c>
      <c r="G965" s="3">
        <v>159137444</v>
      </c>
      <c r="H965" s="3">
        <f t="shared" si="45"/>
        <v>2538114921844.8003</v>
      </c>
      <c r="J965" s="3">
        <v>317816130</v>
      </c>
      <c r="K965" s="3">
        <f t="shared" si="46"/>
        <v>2152807010587.5</v>
      </c>
      <c r="M965" s="4">
        <f t="shared" si="47"/>
        <v>-0.17897930904273207</v>
      </c>
    </row>
    <row r="966" spans="1:13" x14ac:dyDescent="0.45">
      <c r="A966" s="2">
        <v>44551</v>
      </c>
      <c r="B966" s="1">
        <v>15831.1</v>
      </c>
      <c r="D966" s="2">
        <v>44551</v>
      </c>
      <c r="E966" s="1">
        <v>6579.45</v>
      </c>
      <c r="G966" s="3">
        <v>159137444</v>
      </c>
      <c r="H966" s="3">
        <f t="shared" si="45"/>
        <v>2519320789708.3999</v>
      </c>
      <c r="J966" s="3">
        <v>317816130</v>
      </c>
      <c r="K966" s="3">
        <f t="shared" si="46"/>
        <v>2091055336528.5</v>
      </c>
      <c r="M966" s="4">
        <f t="shared" si="47"/>
        <v>-0.20480828302272092</v>
      </c>
    </row>
    <row r="967" spans="1:13" x14ac:dyDescent="0.45">
      <c r="A967" s="2">
        <v>44550</v>
      </c>
      <c r="B967" s="1">
        <v>15829.05</v>
      </c>
      <c r="D967" s="2">
        <v>44550</v>
      </c>
      <c r="E967" s="1">
        <v>6633.75</v>
      </c>
      <c r="G967" s="3">
        <v>159137444</v>
      </c>
      <c r="H967" s="3">
        <f t="shared" si="45"/>
        <v>2518994557948.1997</v>
      </c>
      <c r="J967" s="3">
        <v>317816130</v>
      </c>
      <c r="K967" s="3">
        <f t="shared" si="46"/>
        <v>2108312752387.5</v>
      </c>
      <c r="M967" s="4">
        <f t="shared" si="47"/>
        <v>-0.1947916906994156</v>
      </c>
    </row>
    <row r="968" spans="1:13" x14ac:dyDescent="0.45">
      <c r="A968" s="2">
        <v>44547</v>
      </c>
      <c r="B968" s="1">
        <v>16204</v>
      </c>
      <c r="D968" s="2">
        <v>44547</v>
      </c>
      <c r="E968" s="1">
        <v>6901.9</v>
      </c>
      <c r="G968" s="3">
        <v>159137444</v>
      </c>
      <c r="H968" s="3">
        <f t="shared" si="45"/>
        <v>2578663142576</v>
      </c>
      <c r="J968" s="3">
        <v>317816130</v>
      </c>
      <c r="K968" s="3">
        <f t="shared" si="46"/>
        <v>2193535147647</v>
      </c>
      <c r="M968" s="4">
        <f t="shared" si="47"/>
        <v>-0.17557411621241892</v>
      </c>
    </row>
    <row r="969" spans="1:13" x14ac:dyDescent="0.45">
      <c r="A969" s="2">
        <v>44546</v>
      </c>
      <c r="B969" s="1">
        <v>16710.849999999999</v>
      </c>
      <c r="D969" s="2">
        <v>44546</v>
      </c>
      <c r="E969" s="1">
        <v>7028.6</v>
      </c>
      <c r="G969" s="3">
        <v>159137444</v>
      </c>
      <c r="H969" s="3">
        <f t="shared" si="45"/>
        <v>2659321956067.3999</v>
      </c>
      <c r="J969" s="3">
        <v>317816130</v>
      </c>
      <c r="K969" s="3">
        <f t="shared" si="46"/>
        <v>2233802451318</v>
      </c>
      <c r="M969" s="4">
        <f t="shared" si="47"/>
        <v>-0.19049110833338578</v>
      </c>
    </row>
    <row r="970" spans="1:13" x14ac:dyDescent="0.45">
      <c r="A970" s="2">
        <v>44545</v>
      </c>
      <c r="B970" s="1">
        <v>16675.05</v>
      </c>
      <c r="D970" s="2">
        <v>44545</v>
      </c>
      <c r="E970" s="1">
        <v>6849.8</v>
      </c>
      <c r="G970" s="3">
        <v>159137444</v>
      </c>
      <c r="H970" s="3">
        <f t="shared" si="45"/>
        <v>2653624835572.1997</v>
      </c>
      <c r="J970" s="3">
        <v>317816130</v>
      </c>
      <c r="K970" s="3">
        <f t="shared" si="46"/>
        <v>2176976927274</v>
      </c>
      <c r="M970" s="4">
        <f t="shared" si="47"/>
        <v>-0.21894945340328253</v>
      </c>
    </row>
    <row r="971" spans="1:13" x14ac:dyDescent="0.45">
      <c r="A971" s="2">
        <v>44544</v>
      </c>
      <c r="B971" s="1">
        <v>17129.05</v>
      </c>
      <c r="D971" s="2">
        <v>44544</v>
      </c>
      <c r="E971" s="1">
        <v>7068.65</v>
      </c>
      <c r="G971" s="3">
        <v>159137444</v>
      </c>
      <c r="H971" s="3">
        <f t="shared" si="45"/>
        <v>2725873235148.1997</v>
      </c>
      <c r="J971" s="3">
        <v>317816130</v>
      </c>
      <c r="K971" s="3">
        <f t="shared" si="46"/>
        <v>2246530987324.5</v>
      </c>
      <c r="M971" s="4">
        <f t="shared" si="47"/>
        <v>-0.21336996931191732</v>
      </c>
    </row>
    <row r="972" spans="1:13" x14ac:dyDescent="0.45">
      <c r="A972" s="2">
        <v>44543</v>
      </c>
      <c r="B972" s="1">
        <v>17319.349999999999</v>
      </c>
      <c r="D972" s="2">
        <v>44543</v>
      </c>
      <c r="E972" s="1">
        <v>7220.1</v>
      </c>
      <c r="G972" s="3">
        <v>159137444</v>
      </c>
      <c r="H972" s="3">
        <f t="shared" si="45"/>
        <v>2756157090741.3999</v>
      </c>
      <c r="J972" s="3">
        <v>317816130</v>
      </c>
      <c r="K972" s="3">
        <f t="shared" si="46"/>
        <v>2294664240213</v>
      </c>
      <c r="M972" s="4">
        <f t="shared" si="47"/>
        <v>-0.20111563271041444</v>
      </c>
    </row>
    <row r="973" spans="1:13" x14ac:dyDescent="0.45">
      <c r="A973" s="2">
        <v>44540</v>
      </c>
      <c r="B973" s="1">
        <v>17723</v>
      </c>
      <c r="D973" s="2">
        <v>44540</v>
      </c>
      <c r="E973" s="1">
        <v>7451.15</v>
      </c>
      <c r="G973" s="3">
        <v>159137444</v>
      </c>
      <c r="H973" s="3">
        <f t="shared" si="45"/>
        <v>2820392920012</v>
      </c>
      <c r="J973" s="3">
        <v>317816130</v>
      </c>
      <c r="K973" s="3">
        <f t="shared" si="46"/>
        <v>2368095657049.5</v>
      </c>
      <c r="M973" s="4">
        <f t="shared" si="47"/>
        <v>-0.19099619629640907</v>
      </c>
    </row>
    <row r="974" spans="1:13" x14ac:dyDescent="0.45">
      <c r="A974" s="2">
        <v>44539</v>
      </c>
      <c r="B974" s="1">
        <v>17596.25</v>
      </c>
      <c r="D974" s="2">
        <v>44539</v>
      </c>
      <c r="E974" s="1">
        <v>7439.35</v>
      </c>
      <c r="G974" s="3">
        <v>159137444</v>
      </c>
      <c r="H974" s="3">
        <f t="shared" si="45"/>
        <v>2800222248985</v>
      </c>
      <c r="J974" s="3">
        <v>317816130</v>
      </c>
      <c r="K974" s="3">
        <f t="shared" si="46"/>
        <v>2364345426715.5</v>
      </c>
      <c r="M974" s="4">
        <f t="shared" si="47"/>
        <v>-0.1843541207407291</v>
      </c>
    </row>
    <row r="975" spans="1:13" x14ac:dyDescent="0.45">
      <c r="A975" s="2">
        <v>44538</v>
      </c>
      <c r="B975" s="1">
        <v>17622.599999999999</v>
      </c>
      <c r="D975" s="2">
        <v>44538</v>
      </c>
      <c r="E975" s="1">
        <v>7363.45</v>
      </c>
      <c r="G975" s="3">
        <v>159137444</v>
      </c>
      <c r="H975" s="3">
        <f t="shared" si="45"/>
        <v>2804415520634.3999</v>
      </c>
      <c r="J975" s="3">
        <v>317816130</v>
      </c>
      <c r="K975" s="3">
        <f t="shared" si="46"/>
        <v>2340223182448.5</v>
      </c>
      <c r="M975" s="4">
        <f t="shared" si="47"/>
        <v>-0.19835387567617824</v>
      </c>
    </row>
    <row r="976" spans="1:13" x14ac:dyDescent="0.45">
      <c r="A976" s="2">
        <v>44537</v>
      </c>
      <c r="B976" s="1">
        <v>17107.7</v>
      </c>
      <c r="D976" s="2">
        <v>44537</v>
      </c>
      <c r="E976" s="1">
        <v>7102.55</v>
      </c>
      <c r="G976" s="3">
        <v>159137444</v>
      </c>
      <c r="H976" s="3">
        <f t="shared" si="45"/>
        <v>2722475650718.8003</v>
      </c>
      <c r="J976" s="3">
        <v>317816130</v>
      </c>
      <c r="K976" s="3">
        <f t="shared" si="46"/>
        <v>2257304954131.5</v>
      </c>
      <c r="M976" s="4">
        <f t="shared" si="47"/>
        <v>-0.20607348410586157</v>
      </c>
    </row>
    <row r="977" spans="1:13" x14ac:dyDescent="0.45">
      <c r="A977" s="2">
        <v>44536</v>
      </c>
      <c r="B977" s="1">
        <v>16894.8</v>
      </c>
      <c r="D977" s="2">
        <v>44536</v>
      </c>
      <c r="E977" s="1">
        <v>6954.55</v>
      </c>
      <c r="G977" s="3">
        <v>159137444</v>
      </c>
      <c r="H977" s="3">
        <f t="shared" si="45"/>
        <v>2688595288891.1997</v>
      </c>
      <c r="J977" s="3">
        <v>317816130</v>
      </c>
      <c r="K977" s="3">
        <f t="shared" si="46"/>
        <v>2210268166891.5</v>
      </c>
      <c r="M977" s="4">
        <f t="shared" si="47"/>
        <v>-0.21641135187338567</v>
      </c>
    </row>
    <row r="978" spans="1:13" x14ac:dyDescent="0.45">
      <c r="A978" s="2">
        <v>44533</v>
      </c>
      <c r="B978" s="1">
        <v>17495</v>
      </c>
      <c r="D978" s="2">
        <v>44533</v>
      </c>
      <c r="E978" s="1">
        <v>7070.2</v>
      </c>
      <c r="G978" s="3">
        <v>159137444</v>
      </c>
      <c r="H978" s="3">
        <f t="shared" si="45"/>
        <v>2784109582780</v>
      </c>
      <c r="J978" s="3">
        <v>317816130</v>
      </c>
      <c r="K978" s="3">
        <f t="shared" si="46"/>
        <v>2247023602326</v>
      </c>
      <c r="M978" s="4">
        <f t="shared" si="47"/>
        <v>-0.23902106764612396</v>
      </c>
    </row>
    <row r="979" spans="1:13" x14ac:dyDescent="0.45">
      <c r="A979" s="2">
        <v>44532</v>
      </c>
      <c r="B979" s="1">
        <v>17752.95</v>
      </c>
      <c r="D979" s="2">
        <v>44532</v>
      </c>
      <c r="E979" s="1">
        <v>7179.8</v>
      </c>
      <c r="G979" s="3">
        <v>159137444</v>
      </c>
      <c r="H979" s="3">
        <f t="shared" si="45"/>
        <v>2825159086459.8003</v>
      </c>
      <c r="J979" s="3">
        <v>317816130</v>
      </c>
      <c r="K979" s="3">
        <f t="shared" si="46"/>
        <v>2281856250174</v>
      </c>
      <c r="M979" s="4">
        <f t="shared" si="47"/>
        <v>-0.23809687233556964</v>
      </c>
    </row>
    <row r="980" spans="1:13" x14ac:dyDescent="0.45">
      <c r="A980" s="2">
        <v>44531</v>
      </c>
      <c r="B980" s="1">
        <v>17381.650000000001</v>
      </c>
      <c r="D980" s="2">
        <v>44531</v>
      </c>
      <c r="E980" s="1">
        <v>7039.5</v>
      </c>
      <c r="G980" s="3">
        <v>159137444</v>
      </c>
      <c r="H980" s="3">
        <f t="shared" si="45"/>
        <v>2766071353502.6001</v>
      </c>
      <c r="J980" s="3">
        <v>317816130</v>
      </c>
      <c r="K980" s="3">
        <f t="shared" si="46"/>
        <v>2237266647135</v>
      </c>
      <c r="M980" s="4">
        <f t="shared" si="47"/>
        <v>-0.23636194954444845</v>
      </c>
    </row>
    <row r="981" spans="1:13" x14ac:dyDescent="0.45">
      <c r="A981" s="2">
        <v>44530</v>
      </c>
      <c r="B981" s="1">
        <v>17233.25</v>
      </c>
      <c r="D981" s="2">
        <v>44530</v>
      </c>
      <c r="E981" s="1">
        <v>6991.65</v>
      </c>
      <c r="G981" s="3">
        <v>159137444</v>
      </c>
      <c r="H981" s="3">
        <f t="shared" si="45"/>
        <v>2742455356813</v>
      </c>
      <c r="J981" s="3">
        <v>317816130</v>
      </c>
      <c r="K981" s="3">
        <f t="shared" si="46"/>
        <v>2222059145314.5</v>
      </c>
      <c r="M981" s="4">
        <f t="shared" si="47"/>
        <v>-0.23419548151804293</v>
      </c>
    </row>
    <row r="982" spans="1:13" x14ac:dyDescent="0.45">
      <c r="A982" s="2">
        <v>44529</v>
      </c>
      <c r="B982" s="1">
        <v>16889.599999999999</v>
      </c>
      <c r="D982" s="2">
        <v>44529</v>
      </c>
      <c r="E982" s="1">
        <v>6903.65</v>
      </c>
      <c r="G982" s="3">
        <v>159137444</v>
      </c>
      <c r="H982" s="3">
        <f t="shared" si="45"/>
        <v>2687767774182.3999</v>
      </c>
      <c r="J982" s="3">
        <v>317816130</v>
      </c>
      <c r="K982" s="3">
        <f t="shared" si="46"/>
        <v>2194091325874.5</v>
      </c>
      <c r="M982" s="4">
        <f t="shared" si="47"/>
        <v>-0.22500268903398313</v>
      </c>
    </row>
    <row r="983" spans="1:13" x14ac:dyDescent="0.45">
      <c r="A983" s="2">
        <v>44526</v>
      </c>
      <c r="B983" s="1">
        <v>16679.95</v>
      </c>
      <c r="D983" s="2">
        <v>44526</v>
      </c>
      <c r="E983" s="1">
        <v>6803.75</v>
      </c>
      <c r="G983" s="3">
        <v>159137444</v>
      </c>
      <c r="H983" s="3">
        <f t="shared" si="45"/>
        <v>2654404609047.8003</v>
      </c>
      <c r="J983" s="3">
        <v>317816130</v>
      </c>
      <c r="K983" s="3">
        <f t="shared" si="46"/>
        <v>2162341494487.5</v>
      </c>
      <c r="M983" s="4">
        <f t="shared" si="47"/>
        <v>-0.22756031635832108</v>
      </c>
    </row>
    <row r="984" spans="1:13" x14ac:dyDescent="0.45">
      <c r="A984" s="2">
        <v>44525</v>
      </c>
      <c r="B984" s="1">
        <v>17354.099999999999</v>
      </c>
      <c r="D984" s="2">
        <v>44525</v>
      </c>
      <c r="E984" s="1">
        <v>7131.65</v>
      </c>
      <c r="G984" s="3">
        <v>159137444</v>
      </c>
      <c r="H984" s="3">
        <f t="shared" si="45"/>
        <v>2761687116920.3999</v>
      </c>
      <c r="J984" s="3">
        <v>317816130</v>
      </c>
      <c r="K984" s="3">
        <f t="shared" si="46"/>
        <v>2266553403514.5</v>
      </c>
      <c r="M984" s="4">
        <f t="shared" si="47"/>
        <v>-0.21845225999888185</v>
      </c>
    </row>
    <row r="985" spans="1:13" x14ac:dyDescent="0.45">
      <c r="A985" s="2">
        <v>44524</v>
      </c>
      <c r="B985" s="1">
        <v>17437.45</v>
      </c>
      <c r="D985" s="2">
        <v>44524</v>
      </c>
      <c r="E985" s="1">
        <v>7163.5</v>
      </c>
      <c r="G985" s="3">
        <v>159137444</v>
      </c>
      <c r="H985" s="3">
        <f t="shared" si="45"/>
        <v>2774951222877.8003</v>
      </c>
      <c r="J985" s="3">
        <v>317816130</v>
      </c>
      <c r="K985" s="3">
        <f t="shared" si="46"/>
        <v>2276675847255</v>
      </c>
      <c r="M985" s="4">
        <f t="shared" si="47"/>
        <v>-0.2188609222624176</v>
      </c>
    </row>
    <row r="986" spans="1:13" x14ac:dyDescent="0.45">
      <c r="A986" s="2">
        <v>44523</v>
      </c>
      <c r="B986" s="1">
        <v>17360.150000000001</v>
      </c>
      <c r="D986" s="2">
        <v>44523</v>
      </c>
      <c r="E986" s="1">
        <v>7111.45</v>
      </c>
      <c r="G986" s="3">
        <v>159137444</v>
      </c>
      <c r="H986" s="3">
        <f t="shared" si="45"/>
        <v>2762649898456.6001</v>
      </c>
      <c r="J986" s="3">
        <v>317816130</v>
      </c>
      <c r="K986" s="3">
        <f t="shared" si="46"/>
        <v>2260133517688.5</v>
      </c>
      <c r="M986" s="4">
        <f t="shared" si="47"/>
        <v>-0.22233924537433403</v>
      </c>
    </row>
    <row r="987" spans="1:13" x14ac:dyDescent="0.45">
      <c r="A987" s="2">
        <v>44522</v>
      </c>
      <c r="B987" s="1">
        <v>17073.2</v>
      </c>
      <c r="D987" s="2">
        <v>44522</v>
      </c>
      <c r="E987" s="1">
        <v>7061.65</v>
      </c>
      <c r="G987" s="3">
        <v>159137444</v>
      </c>
      <c r="H987" s="3">
        <f t="shared" si="45"/>
        <v>2716985408900.8003</v>
      </c>
      <c r="J987" s="3">
        <v>317816130</v>
      </c>
      <c r="K987" s="3">
        <f t="shared" si="46"/>
        <v>2244306274414.5</v>
      </c>
      <c r="M987" s="4">
        <f t="shared" si="47"/>
        <v>-0.21061257987598592</v>
      </c>
    </row>
    <row r="988" spans="1:13" x14ac:dyDescent="0.45">
      <c r="A988" s="2">
        <v>44518</v>
      </c>
      <c r="B988" s="1">
        <v>17912.400000000001</v>
      </c>
      <c r="D988" s="2">
        <v>44518</v>
      </c>
      <c r="E988" s="1">
        <v>7491.6</v>
      </c>
      <c r="G988" s="3">
        <v>159137444</v>
      </c>
      <c r="H988" s="3">
        <f t="shared" si="45"/>
        <v>2850533551905.6001</v>
      </c>
      <c r="J988" s="3">
        <v>317816130</v>
      </c>
      <c r="K988" s="3">
        <f t="shared" si="46"/>
        <v>2380951319508</v>
      </c>
      <c r="M988" s="4">
        <f t="shared" si="47"/>
        <v>-0.1972246255310397</v>
      </c>
    </row>
    <row r="989" spans="1:13" x14ac:dyDescent="0.45">
      <c r="A989" s="2">
        <v>44517</v>
      </c>
      <c r="B989" s="1">
        <v>18265.75</v>
      </c>
      <c r="D989" s="2">
        <v>44517</v>
      </c>
      <c r="E989" s="1">
        <v>7603.5</v>
      </c>
      <c r="G989" s="3">
        <v>159137444</v>
      </c>
      <c r="H989" s="3">
        <f t="shared" si="45"/>
        <v>2906764767743</v>
      </c>
      <c r="J989" s="3">
        <v>317816130</v>
      </c>
      <c r="K989" s="3">
        <f t="shared" si="46"/>
        <v>2416514944455</v>
      </c>
      <c r="M989" s="4">
        <f t="shared" si="47"/>
        <v>-0.20287473264460476</v>
      </c>
    </row>
    <row r="990" spans="1:13" x14ac:dyDescent="0.45">
      <c r="A990" s="2">
        <v>44516</v>
      </c>
      <c r="B990" s="1">
        <v>18192.400000000001</v>
      </c>
      <c r="D990" s="2">
        <v>44516</v>
      </c>
      <c r="E990" s="1">
        <v>7557.85</v>
      </c>
      <c r="G990" s="3">
        <v>159137444</v>
      </c>
      <c r="H990" s="3">
        <f t="shared" si="45"/>
        <v>2895092036225.6001</v>
      </c>
      <c r="J990" s="3">
        <v>317816130</v>
      </c>
      <c r="K990" s="3">
        <f t="shared" si="46"/>
        <v>2402006638120.5</v>
      </c>
      <c r="M990" s="4">
        <f t="shared" si="47"/>
        <v>-0.20528061424964461</v>
      </c>
    </row>
    <row r="991" spans="1:13" x14ac:dyDescent="0.45">
      <c r="A991" s="2">
        <v>44515</v>
      </c>
      <c r="B991" s="1">
        <v>18119.2</v>
      </c>
      <c r="D991" s="2">
        <v>44515</v>
      </c>
      <c r="E991" s="1">
        <v>7534.3</v>
      </c>
      <c r="G991" s="3">
        <v>159137444</v>
      </c>
      <c r="H991" s="3">
        <f t="shared" si="45"/>
        <v>2883443175324.8003</v>
      </c>
      <c r="J991" s="3">
        <v>317816130</v>
      </c>
      <c r="K991" s="3">
        <f t="shared" si="46"/>
        <v>2394522068259</v>
      </c>
      <c r="M991" s="4">
        <f t="shared" si="47"/>
        <v>-0.20418317022289267</v>
      </c>
    </row>
    <row r="992" spans="1:13" x14ac:dyDescent="0.45">
      <c r="A992" s="2">
        <v>44512</v>
      </c>
      <c r="B992" s="1">
        <v>18269.5</v>
      </c>
      <c r="D992" s="2">
        <v>44512</v>
      </c>
      <c r="E992" s="1">
        <v>7577.2</v>
      </c>
      <c r="G992" s="3">
        <v>159137444</v>
      </c>
      <c r="H992" s="3">
        <f t="shared" si="45"/>
        <v>2907361533158</v>
      </c>
      <c r="J992" s="3">
        <v>317816130</v>
      </c>
      <c r="K992" s="3">
        <f t="shared" si="46"/>
        <v>2408156380236</v>
      </c>
      <c r="M992" s="4">
        <f t="shared" si="47"/>
        <v>-0.20729764770221348</v>
      </c>
    </row>
    <row r="993" spans="1:13" x14ac:dyDescent="0.45">
      <c r="A993" s="2">
        <v>44511</v>
      </c>
      <c r="B993" s="1">
        <v>17872.05</v>
      </c>
      <c r="D993" s="2">
        <v>44511</v>
      </c>
      <c r="E993" s="1">
        <v>7452</v>
      </c>
      <c r="G993" s="3">
        <v>159137444</v>
      </c>
      <c r="H993" s="3">
        <f t="shared" si="45"/>
        <v>2844112356040.1997</v>
      </c>
      <c r="J993" s="3">
        <v>317816130</v>
      </c>
      <c r="K993" s="3">
        <f t="shared" si="46"/>
        <v>2368365800760</v>
      </c>
      <c r="M993" s="4">
        <f t="shared" si="47"/>
        <v>-0.20087545392165951</v>
      </c>
    </row>
    <row r="994" spans="1:13" x14ac:dyDescent="0.45">
      <c r="A994" s="2">
        <v>44510</v>
      </c>
      <c r="B994" s="1">
        <v>18315.099999999999</v>
      </c>
      <c r="D994" s="2">
        <v>44510</v>
      </c>
      <c r="E994" s="1">
        <v>7575.15</v>
      </c>
      <c r="G994" s="3">
        <v>159137444</v>
      </c>
      <c r="H994" s="3">
        <f t="shared" si="45"/>
        <v>2914618200604.3999</v>
      </c>
      <c r="J994" s="3">
        <v>317816130</v>
      </c>
      <c r="K994" s="3">
        <f t="shared" si="46"/>
        <v>2407504857169.5</v>
      </c>
      <c r="M994" s="4">
        <f t="shared" si="47"/>
        <v>-0.21063855465326542</v>
      </c>
    </row>
    <row r="995" spans="1:13" x14ac:dyDescent="0.45">
      <c r="A995" s="2">
        <v>44509</v>
      </c>
      <c r="B995" s="1">
        <v>18174.900000000001</v>
      </c>
      <c r="D995" s="2">
        <v>44509</v>
      </c>
      <c r="E995" s="1">
        <v>7582</v>
      </c>
      <c r="G995" s="3">
        <v>159137444</v>
      </c>
      <c r="H995" s="3">
        <f t="shared" si="45"/>
        <v>2892307130955.6001</v>
      </c>
      <c r="J995" s="3">
        <v>317816130</v>
      </c>
      <c r="K995" s="3">
        <f t="shared" si="46"/>
        <v>2409681897660</v>
      </c>
      <c r="M995" s="4">
        <f t="shared" si="47"/>
        <v>-0.20028586916981417</v>
      </c>
    </row>
    <row r="996" spans="1:13" x14ac:dyDescent="0.45">
      <c r="A996" s="2">
        <v>44508</v>
      </c>
      <c r="B996" s="1">
        <v>18326.849999999999</v>
      </c>
      <c r="D996" s="2">
        <v>44508</v>
      </c>
      <c r="E996" s="1">
        <v>7678.05</v>
      </c>
      <c r="G996" s="3">
        <v>159137444</v>
      </c>
      <c r="H996" s="3">
        <f t="shared" si="45"/>
        <v>2916488065571.3999</v>
      </c>
      <c r="J996" s="3">
        <v>317816130</v>
      </c>
      <c r="K996" s="3">
        <f t="shared" si="46"/>
        <v>2440208136946.5</v>
      </c>
      <c r="M996" s="4">
        <f t="shared" si="47"/>
        <v>-0.19518004280605439</v>
      </c>
    </row>
    <row r="997" spans="1:13" x14ac:dyDescent="0.45">
      <c r="A997" s="2">
        <v>44504</v>
      </c>
      <c r="B997" s="1">
        <v>17595.900000000001</v>
      </c>
      <c r="D997" s="2">
        <v>44504</v>
      </c>
      <c r="E997" s="1">
        <v>7526.65</v>
      </c>
      <c r="G997" s="3">
        <v>159137444</v>
      </c>
      <c r="H997" s="3">
        <f t="shared" si="45"/>
        <v>2800166550879.6001</v>
      </c>
      <c r="J997" s="3">
        <v>317816130</v>
      </c>
      <c r="K997" s="3">
        <f t="shared" si="46"/>
        <v>2392090774864.5</v>
      </c>
      <c r="M997" s="4">
        <f t="shared" si="47"/>
        <v>-0.17059376688504457</v>
      </c>
    </row>
    <row r="998" spans="1:13" x14ac:dyDescent="0.45">
      <c r="A998" s="2">
        <v>44503</v>
      </c>
      <c r="B998" s="1">
        <v>17509.650000000001</v>
      </c>
      <c r="D998" s="2">
        <v>44503</v>
      </c>
      <c r="E998" s="1">
        <v>7510.3</v>
      </c>
      <c r="G998" s="3">
        <v>159137444</v>
      </c>
      <c r="H998" s="3">
        <f t="shared" si="45"/>
        <v>2786440946334.6001</v>
      </c>
      <c r="J998" s="3">
        <v>317816130</v>
      </c>
      <c r="K998" s="3">
        <f t="shared" si="46"/>
        <v>2386894481139</v>
      </c>
      <c r="M998" s="4">
        <f t="shared" si="47"/>
        <v>-0.16739175876972201</v>
      </c>
    </row>
    <row r="999" spans="1:13" x14ac:dyDescent="0.45">
      <c r="A999" s="2">
        <v>44502</v>
      </c>
      <c r="B999" s="1">
        <v>17535.849999999999</v>
      </c>
      <c r="D999" s="2">
        <v>44502</v>
      </c>
      <c r="E999" s="1">
        <v>7454.4</v>
      </c>
      <c r="G999" s="3">
        <v>159137444</v>
      </c>
      <c r="H999" s="3">
        <f t="shared" si="45"/>
        <v>2790610347367.3999</v>
      </c>
      <c r="J999" s="3">
        <v>317816130</v>
      </c>
      <c r="K999" s="3">
        <f t="shared" si="46"/>
        <v>2369128559472</v>
      </c>
      <c r="M999" s="4">
        <f t="shared" si="47"/>
        <v>-0.17790583217203459</v>
      </c>
    </row>
    <row r="1000" spans="1:13" x14ac:dyDescent="0.45">
      <c r="A1000" s="2">
        <v>44501</v>
      </c>
      <c r="B1000" s="1">
        <v>17564.7</v>
      </c>
      <c r="D1000" s="2">
        <v>44501</v>
      </c>
      <c r="E1000" s="1">
        <v>7414.6</v>
      </c>
      <c r="G1000" s="3">
        <v>159137444</v>
      </c>
      <c r="H1000" s="3">
        <f t="shared" si="45"/>
        <v>2795201462626.8003</v>
      </c>
      <c r="J1000" s="3">
        <v>317816130</v>
      </c>
      <c r="K1000" s="3">
        <f t="shared" si="46"/>
        <v>2356479477498</v>
      </c>
      <c r="M1000" s="4">
        <f t="shared" si="47"/>
        <v>-0.18617687500279656</v>
      </c>
    </row>
    <row r="1001" spans="1:13" x14ac:dyDescent="0.45">
      <c r="A1001" s="2">
        <v>44498</v>
      </c>
      <c r="B1001" s="1">
        <v>17830.900000000001</v>
      </c>
      <c r="D1001" s="2">
        <v>44498</v>
      </c>
      <c r="E1001" s="1">
        <v>7402.35</v>
      </c>
      <c r="G1001" s="3">
        <v>159137444</v>
      </c>
      <c r="H1001" s="3">
        <f t="shared" si="45"/>
        <v>2837563850219.6001</v>
      </c>
      <c r="J1001" s="3">
        <v>317816130</v>
      </c>
      <c r="K1001" s="3">
        <f t="shared" si="46"/>
        <v>2352586229905.5</v>
      </c>
      <c r="M1001" s="4">
        <f t="shared" si="47"/>
        <v>-0.20614658631814775</v>
      </c>
    </row>
    <row r="1002" spans="1:13" x14ac:dyDescent="0.45">
      <c r="A1002" s="2">
        <v>44497</v>
      </c>
      <c r="B1002" s="1">
        <v>18000.05</v>
      </c>
      <c r="D1002" s="2">
        <v>44497</v>
      </c>
      <c r="E1002" s="1">
        <v>7485.55</v>
      </c>
      <c r="G1002" s="3">
        <v>159137444</v>
      </c>
      <c r="H1002" s="3">
        <f t="shared" si="45"/>
        <v>2864481948872.1997</v>
      </c>
      <c r="J1002" s="3">
        <v>317816130</v>
      </c>
      <c r="K1002" s="3">
        <f t="shared" si="46"/>
        <v>2379028531921.5</v>
      </c>
      <c r="M1002" s="4">
        <f t="shared" si="47"/>
        <v>-0.20405531519985898</v>
      </c>
    </row>
    <row r="1003" spans="1:13" x14ac:dyDescent="0.45">
      <c r="A1003" s="2">
        <v>44496</v>
      </c>
      <c r="B1003" s="1">
        <v>18013.5</v>
      </c>
      <c r="D1003" s="2">
        <v>44496</v>
      </c>
      <c r="E1003" s="1">
        <v>7480.35</v>
      </c>
      <c r="G1003" s="3">
        <v>159137444</v>
      </c>
      <c r="H1003" s="3">
        <f t="shared" si="45"/>
        <v>2866622347494</v>
      </c>
      <c r="J1003" s="3">
        <v>317816130</v>
      </c>
      <c r="K1003" s="3">
        <f t="shared" si="46"/>
        <v>2377375888045.5</v>
      </c>
      <c r="M1003" s="4">
        <f t="shared" si="47"/>
        <v>-0.20579263965309313</v>
      </c>
    </row>
    <row r="1004" spans="1:13" x14ac:dyDescent="0.45">
      <c r="A1004" s="2">
        <v>44495</v>
      </c>
      <c r="B1004" s="1">
        <v>18349.25</v>
      </c>
      <c r="D1004" s="2">
        <v>44495</v>
      </c>
      <c r="E1004" s="1">
        <v>7849.15</v>
      </c>
      <c r="G1004" s="3">
        <v>159137444</v>
      </c>
      <c r="H1004" s="3">
        <f t="shared" si="45"/>
        <v>2920052744317</v>
      </c>
      <c r="J1004" s="3">
        <v>317816130</v>
      </c>
      <c r="K1004" s="3">
        <f t="shared" si="46"/>
        <v>2494586476789.5</v>
      </c>
      <c r="M1004" s="4">
        <f t="shared" si="47"/>
        <v>-0.17055583018916609</v>
      </c>
    </row>
    <row r="1005" spans="1:13" x14ac:dyDescent="0.45">
      <c r="A1005" s="2">
        <v>44494</v>
      </c>
      <c r="B1005" s="1">
        <v>18097.650000000001</v>
      </c>
      <c r="D1005" s="2">
        <v>44494</v>
      </c>
      <c r="E1005" s="1">
        <v>7644.35</v>
      </c>
      <c r="G1005" s="3">
        <v>159137444</v>
      </c>
      <c r="H1005" s="3">
        <f t="shared" si="45"/>
        <v>2880013763406.6001</v>
      </c>
      <c r="J1005" s="3">
        <v>317816130</v>
      </c>
      <c r="K1005" s="3">
        <f t="shared" si="46"/>
        <v>2429497733365.5</v>
      </c>
      <c r="M1005" s="4">
        <f t="shared" si="47"/>
        <v>-0.18543587172522935</v>
      </c>
    </row>
    <row r="1006" spans="1:13" x14ac:dyDescent="0.45">
      <c r="A1006" s="2">
        <v>44491</v>
      </c>
      <c r="B1006" s="1">
        <v>18664.95</v>
      </c>
      <c r="D1006" s="2">
        <v>44491</v>
      </c>
      <c r="E1006" s="1">
        <v>7713.4</v>
      </c>
      <c r="G1006" s="3">
        <v>159137444</v>
      </c>
      <c r="H1006" s="3">
        <f t="shared" si="45"/>
        <v>2970292435387.8003</v>
      </c>
      <c r="J1006" s="3">
        <v>317816130</v>
      </c>
      <c r="K1006" s="3">
        <f t="shared" si="46"/>
        <v>2451442937142</v>
      </c>
      <c r="M1006" s="4">
        <f t="shared" si="47"/>
        <v>-0.21165065292145768</v>
      </c>
    </row>
    <row r="1007" spans="1:13" x14ac:dyDescent="0.45">
      <c r="A1007" s="2">
        <v>44490</v>
      </c>
      <c r="B1007" s="1">
        <v>18597.55</v>
      </c>
      <c r="D1007" s="2">
        <v>44490</v>
      </c>
      <c r="E1007" s="1">
        <v>7737.3</v>
      </c>
      <c r="G1007" s="3">
        <v>159137444</v>
      </c>
      <c r="H1007" s="3">
        <f t="shared" si="45"/>
        <v>2959566571662.1997</v>
      </c>
      <c r="J1007" s="3">
        <v>317816130</v>
      </c>
      <c r="K1007" s="3">
        <f t="shared" si="46"/>
        <v>2459038742649</v>
      </c>
      <c r="M1007" s="4">
        <f t="shared" si="47"/>
        <v>-0.20354613383358333</v>
      </c>
    </row>
    <row r="1008" spans="1:13" x14ac:dyDescent="0.45">
      <c r="A1008" s="2">
        <v>44489</v>
      </c>
      <c r="B1008" s="1">
        <v>18598.849999999999</v>
      </c>
      <c r="D1008" s="2">
        <v>44489</v>
      </c>
      <c r="E1008" s="1">
        <v>7761.65</v>
      </c>
      <c r="G1008" s="3">
        <v>159137444</v>
      </c>
      <c r="H1008" s="3">
        <f t="shared" si="45"/>
        <v>2959773450339.3999</v>
      </c>
      <c r="J1008" s="3">
        <v>317816130</v>
      </c>
      <c r="K1008" s="3">
        <f t="shared" si="46"/>
        <v>2466777565414.5</v>
      </c>
      <c r="M1008" s="4">
        <f t="shared" si="47"/>
        <v>-0.19985421135531545</v>
      </c>
    </row>
    <row r="1009" spans="1:13" x14ac:dyDescent="0.45">
      <c r="A1009" s="2">
        <v>44488</v>
      </c>
      <c r="B1009" s="1">
        <v>19054.05</v>
      </c>
      <c r="D1009" s="2">
        <v>44488</v>
      </c>
      <c r="E1009" s="1">
        <v>7730.95</v>
      </c>
      <c r="G1009" s="3">
        <v>159137444</v>
      </c>
      <c r="H1009" s="3">
        <f t="shared" si="45"/>
        <v>3032212814848.1997</v>
      </c>
      <c r="J1009" s="3">
        <v>317816130</v>
      </c>
      <c r="K1009" s="3">
        <f t="shared" si="46"/>
        <v>2457020610223.5</v>
      </c>
      <c r="M1009" s="4">
        <f t="shared" si="47"/>
        <v>-0.23410149765588573</v>
      </c>
    </row>
    <row r="1010" spans="1:13" x14ac:dyDescent="0.45">
      <c r="A1010" s="2">
        <v>44487</v>
      </c>
      <c r="B1010" s="1">
        <v>18682.75</v>
      </c>
      <c r="D1010" s="2">
        <v>44487</v>
      </c>
      <c r="E1010" s="1">
        <v>7865.3</v>
      </c>
      <c r="G1010" s="3">
        <v>159137444</v>
      </c>
      <c r="H1010" s="3">
        <f t="shared" si="45"/>
        <v>2973125081891</v>
      </c>
      <c r="J1010" s="3">
        <v>317816130</v>
      </c>
      <c r="K1010" s="3">
        <f t="shared" si="46"/>
        <v>2499719207289</v>
      </c>
      <c r="M1010" s="4">
        <f t="shared" si="47"/>
        <v>-0.18938362085692773</v>
      </c>
    </row>
    <row r="1011" spans="1:13" x14ac:dyDescent="0.45">
      <c r="A1011" s="2">
        <v>44483</v>
      </c>
      <c r="B1011" s="1">
        <v>18486.95</v>
      </c>
      <c r="D1011" s="2">
        <v>44483</v>
      </c>
      <c r="E1011" s="1">
        <v>7860.7</v>
      </c>
      <c r="G1011" s="3">
        <v>159137444</v>
      </c>
      <c r="H1011" s="3">
        <f t="shared" si="45"/>
        <v>2941965970355.8003</v>
      </c>
      <c r="J1011" s="3">
        <v>317816130</v>
      </c>
      <c r="K1011" s="3">
        <f t="shared" si="46"/>
        <v>2498257253091</v>
      </c>
      <c r="M1011" s="4">
        <f t="shared" si="47"/>
        <v>-0.17760729673287901</v>
      </c>
    </row>
    <row r="1012" spans="1:13" x14ac:dyDescent="0.45">
      <c r="A1012" s="2">
        <v>44482</v>
      </c>
      <c r="B1012" s="1">
        <v>18186.45</v>
      </c>
      <c r="D1012" s="2">
        <v>44482</v>
      </c>
      <c r="E1012" s="1">
        <v>7927.7</v>
      </c>
      <c r="G1012" s="3">
        <v>159137444</v>
      </c>
      <c r="H1012" s="3">
        <f t="shared" si="45"/>
        <v>2894145168433.8003</v>
      </c>
      <c r="J1012" s="3">
        <v>317816130</v>
      </c>
      <c r="K1012" s="3">
        <f t="shared" si="46"/>
        <v>2519550933801</v>
      </c>
      <c r="M1012" s="4">
        <f t="shared" si="47"/>
        <v>-0.14867499982137167</v>
      </c>
    </row>
    <row r="1013" spans="1:13" x14ac:dyDescent="0.45">
      <c r="A1013" s="2">
        <v>44481</v>
      </c>
      <c r="B1013" s="1">
        <v>18225</v>
      </c>
      <c r="D1013" s="2">
        <v>44481</v>
      </c>
      <c r="E1013" s="1">
        <v>7857</v>
      </c>
      <c r="G1013" s="3">
        <v>159137444</v>
      </c>
      <c r="H1013" s="3">
        <f t="shared" si="45"/>
        <v>2900279916900</v>
      </c>
      <c r="J1013" s="3">
        <v>317816130</v>
      </c>
      <c r="K1013" s="3">
        <f t="shared" si="46"/>
        <v>2497081333410</v>
      </c>
      <c r="M1013" s="4">
        <f t="shared" si="47"/>
        <v>-0.1614679418308711</v>
      </c>
    </row>
    <row r="1014" spans="1:13" x14ac:dyDescent="0.45">
      <c r="A1014" s="2">
        <v>44480</v>
      </c>
      <c r="B1014" s="1">
        <v>17710.8</v>
      </c>
      <c r="D1014" s="2">
        <v>44480</v>
      </c>
      <c r="E1014" s="1">
        <v>7817.5</v>
      </c>
      <c r="G1014" s="3">
        <v>159137444</v>
      </c>
      <c r="H1014" s="3">
        <f t="shared" si="45"/>
        <v>2818451443195.1997</v>
      </c>
      <c r="J1014" s="3">
        <v>317816130</v>
      </c>
      <c r="K1014" s="3">
        <f t="shared" si="46"/>
        <v>2484527596275</v>
      </c>
      <c r="M1014" s="4">
        <f t="shared" si="47"/>
        <v>-0.13440134350725041</v>
      </c>
    </row>
    <row r="1015" spans="1:13" x14ac:dyDescent="0.45">
      <c r="A1015" s="2">
        <v>44477</v>
      </c>
      <c r="B1015" s="1">
        <v>17551.900000000001</v>
      </c>
      <c r="D1015" s="2">
        <v>44477</v>
      </c>
      <c r="E1015" s="1">
        <v>7736</v>
      </c>
      <c r="G1015" s="3">
        <v>159137444</v>
      </c>
      <c r="H1015" s="3">
        <f t="shared" si="45"/>
        <v>2793164503343.6001</v>
      </c>
      <c r="J1015" s="3">
        <v>317816130</v>
      </c>
      <c r="K1015" s="3">
        <f t="shared" si="46"/>
        <v>2458625581680</v>
      </c>
      <c r="M1015" s="4">
        <f t="shared" si="47"/>
        <v>-0.13606745335945236</v>
      </c>
    </row>
    <row r="1016" spans="1:13" x14ac:dyDescent="0.45">
      <c r="A1016" s="2">
        <v>44476</v>
      </c>
      <c r="B1016" s="1">
        <v>17461.7</v>
      </c>
      <c r="D1016" s="2">
        <v>44476</v>
      </c>
      <c r="E1016" s="1">
        <v>7747.65</v>
      </c>
      <c r="G1016" s="3">
        <v>159137444</v>
      </c>
      <c r="H1016" s="3">
        <f t="shared" si="45"/>
        <v>2778810305894.8003</v>
      </c>
      <c r="J1016" s="3">
        <v>317816130</v>
      </c>
      <c r="K1016" s="3">
        <f t="shared" si="46"/>
        <v>2462328139594.5</v>
      </c>
      <c r="M1016" s="4">
        <f t="shared" si="47"/>
        <v>-0.12852964688630775</v>
      </c>
    </row>
    <row r="1017" spans="1:13" x14ac:dyDescent="0.45">
      <c r="A1017" s="2">
        <v>44475</v>
      </c>
      <c r="B1017" s="1">
        <v>17614.650000000001</v>
      </c>
      <c r="D1017" s="2">
        <v>44475</v>
      </c>
      <c r="E1017" s="1">
        <v>7736.65</v>
      </c>
      <c r="G1017" s="3">
        <v>159137444</v>
      </c>
      <c r="H1017" s="3">
        <f t="shared" si="45"/>
        <v>2803150377954.6001</v>
      </c>
      <c r="J1017" s="3">
        <v>317816130</v>
      </c>
      <c r="K1017" s="3">
        <f t="shared" si="46"/>
        <v>2458832162164.5</v>
      </c>
      <c r="M1017" s="4">
        <f t="shared" si="47"/>
        <v>-0.14003323247854316</v>
      </c>
    </row>
    <row r="1018" spans="1:13" x14ac:dyDescent="0.45">
      <c r="A1018" s="2">
        <v>44474</v>
      </c>
      <c r="B1018" s="1">
        <v>17847.75</v>
      </c>
      <c r="D1018" s="2">
        <v>44474</v>
      </c>
      <c r="E1018" s="1">
        <v>7722.9</v>
      </c>
      <c r="G1018" s="3">
        <v>159137444</v>
      </c>
      <c r="H1018" s="3">
        <f t="shared" si="45"/>
        <v>2840245316151</v>
      </c>
      <c r="J1018" s="3">
        <v>317816130</v>
      </c>
      <c r="K1018" s="3">
        <f t="shared" si="46"/>
        <v>2454462190377</v>
      </c>
      <c r="M1018" s="4">
        <f t="shared" si="47"/>
        <v>-0.15717623489435151</v>
      </c>
    </row>
    <row r="1019" spans="1:13" x14ac:dyDescent="0.45">
      <c r="A1019" s="2">
        <v>44473</v>
      </c>
      <c r="B1019" s="1">
        <v>17789.45</v>
      </c>
      <c r="D1019" s="2">
        <v>44473</v>
      </c>
      <c r="E1019" s="1">
        <v>7694.2</v>
      </c>
      <c r="G1019" s="3">
        <v>159137444</v>
      </c>
      <c r="H1019" s="3">
        <f t="shared" si="45"/>
        <v>2830967603165.8003</v>
      </c>
      <c r="J1019" s="3">
        <v>317816130</v>
      </c>
      <c r="K1019" s="3">
        <f t="shared" si="46"/>
        <v>2445340867446</v>
      </c>
      <c r="M1019" s="4">
        <f t="shared" si="47"/>
        <v>-0.157698560905565</v>
      </c>
    </row>
    <row r="1020" spans="1:13" x14ac:dyDescent="0.45">
      <c r="A1020" s="2">
        <v>44470</v>
      </c>
      <c r="B1020" s="1">
        <v>17175</v>
      </c>
      <c r="D1020" s="2">
        <v>44470</v>
      </c>
      <c r="E1020" s="1">
        <v>7522.05</v>
      </c>
      <c r="G1020" s="3">
        <v>159137444</v>
      </c>
      <c r="H1020" s="3">
        <f t="shared" si="45"/>
        <v>2733185600700</v>
      </c>
      <c r="J1020" s="3">
        <v>317816130</v>
      </c>
      <c r="K1020" s="3">
        <f t="shared" si="46"/>
        <v>2390628820666.5</v>
      </c>
      <c r="M1020" s="4">
        <f t="shared" si="47"/>
        <v>-0.14329149597468516</v>
      </c>
    </row>
    <row r="1021" spans="1:13" x14ac:dyDescent="0.45">
      <c r="A1021" s="2">
        <v>44469</v>
      </c>
      <c r="B1021" s="1">
        <v>17788.5</v>
      </c>
      <c r="D1021" s="2">
        <v>44469</v>
      </c>
      <c r="E1021" s="1">
        <v>7670.7</v>
      </c>
      <c r="G1021" s="3">
        <v>159137444</v>
      </c>
      <c r="H1021" s="3">
        <f t="shared" si="45"/>
        <v>2830816422594</v>
      </c>
      <c r="J1021" s="3">
        <v>317816130</v>
      </c>
      <c r="K1021" s="3">
        <f t="shared" si="46"/>
        <v>2437872188391</v>
      </c>
      <c r="M1021" s="4">
        <f t="shared" si="47"/>
        <v>-0.16118327944925781</v>
      </c>
    </row>
    <row r="1022" spans="1:13" x14ac:dyDescent="0.45">
      <c r="A1022" s="2">
        <v>44468</v>
      </c>
      <c r="B1022" s="1">
        <v>17428.349999999999</v>
      </c>
      <c r="D1022" s="2">
        <v>44468</v>
      </c>
      <c r="E1022" s="1">
        <v>7516.45</v>
      </c>
      <c r="G1022" s="3">
        <v>159137444</v>
      </c>
      <c r="H1022" s="3">
        <f t="shared" si="45"/>
        <v>2773503072137.3999</v>
      </c>
      <c r="J1022" s="3">
        <v>317816130</v>
      </c>
      <c r="K1022" s="3">
        <f t="shared" si="46"/>
        <v>2388849050338.5</v>
      </c>
      <c r="M1022" s="4">
        <f t="shared" si="47"/>
        <v>-0.16102064789083026</v>
      </c>
    </row>
    <row r="1023" spans="1:13" x14ac:dyDescent="0.45">
      <c r="A1023" s="2">
        <v>44467</v>
      </c>
      <c r="B1023" s="1">
        <v>17547.7</v>
      </c>
      <c r="D1023" s="2">
        <v>44467</v>
      </c>
      <c r="E1023" s="1">
        <v>7544.8</v>
      </c>
      <c r="G1023" s="3">
        <v>159137444</v>
      </c>
      <c r="H1023" s="3">
        <f t="shared" si="45"/>
        <v>2792496126078.8003</v>
      </c>
      <c r="J1023" s="3">
        <v>317816130</v>
      </c>
      <c r="K1023" s="3">
        <f t="shared" si="46"/>
        <v>2397859137624</v>
      </c>
      <c r="M1023" s="4">
        <f t="shared" si="47"/>
        <v>-0.16457888716759217</v>
      </c>
    </row>
    <row r="1024" spans="1:13" x14ac:dyDescent="0.45">
      <c r="A1024" s="2">
        <v>44466</v>
      </c>
      <c r="B1024" s="1">
        <v>18039.349999999999</v>
      </c>
      <c r="D1024" s="2">
        <v>44466</v>
      </c>
      <c r="E1024" s="1">
        <v>7795.7</v>
      </c>
      <c r="G1024" s="3">
        <v>159137444</v>
      </c>
      <c r="H1024" s="3">
        <f t="shared" si="45"/>
        <v>2870736050421.3999</v>
      </c>
      <c r="J1024" s="3">
        <v>317816130</v>
      </c>
      <c r="K1024" s="3">
        <f t="shared" si="46"/>
        <v>2477599204641</v>
      </c>
      <c r="M1024" s="4">
        <f t="shared" si="47"/>
        <v>-0.15867653050742914</v>
      </c>
    </row>
    <row r="1025" spans="1:13" x14ac:dyDescent="0.45">
      <c r="A1025" s="2">
        <v>44463</v>
      </c>
      <c r="B1025" s="1">
        <v>18528.45</v>
      </c>
      <c r="D1025" s="2">
        <v>44463</v>
      </c>
      <c r="E1025" s="1">
        <v>7794.4</v>
      </c>
      <c r="G1025" s="3">
        <v>159137444</v>
      </c>
      <c r="H1025" s="3">
        <f t="shared" si="45"/>
        <v>2948570174281.8003</v>
      </c>
      <c r="J1025" s="3">
        <v>317816130</v>
      </c>
      <c r="K1025" s="3">
        <f t="shared" si="46"/>
        <v>2477186043672</v>
      </c>
      <c r="M1025" s="4">
        <f t="shared" si="47"/>
        <v>-0.19029016081127881</v>
      </c>
    </row>
    <row r="1026" spans="1:13" x14ac:dyDescent="0.45">
      <c r="A1026" s="2">
        <v>44462</v>
      </c>
      <c r="B1026" s="1">
        <v>18519.349999999999</v>
      </c>
      <c r="D1026" s="2">
        <v>44462</v>
      </c>
      <c r="E1026" s="1">
        <v>7897.45</v>
      </c>
      <c r="G1026" s="3">
        <v>159137444</v>
      </c>
      <c r="H1026" s="3">
        <f t="shared" si="45"/>
        <v>2947122023541.3999</v>
      </c>
      <c r="J1026" s="3">
        <v>317816130</v>
      </c>
      <c r="K1026" s="3">
        <f t="shared" si="46"/>
        <v>2509936995868.5</v>
      </c>
      <c r="M1026" s="4">
        <f t="shared" si="47"/>
        <v>-0.17418167403904228</v>
      </c>
    </row>
    <row r="1027" spans="1:13" x14ac:dyDescent="0.45">
      <c r="A1027" s="2">
        <v>44461</v>
      </c>
      <c r="B1027" s="1">
        <v>17612.849999999999</v>
      </c>
      <c r="D1027" s="2">
        <v>44461</v>
      </c>
      <c r="E1027" s="1">
        <v>7790.75</v>
      </c>
      <c r="G1027" s="3">
        <v>159137444</v>
      </c>
      <c r="H1027" s="3">
        <f t="shared" si="45"/>
        <v>2802863930555.3999</v>
      </c>
      <c r="J1027" s="3">
        <v>317816130</v>
      </c>
      <c r="K1027" s="3">
        <f t="shared" si="46"/>
        <v>2476026014797.5</v>
      </c>
      <c r="M1027" s="4">
        <f t="shared" si="47"/>
        <v>-0.1320010023338265</v>
      </c>
    </row>
    <row r="1028" spans="1:13" x14ac:dyDescent="0.45">
      <c r="A1028" s="2">
        <v>44460</v>
      </c>
      <c r="B1028" s="1">
        <v>17566.25</v>
      </c>
      <c r="D1028" s="2">
        <v>44460</v>
      </c>
      <c r="E1028" s="1">
        <v>7810.6</v>
      </c>
      <c r="G1028" s="3">
        <v>159137444</v>
      </c>
      <c r="H1028" s="3">
        <f t="shared" ref="H1028:H1091" si="48">+G1028*B1028</f>
        <v>2795448125665</v>
      </c>
      <c r="J1028" s="3">
        <v>317816130</v>
      </c>
      <c r="K1028" s="3">
        <f t="shared" ref="K1028:K1091" si="49">+J1028*E1028</f>
        <v>2482334664978</v>
      </c>
      <c r="M1028" s="4">
        <f t="shared" ref="M1028:M1091" si="50">1- (H1028/K1028)</f>
        <v>-0.12613668298016334</v>
      </c>
    </row>
    <row r="1029" spans="1:13" x14ac:dyDescent="0.45">
      <c r="A1029" s="2">
        <v>44459</v>
      </c>
      <c r="B1029" s="1">
        <v>17024.75</v>
      </c>
      <c r="D1029" s="2">
        <v>44459</v>
      </c>
      <c r="E1029" s="1">
        <v>7442.9</v>
      </c>
      <c r="G1029" s="3">
        <v>159137444</v>
      </c>
      <c r="H1029" s="3">
        <f t="shared" si="48"/>
        <v>2709275199739</v>
      </c>
      <c r="J1029" s="3">
        <v>317816130</v>
      </c>
      <c r="K1029" s="3">
        <f t="shared" si="49"/>
        <v>2365473673977</v>
      </c>
      <c r="M1029" s="4">
        <f t="shared" si="50"/>
        <v>-0.14534151427860831</v>
      </c>
    </row>
    <row r="1030" spans="1:13" x14ac:dyDescent="0.45">
      <c r="A1030" s="2">
        <v>44456</v>
      </c>
      <c r="B1030" s="1">
        <v>16839.099999999999</v>
      </c>
      <c r="D1030" s="2">
        <v>44456</v>
      </c>
      <c r="E1030" s="1">
        <v>7427.05</v>
      </c>
      <c r="G1030" s="3">
        <v>159137444</v>
      </c>
      <c r="H1030" s="3">
        <f t="shared" si="48"/>
        <v>2679731333260.3999</v>
      </c>
      <c r="J1030" s="3">
        <v>317816130</v>
      </c>
      <c r="K1030" s="3">
        <f t="shared" si="49"/>
        <v>2360436288316.5</v>
      </c>
      <c r="M1030" s="4">
        <f t="shared" si="50"/>
        <v>-0.13526950357623346</v>
      </c>
    </row>
    <row r="1031" spans="1:13" x14ac:dyDescent="0.45">
      <c r="A1031" s="2">
        <v>44455</v>
      </c>
      <c r="B1031" s="1">
        <v>16730.8</v>
      </c>
      <c r="D1031" s="2">
        <v>44455</v>
      </c>
      <c r="E1031" s="1">
        <v>7410.9</v>
      </c>
      <c r="G1031" s="3">
        <v>159137444</v>
      </c>
      <c r="H1031" s="3">
        <f t="shared" si="48"/>
        <v>2662496748075.1997</v>
      </c>
      <c r="J1031" s="3">
        <v>317816130</v>
      </c>
      <c r="K1031" s="3">
        <f t="shared" si="49"/>
        <v>2355303557817</v>
      </c>
      <c r="M1031" s="4">
        <f t="shared" si="50"/>
        <v>-0.13042615642415112</v>
      </c>
    </row>
    <row r="1032" spans="1:13" x14ac:dyDescent="0.45">
      <c r="A1032" s="2">
        <v>44454</v>
      </c>
      <c r="B1032" s="1">
        <v>16829.099999999999</v>
      </c>
      <c r="D1032" s="2">
        <v>44454</v>
      </c>
      <c r="E1032" s="1">
        <v>7414.75</v>
      </c>
      <c r="G1032" s="3">
        <v>159137444</v>
      </c>
      <c r="H1032" s="3">
        <f t="shared" si="48"/>
        <v>2678139958820.3999</v>
      </c>
      <c r="J1032" s="3">
        <v>317816130</v>
      </c>
      <c r="K1032" s="3">
        <f t="shared" si="49"/>
        <v>2356527149917.5</v>
      </c>
      <c r="M1032" s="4">
        <f t="shared" si="50"/>
        <v>-0.13647744687098529</v>
      </c>
    </row>
    <row r="1033" spans="1:13" x14ac:dyDescent="0.45">
      <c r="A1033" s="2">
        <v>44453</v>
      </c>
      <c r="B1033" s="1">
        <v>16833.650000000001</v>
      </c>
      <c r="D1033" s="2">
        <v>44453</v>
      </c>
      <c r="E1033" s="1">
        <v>7417.95</v>
      </c>
      <c r="G1033" s="3">
        <v>159137444</v>
      </c>
      <c r="H1033" s="3">
        <f t="shared" si="48"/>
        <v>2678864034190.6001</v>
      </c>
      <c r="J1033" s="3">
        <v>317816130</v>
      </c>
      <c r="K1033" s="3">
        <f t="shared" si="49"/>
        <v>2357544161533.5</v>
      </c>
      <c r="M1033" s="4">
        <f t="shared" si="50"/>
        <v>-0.13629431757837907</v>
      </c>
    </row>
    <row r="1034" spans="1:13" x14ac:dyDescent="0.45">
      <c r="A1034" s="2">
        <v>44452</v>
      </c>
      <c r="B1034" s="1">
        <v>16929.150000000001</v>
      </c>
      <c r="D1034" s="2">
        <v>44452</v>
      </c>
      <c r="E1034" s="1">
        <v>7445.05</v>
      </c>
      <c r="G1034" s="3">
        <v>159137444</v>
      </c>
      <c r="H1034" s="3">
        <f t="shared" si="48"/>
        <v>2694061660092.6001</v>
      </c>
      <c r="J1034" s="3">
        <v>317816130</v>
      </c>
      <c r="K1034" s="3">
        <f t="shared" si="49"/>
        <v>2366156978656.5</v>
      </c>
      <c r="M1034" s="4">
        <f t="shared" si="50"/>
        <v>-0.13858111883273438</v>
      </c>
    </row>
    <row r="1035" spans="1:13" x14ac:dyDescent="0.45">
      <c r="A1035" s="2">
        <v>44448</v>
      </c>
      <c r="B1035" s="1">
        <v>16743.3</v>
      </c>
      <c r="D1035" s="2">
        <v>44448</v>
      </c>
      <c r="E1035" s="1">
        <v>7428.55</v>
      </c>
      <c r="G1035" s="3">
        <v>159137444</v>
      </c>
      <c r="H1035" s="3">
        <f t="shared" si="48"/>
        <v>2664485966125.1997</v>
      </c>
      <c r="J1035" s="3">
        <v>317816130</v>
      </c>
      <c r="K1035" s="3">
        <f t="shared" si="49"/>
        <v>2360913012511.5</v>
      </c>
      <c r="M1035" s="4">
        <f t="shared" si="50"/>
        <v>-0.12858286264887142</v>
      </c>
    </row>
    <row r="1036" spans="1:13" x14ac:dyDescent="0.45">
      <c r="A1036" s="2">
        <v>44447</v>
      </c>
      <c r="B1036" s="1">
        <v>16563.7</v>
      </c>
      <c r="D1036" s="2">
        <v>44447</v>
      </c>
      <c r="E1036" s="1">
        <v>7462.4</v>
      </c>
      <c r="G1036" s="3">
        <v>159137444</v>
      </c>
      <c r="H1036" s="3">
        <f t="shared" si="48"/>
        <v>2635904881182.8003</v>
      </c>
      <c r="J1036" s="3">
        <v>317816130</v>
      </c>
      <c r="K1036" s="3">
        <f t="shared" si="49"/>
        <v>2371671088512</v>
      </c>
      <c r="M1036" s="4">
        <f t="shared" si="50"/>
        <v>-0.11141249473871273</v>
      </c>
    </row>
    <row r="1037" spans="1:13" x14ac:dyDescent="0.45">
      <c r="A1037" s="2">
        <v>44446</v>
      </c>
      <c r="B1037" s="1">
        <v>16779.2</v>
      </c>
      <c r="D1037" s="2">
        <v>44446</v>
      </c>
      <c r="E1037" s="1">
        <v>7455.65</v>
      </c>
      <c r="G1037" s="3">
        <v>159137444</v>
      </c>
      <c r="H1037" s="3">
        <f t="shared" si="48"/>
        <v>2670199000364.8003</v>
      </c>
      <c r="J1037" s="3">
        <v>317816130</v>
      </c>
      <c r="K1037" s="3">
        <f t="shared" si="49"/>
        <v>2369525829634.5</v>
      </c>
      <c r="M1037" s="4">
        <f t="shared" si="50"/>
        <v>-0.12689170422619078</v>
      </c>
    </row>
    <row r="1038" spans="1:13" x14ac:dyDescent="0.45">
      <c r="A1038" s="2">
        <v>44445</v>
      </c>
      <c r="B1038" s="1">
        <v>16756.75</v>
      </c>
      <c r="D1038" s="2">
        <v>44445</v>
      </c>
      <c r="E1038" s="1">
        <v>7507.45</v>
      </c>
      <c r="G1038" s="3">
        <v>159137444</v>
      </c>
      <c r="H1038" s="3">
        <f t="shared" si="48"/>
        <v>2666626364747</v>
      </c>
      <c r="J1038" s="3">
        <v>317816130</v>
      </c>
      <c r="K1038" s="3">
        <f t="shared" si="49"/>
        <v>2385988705168.5</v>
      </c>
      <c r="M1038" s="4">
        <f t="shared" si="50"/>
        <v>-0.11761902265948954</v>
      </c>
    </row>
    <row r="1039" spans="1:13" x14ac:dyDescent="0.45">
      <c r="A1039" s="2">
        <v>44442</v>
      </c>
      <c r="B1039" s="1">
        <v>16728.95</v>
      </c>
      <c r="D1039" s="2">
        <v>44442</v>
      </c>
      <c r="E1039" s="1">
        <v>7525.05</v>
      </c>
      <c r="G1039" s="3">
        <v>159137444</v>
      </c>
      <c r="H1039" s="3">
        <f t="shared" si="48"/>
        <v>2662202343803.8003</v>
      </c>
      <c r="J1039" s="3">
        <v>317816130</v>
      </c>
      <c r="K1039" s="3">
        <f t="shared" si="49"/>
        <v>2391582269056.5</v>
      </c>
      <c r="M1039" s="4">
        <f t="shared" si="50"/>
        <v>-0.11315524381022546</v>
      </c>
    </row>
    <row r="1040" spans="1:13" x14ac:dyDescent="0.45">
      <c r="A1040" s="2">
        <v>44441</v>
      </c>
      <c r="B1040" s="1">
        <v>16701.05</v>
      </c>
      <c r="D1040" s="2">
        <v>44441</v>
      </c>
      <c r="E1040" s="1">
        <v>7499.4</v>
      </c>
      <c r="G1040" s="3">
        <v>159137444</v>
      </c>
      <c r="H1040" s="3">
        <f t="shared" si="48"/>
        <v>2657762409116.1997</v>
      </c>
      <c r="J1040" s="3">
        <v>317816130</v>
      </c>
      <c r="K1040" s="3">
        <f t="shared" si="49"/>
        <v>2383430285322</v>
      </c>
      <c r="M1040" s="4">
        <f t="shared" si="50"/>
        <v>-0.11509970544707482</v>
      </c>
    </row>
    <row r="1041" spans="1:13" x14ac:dyDescent="0.45">
      <c r="A1041" s="2">
        <v>44440</v>
      </c>
      <c r="B1041" s="1">
        <v>16784.55</v>
      </c>
      <c r="D1041" s="2">
        <v>44440</v>
      </c>
      <c r="E1041" s="1">
        <v>7522.9</v>
      </c>
      <c r="G1041" s="3">
        <v>159137444</v>
      </c>
      <c r="H1041" s="3">
        <f t="shared" si="48"/>
        <v>2671050385690.1997</v>
      </c>
      <c r="J1041" s="3">
        <v>317816130</v>
      </c>
      <c r="K1041" s="3">
        <f t="shared" si="49"/>
        <v>2390898964377</v>
      </c>
      <c r="M1041" s="4">
        <f t="shared" si="50"/>
        <v>-0.11717409455074956</v>
      </c>
    </row>
    <row r="1042" spans="1:13" x14ac:dyDescent="0.45">
      <c r="A1042" s="2">
        <v>44439</v>
      </c>
      <c r="B1042" s="1">
        <v>17134.2</v>
      </c>
      <c r="D1042" s="2">
        <v>44439</v>
      </c>
      <c r="E1042" s="1">
        <v>7519.95</v>
      </c>
      <c r="G1042" s="3">
        <v>159137444</v>
      </c>
      <c r="H1042" s="3">
        <f t="shared" si="48"/>
        <v>2726692792984.8003</v>
      </c>
      <c r="J1042" s="3">
        <v>317816130</v>
      </c>
      <c r="K1042" s="3">
        <f t="shared" si="49"/>
        <v>2389961406793.5</v>
      </c>
      <c r="M1042" s="4">
        <f t="shared" si="50"/>
        <v>-0.14089406851262809</v>
      </c>
    </row>
    <row r="1043" spans="1:13" x14ac:dyDescent="0.45">
      <c r="A1043" s="2">
        <v>44438</v>
      </c>
      <c r="B1043" s="1">
        <v>16551.650000000001</v>
      </c>
      <c r="D1043" s="2">
        <v>44438</v>
      </c>
      <c r="E1043" s="1">
        <v>7165.65</v>
      </c>
      <c r="G1043" s="3">
        <v>159137444</v>
      </c>
      <c r="H1043" s="3">
        <f t="shared" si="48"/>
        <v>2633987274982.6001</v>
      </c>
      <c r="J1043" s="3">
        <v>317816130</v>
      </c>
      <c r="K1043" s="3">
        <f t="shared" si="49"/>
        <v>2277359151934.5</v>
      </c>
      <c r="M1043" s="4">
        <f t="shared" si="50"/>
        <v>-0.15659722479221716</v>
      </c>
    </row>
    <row r="1044" spans="1:13" x14ac:dyDescent="0.45">
      <c r="A1044" s="2">
        <v>44435</v>
      </c>
      <c r="B1044" s="1">
        <v>16198.7</v>
      </c>
      <c r="D1044" s="2">
        <v>44435</v>
      </c>
      <c r="E1044" s="1">
        <v>6963.3</v>
      </c>
      <c r="G1044" s="3">
        <v>159137444</v>
      </c>
      <c r="H1044" s="3">
        <f t="shared" si="48"/>
        <v>2577819714122.8003</v>
      </c>
      <c r="J1044" s="3">
        <v>317816130</v>
      </c>
      <c r="K1044" s="3">
        <f t="shared" si="49"/>
        <v>2213049058029</v>
      </c>
      <c r="M1044" s="4">
        <f t="shared" si="50"/>
        <v>-0.16482718933428187</v>
      </c>
    </row>
    <row r="1045" spans="1:13" x14ac:dyDescent="0.45">
      <c r="A1045" s="2">
        <v>44434</v>
      </c>
      <c r="B1045" s="1">
        <v>15955.7</v>
      </c>
      <c r="D1045" s="2">
        <v>44434</v>
      </c>
      <c r="E1045" s="1">
        <v>6934.9</v>
      </c>
      <c r="G1045" s="3">
        <v>159137444</v>
      </c>
      <c r="H1045" s="3">
        <f t="shared" si="48"/>
        <v>2539149315230.8003</v>
      </c>
      <c r="J1045" s="3">
        <v>317816130</v>
      </c>
      <c r="K1045" s="3">
        <f t="shared" si="49"/>
        <v>2204023079937</v>
      </c>
      <c r="M1045" s="4">
        <f t="shared" si="50"/>
        <v>-0.15205205351269724</v>
      </c>
    </row>
    <row r="1046" spans="1:13" x14ac:dyDescent="0.45">
      <c r="A1046" s="2">
        <v>44433</v>
      </c>
      <c r="B1046" s="1">
        <v>15896.7</v>
      </c>
      <c r="D1046" s="2">
        <v>44433</v>
      </c>
      <c r="E1046" s="1">
        <v>6942.85</v>
      </c>
      <c r="G1046" s="3">
        <v>159137444</v>
      </c>
      <c r="H1046" s="3">
        <f t="shared" si="48"/>
        <v>2529760206034.8003</v>
      </c>
      <c r="J1046" s="3">
        <v>317816130</v>
      </c>
      <c r="K1046" s="3">
        <f t="shared" si="49"/>
        <v>2206549718170.5</v>
      </c>
      <c r="M1046" s="4">
        <f t="shared" si="50"/>
        <v>-0.1464777726070372</v>
      </c>
    </row>
    <row r="1047" spans="1:13" x14ac:dyDescent="0.45">
      <c r="A1047" s="2">
        <v>44432</v>
      </c>
      <c r="B1047" s="1">
        <v>16475.25</v>
      </c>
      <c r="D1047" s="2">
        <v>44432</v>
      </c>
      <c r="E1047" s="1">
        <v>6978.75</v>
      </c>
      <c r="G1047" s="3">
        <v>159137444</v>
      </c>
      <c r="H1047" s="3">
        <f t="shared" si="48"/>
        <v>2621829174261</v>
      </c>
      <c r="J1047" s="3">
        <v>317816130</v>
      </c>
      <c r="K1047" s="3">
        <f t="shared" si="49"/>
        <v>2217959317237.5</v>
      </c>
      <c r="M1047" s="4">
        <f t="shared" si="50"/>
        <v>-0.18209074164918659</v>
      </c>
    </row>
    <row r="1048" spans="1:13" x14ac:dyDescent="0.45">
      <c r="A1048" s="2">
        <v>44431</v>
      </c>
      <c r="B1048" s="1">
        <v>15268.2</v>
      </c>
      <c r="D1048" s="2">
        <v>44431</v>
      </c>
      <c r="E1048" s="1">
        <v>6753.85</v>
      </c>
      <c r="G1048" s="3">
        <v>159137444</v>
      </c>
      <c r="H1048" s="3">
        <f t="shared" si="48"/>
        <v>2429742322480.8003</v>
      </c>
      <c r="J1048" s="3">
        <v>317816130</v>
      </c>
      <c r="K1048" s="3">
        <f t="shared" si="49"/>
        <v>2146482469600.5</v>
      </c>
      <c r="M1048" s="4">
        <f t="shared" si="50"/>
        <v>-0.13196467098704989</v>
      </c>
    </row>
    <row r="1049" spans="1:13" x14ac:dyDescent="0.45">
      <c r="A1049" s="2">
        <v>44428</v>
      </c>
      <c r="B1049" s="1">
        <v>14971.75</v>
      </c>
      <c r="D1049" s="2">
        <v>44428</v>
      </c>
      <c r="E1049" s="1">
        <v>6656.5</v>
      </c>
      <c r="G1049" s="3">
        <v>159137444</v>
      </c>
      <c r="H1049" s="3">
        <f t="shared" si="48"/>
        <v>2382566027207</v>
      </c>
      <c r="J1049" s="3">
        <v>317816130</v>
      </c>
      <c r="K1049" s="3">
        <f t="shared" si="49"/>
        <v>2115543069345</v>
      </c>
      <c r="M1049" s="4">
        <f t="shared" si="50"/>
        <v>-0.12621958008383816</v>
      </c>
    </row>
    <row r="1050" spans="1:13" x14ac:dyDescent="0.45">
      <c r="A1050" s="2">
        <v>44426</v>
      </c>
      <c r="B1050" s="1">
        <v>15011</v>
      </c>
      <c r="D1050" s="2">
        <v>44426</v>
      </c>
      <c r="E1050" s="1">
        <v>6544.45</v>
      </c>
      <c r="G1050" s="3">
        <v>159137444</v>
      </c>
      <c r="H1050" s="3">
        <f t="shared" si="48"/>
        <v>2388812171884</v>
      </c>
      <c r="J1050" s="3">
        <v>317816130</v>
      </c>
      <c r="K1050" s="3">
        <f t="shared" si="49"/>
        <v>2079931771978.5</v>
      </c>
      <c r="M1050" s="4">
        <f t="shared" si="50"/>
        <v>-0.14850506351546455</v>
      </c>
    </row>
    <row r="1051" spans="1:13" x14ac:dyDescent="0.45">
      <c r="A1051" s="2">
        <v>44425</v>
      </c>
      <c r="B1051" s="1">
        <v>14748.25</v>
      </c>
      <c r="D1051" s="2">
        <v>44425</v>
      </c>
      <c r="E1051" s="1">
        <v>6408.7</v>
      </c>
      <c r="G1051" s="3">
        <v>159137444</v>
      </c>
      <c r="H1051" s="3">
        <f t="shared" si="48"/>
        <v>2346998808473</v>
      </c>
      <c r="J1051" s="3">
        <v>317816130</v>
      </c>
      <c r="K1051" s="3">
        <f t="shared" si="49"/>
        <v>2036788232331</v>
      </c>
      <c r="M1051" s="4">
        <f t="shared" si="50"/>
        <v>-0.15230379438464237</v>
      </c>
    </row>
    <row r="1052" spans="1:13" x14ac:dyDescent="0.45">
      <c r="A1052" s="2">
        <v>44424</v>
      </c>
      <c r="B1052" s="1">
        <v>14544.65</v>
      </c>
      <c r="D1052" s="2">
        <v>44424</v>
      </c>
      <c r="E1052" s="1">
        <v>6376.35</v>
      </c>
      <c r="G1052" s="3">
        <v>159137444</v>
      </c>
      <c r="H1052" s="3">
        <f t="shared" si="48"/>
        <v>2314598424874.6001</v>
      </c>
      <c r="J1052" s="3">
        <v>317816130</v>
      </c>
      <c r="K1052" s="3">
        <f t="shared" si="49"/>
        <v>2026506880525.5</v>
      </c>
      <c r="M1052" s="4">
        <f t="shared" si="50"/>
        <v>-0.14216164135322074</v>
      </c>
    </row>
    <row r="1053" spans="1:13" x14ac:dyDescent="0.45">
      <c r="A1053" s="2">
        <v>44421</v>
      </c>
      <c r="B1053" s="1">
        <v>14302.35</v>
      </c>
      <c r="D1053" s="2">
        <v>44421</v>
      </c>
      <c r="E1053" s="1">
        <v>6152.15</v>
      </c>
      <c r="G1053" s="3">
        <v>159137444</v>
      </c>
      <c r="H1053" s="3">
        <f t="shared" si="48"/>
        <v>2276039422193.3999</v>
      </c>
      <c r="J1053" s="3">
        <v>317816130</v>
      </c>
      <c r="K1053" s="3">
        <f t="shared" si="49"/>
        <v>1955252504179.5</v>
      </c>
      <c r="M1053" s="4">
        <f t="shared" si="50"/>
        <v>-0.16406418983133575</v>
      </c>
    </row>
    <row r="1054" spans="1:13" x14ac:dyDescent="0.45">
      <c r="A1054" s="2">
        <v>44420</v>
      </c>
      <c r="B1054" s="1">
        <v>14339.65</v>
      </c>
      <c r="D1054" s="2">
        <v>44420</v>
      </c>
      <c r="E1054" s="1">
        <v>6198.1</v>
      </c>
      <c r="G1054" s="3">
        <v>159137444</v>
      </c>
      <c r="H1054" s="3">
        <f t="shared" si="48"/>
        <v>2281975248854.6001</v>
      </c>
      <c r="J1054" s="3">
        <v>317816130</v>
      </c>
      <c r="K1054" s="3">
        <f t="shared" si="49"/>
        <v>1969856155353</v>
      </c>
      <c r="M1054" s="4">
        <f t="shared" si="50"/>
        <v>-0.15844765753754642</v>
      </c>
    </row>
    <row r="1055" spans="1:13" x14ac:dyDescent="0.45">
      <c r="A1055" s="2">
        <v>44419</v>
      </c>
      <c r="B1055" s="1">
        <v>14206.45</v>
      </c>
      <c r="D1055" s="2">
        <v>44419</v>
      </c>
      <c r="E1055" s="1">
        <v>6162.8</v>
      </c>
      <c r="G1055" s="3">
        <v>159137444</v>
      </c>
      <c r="H1055" s="3">
        <f t="shared" si="48"/>
        <v>2260778141313.8003</v>
      </c>
      <c r="J1055" s="3">
        <v>317816130</v>
      </c>
      <c r="K1055" s="3">
        <f t="shared" si="49"/>
        <v>1958637245964</v>
      </c>
      <c r="M1055" s="4">
        <f t="shared" si="50"/>
        <v>-0.15426077287787554</v>
      </c>
    </row>
    <row r="1056" spans="1:13" x14ac:dyDescent="0.45">
      <c r="A1056" s="2">
        <v>44418</v>
      </c>
      <c r="B1056" s="1">
        <v>14035.25</v>
      </c>
      <c r="D1056" s="2">
        <v>44418</v>
      </c>
      <c r="E1056" s="1">
        <v>6167.6</v>
      </c>
      <c r="G1056" s="3">
        <v>159137444</v>
      </c>
      <c r="H1056" s="3">
        <f t="shared" si="48"/>
        <v>2233533810901</v>
      </c>
      <c r="J1056" s="3">
        <v>317816130</v>
      </c>
      <c r="K1056" s="3">
        <f t="shared" si="49"/>
        <v>1960162763388</v>
      </c>
      <c r="M1056" s="4">
        <f t="shared" si="50"/>
        <v>-0.13946344284211265</v>
      </c>
    </row>
    <row r="1057" spans="1:13" x14ac:dyDescent="0.45">
      <c r="A1057" s="2">
        <v>44417</v>
      </c>
      <c r="B1057" s="1">
        <v>14240.8</v>
      </c>
      <c r="D1057" s="2">
        <v>44417</v>
      </c>
      <c r="E1057" s="1">
        <v>6190.45</v>
      </c>
      <c r="G1057" s="3">
        <v>159137444</v>
      </c>
      <c r="H1057" s="3">
        <f t="shared" si="48"/>
        <v>2266244512515.1997</v>
      </c>
      <c r="J1057" s="3">
        <v>317816130</v>
      </c>
      <c r="K1057" s="3">
        <f t="shared" si="49"/>
        <v>1967424861958.5</v>
      </c>
      <c r="M1057" s="4">
        <f t="shared" si="50"/>
        <v>-0.15188364055704562</v>
      </c>
    </row>
    <row r="1058" spans="1:13" x14ac:dyDescent="0.45">
      <c r="A1058" s="2">
        <v>44414</v>
      </c>
      <c r="B1058" s="1">
        <v>14004.25</v>
      </c>
      <c r="D1058" s="2">
        <v>44414</v>
      </c>
      <c r="E1058" s="1">
        <v>6223.2</v>
      </c>
      <c r="G1058" s="3">
        <v>159137444</v>
      </c>
      <c r="H1058" s="3">
        <f t="shared" si="48"/>
        <v>2228600550137</v>
      </c>
      <c r="J1058" s="3">
        <v>317816130</v>
      </c>
      <c r="K1058" s="3">
        <f t="shared" si="49"/>
        <v>1977833340216</v>
      </c>
      <c r="M1058" s="4">
        <f t="shared" si="50"/>
        <v>-0.12678884758491016</v>
      </c>
    </row>
    <row r="1059" spans="1:13" x14ac:dyDescent="0.45">
      <c r="A1059" s="2">
        <v>44413</v>
      </c>
      <c r="B1059" s="1">
        <v>13994.15</v>
      </c>
      <c r="D1059" s="2">
        <v>44413</v>
      </c>
      <c r="E1059" s="1">
        <v>6247.85</v>
      </c>
      <c r="G1059" s="3">
        <v>159137444</v>
      </c>
      <c r="H1059" s="3">
        <f t="shared" si="48"/>
        <v>2226993261952.6001</v>
      </c>
      <c r="J1059" s="3">
        <v>317816130</v>
      </c>
      <c r="K1059" s="3">
        <f t="shared" si="49"/>
        <v>1985667507820.5</v>
      </c>
      <c r="M1059" s="4">
        <f t="shared" si="50"/>
        <v>-0.12153381831633192</v>
      </c>
    </row>
    <row r="1060" spans="1:13" x14ac:dyDescent="0.45">
      <c r="A1060" s="2">
        <v>44412</v>
      </c>
      <c r="B1060" s="1">
        <v>14186.5</v>
      </c>
      <c r="D1060" s="2">
        <v>44412</v>
      </c>
      <c r="E1060" s="1">
        <v>6360.95</v>
      </c>
      <c r="G1060" s="3">
        <v>159137444</v>
      </c>
      <c r="H1060" s="3">
        <f t="shared" si="48"/>
        <v>2257603349306</v>
      </c>
      <c r="J1060" s="3">
        <v>317816130</v>
      </c>
      <c r="K1060" s="3">
        <f t="shared" si="49"/>
        <v>2021612512123.5</v>
      </c>
      <c r="M1060" s="4">
        <f t="shared" si="50"/>
        <v>-0.1167339615120484</v>
      </c>
    </row>
    <row r="1061" spans="1:13" x14ac:dyDescent="0.45">
      <c r="A1061" s="2">
        <v>44411</v>
      </c>
      <c r="B1061" s="1">
        <v>14281.8</v>
      </c>
      <c r="D1061" s="2">
        <v>44411</v>
      </c>
      <c r="E1061" s="1">
        <v>6328.35</v>
      </c>
      <c r="G1061" s="3">
        <v>159137444</v>
      </c>
      <c r="H1061" s="3">
        <f t="shared" si="48"/>
        <v>2272769147719.1997</v>
      </c>
      <c r="J1061" s="3">
        <v>317816130</v>
      </c>
      <c r="K1061" s="3">
        <f t="shared" si="49"/>
        <v>2011251706285.5</v>
      </c>
      <c r="M1061" s="4">
        <f t="shared" si="50"/>
        <v>-0.13002720674712842</v>
      </c>
    </row>
    <row r="1062" spans="1:13" x14ac:dyDescent="0.45">
      <c r="A1062" s="2">
        <v>44410</v>
      </c>
      <c r="B1062" s="1">
        <v>14124.75</v>
      </c>
      <c r="D1062" s="2">
        <v>44410</v>
      </c>
      <c r="E1062" s="1">
        <v>6198.95</v>
      </c>
      <c r="G1062" s="3">
        <v>159137444</v>
      </c>
      <c r="H1062" s="3">
        <f t="shared" si="48"/>
        <v>2247776612139</v>
      </c>
      <c r="J1062" s="3">
        <v>317816130</v>
      </c>
      <c r="K1062" s="3">
        <f t="shared" si="49"/>
        <v>1970126299063.5</v>
      </c>
      <c r="M1062" s="4">
        <f t="shared" si="50"/>
        <v>-0.14093021001114558</v>
      </c>
    </row>
    <row r="1063" spans="1:13" x14ac:dyDescent="0.45">
      <c r="A1063" s="2">
        <v>44407</v>
      </c>
      <c r="B1063" s="1">
        <v>14221.3</v>
      </c>
      <c r="D1063" s="2">
        <v>44407</v>
      </c>
      <c r="E1063" s="1">
        <v>6228.9</v>
      </c>
      <c r="G1063" s="3">
        <v>159137444</v>
      </c>
      <c r="H1063" s="3">
        <f t="shared" si="48"/>
        <v>2263141332357.1997</v>
      </c>
      <c r="J1063" s="3">
        <v>317816130</v>
      </c>
      <c r="K1063" s="3">
        <f t="shared" si="49"/>
        <v>1979644892157</v>
      </c>
      <c r="M1063" s="4">
        <f t="shared" si="50"/>
        <v>-0.14320570387313514</v>
      </c>
    </row>
    <row r="1064" spans="1:13" x14ac:dyDescent="0.45">
      <c r="A1064" s="2">
        <v>44406</v>
      </c>
      <c r="B1064" s="1">
        <v>14590.45</v>
      </c>
      <c r="D1064" s="2">
        <v>44406</v>
      </c>
      <c r="E1064" s="1">
        <v>6394.3</v>
      </c>
      <c r="G1064" s="3">
        <v>159137444</v>
      </c>
      <c r="H1064" s="3">
        <f t="shared" si="48"/>
        <v>2321886919809.8003</v>
      </c>
      <c r="J1064" s="3">
        <v>317816130</v>
      </c>
      <c r="K1064" s="3">
        <f t="shared" si="49"/>
        <v>2032211680059</v>
      </c>
      <c r="M1064" s="4">
        <f t="shared" si="50"/>
        <v>-0.1425418634255613</v>
      </c>
    </row>
    <row r="1065" spans="1:13" x14ac:dyDescent="0.45">
      <c r="A1065" s="2">
        <v>44405</v>
      </c>
      <c r="B1065" s="1">
        <v>13965.25</v>
      </c>
      <c r="D1065" s="2">
        <v>44405</v>
      </c>
      <c r="E1065" s="1">
        <v>6258.6</v>
      </c>
      <c r="G1065" s="3">
        <v>159137444</v>
      </c>
      <c r="H1065" s="3">
        <f t="shared" si="48"/>
        <v>2222394189821</v>
      </c>
      <c r="J1065" s="3">
        <v>317816130</v>
      </c>
      <c r="K1065" s="3">
        <f t="shared" si="49"/>
        <v>1989084031218</v>
      </c>
      <c r="M1065" s="4">
        <f t="shared" si="50"/>
        <v>-0.11729527508203574</v>
      </c>
    </row>
    <row r="1066" spans="1:13" x14ac:dyDescent="0.45">
      <c r="A1066" s="2">
        <v>44404</v>
      </c>
      <c r="B1066" s="1">
        <v>13801.2</v>
      </c>
      <c r="D1066" s="2">
        <v>44404</v>
      </c>
      <c r="E1066" s="1">
        <v>6231.2</v>
      </c>
      <c r="G1066" s="3">
        <v>159137444</v>
      </c>
      <c r="H1066" s="3">
        <f t="shared" si="48"/>
        <v>2196287692132.8</v>
      </c>
      <c r="J1066" s="3">
        <v>317816130</v>
      </c>
      <c r="K1066" s="3">
        <f t="shared" si="49"/>
        <v>1980375869256</v>
      </c>
      <c r="M1066" s="4">
        <f t="shared" si="50"/>
        <v>-0.10902567852329725</v>
      </c>
    </row>
    <row r="1067" spans="1:13" x14ac:dyDescent="0.45">
      <c r="A1067" s="2">
        <v>44403</v>
      </c>
      <c r="B1067" s="1">
        <v>13525.35</v>
      </c>
      <c r="D1067" s="2">
        <v>44403</v>
      </c>
      <c r="E1067" s="1">
        <v>6162.15</v>
      </c>
      <c r="G1067" s="3">
        <v>159137444</v>
      </c>
      <c r="H1067" s="3">
        <f t="shared" si="48"/>
        <v>2152389628205.4001</v>
      </c>
      <c r="J1067" s="3">
        <v>317816130</v>
      </c>
      <c r="K1067" s="3">
        <f t="shared" si="49"/>
        <v>1958430665479.5</v>
      </c>
      <c r="M1067" s="4">
        <f t="shared" si="50"/>
        <v>-9.903795224653078E-2</v>
      </c>
    </row>
    <row r="1068" spans="1:13" x14ac:dyDescent="0.45">
      <c r="A1068" s="2">
        <v>44400</v>
      </c>
      <c r="B1068" s="1">
        <v>13200.6</v>
      </c>
      <c r="D1068" s="2">
        <v>44400</v>
      </c>
      <c r="E1068" s="1">
        <v>6179.65</v>
      </c>
      <c r="G1068" s="3">
        <v>159137444</v>
      </c>
      <c r="H1068" s="3">
        <f t="shared" si="48"/>
        <v>2100709743266.4001</v>
      </c>
      <c r="J1068" s="3">
        <v>317816130</v>
      </c>
      <c r="K1068" s="3">
        <f t="shared" si="49"/>
        <v>1963992447754.5</v>
      </c>
      <c r="M1068" s="4">
        <f t="shared" si="50"/>
        <v>-6.9611925274057906E-2</v>
      </c>
    </row>
    <row r="1069" spans="1:13" x14ac:dyDescent="0.45">
      <c r="A1069" s="2">
        <v>44399</v>
      </c>
      <c r="B1069" s="1">
        <v>13065.35</v>
      </c>
      <c r="D1069" s="2">
        <v>44399</v>
      </c>
      <c r="E1069" s="1">
        <v>6198</v>
      </c>
      <c r="G1069" s="3">
        <v>159137444</v>
      </c>
      <c r="H1069" s="3">
        <f t="shared" si="48"/>
        <v>2079186403965.4001</v>
      </c>
      <c r="J1069" s="3">
        <v>317816130</v>
      </c>
      <c r="K1069" s="3">
        <f t="shared" si="49"/>
        <v>1969824373740</v>
      </c>
      <c r="M1069" s="4">
        <f t="shared" si="50"/>
        <v>-5.5518670437487039E-2</v>
      </c>
    </row>
    <row r="1070" spans="1:13" x14ac:dyDescent="0.45">
      <c r="A1070" s="2">
        <v>44397</v>
      </c>
      <c r="B1070" s="1">
        <v>12591.4</v>
      </c>
      <c r="D1070" s="2">
        <v>44397</v>
      </c>
      <c r="E1070" s="1">
        <v>5937.9</v>
      </c>
      <c r="G1070" s="3">
        <v>159137444</v>
      </c>
      <c r="H1070" s="3">
        <f t="shared" si="48"/>
        <v>2003763212381.5999</v>
      </c>
      <c r="J1070" s="3">
        <v>317816130</v>
      </c>
      <c r="K1070" s="3">
        <f t="shared" si="49"/>
        <v>1887160398327</v>
      </c>
      <c r="M1070" s="4">
        <f t="shared" si="50"/>
        <v>-6.1787442211043819E-2</v>
      </c>
    </row>
    <row r="1071" spans="1:13" x14ac:dyDescent="0.45">
      <c r="A1071" s="2">
        <v>44396</v>
      </c>
      <c r="B1071" s="1">
        <v>12712.3</v>
      </c>
      <c r="D1071" s="2">
        <v>44396</v>
      </c>
      <c r="E1071" s="1">
        <v>6012.75</v>
      </c>
      <c r="G1071" s="3">
        <v>159137444</v>
      </c>
      <c r="H1071" s="3">
        <f t="shared" si="48"/>
        <v>2023002929361.2</v>
      </c>
      <c r="J1071" s="3">
        <v>317816130</v>
      </c>
      <c r="K1071" s="3">
        <f t="shared" si="49"/>
        <v>1910948935657.5</v>
      </c>
      <c r="M1071" s="4">
        <f t="shared" si="50"/>
        <v>-5.8637879648597568E-2</v>
      </c>
    </row>
    <row r="1072" spans="1:13" x14ac:dyDescent="0.45">
      <c r="A1072" s="2">
        <v>44393</v>
      </c>
      <c r="B1072" s="1">
        <v>12751.65</v>
      </c>
      <c r="D1072" s="2">
        <v>44393</v>
      </c>
      <c r="E1072" s="1">
        <v>6126.8</v>
      </c>
      <c r="G1072" s="3">
        <v>159137444</v>
      </c>
      <c r="H1072" s="3">
        <f t="shared" si="48"/>
        <v>2029264987782.5999</v>
      </c>
      <c r="J1072" s="3">
        <v>317816130</v>
      </c>
      <c r="K1072" s="3">
        <f t="shared" si="49"/>
        <v>1947195865284</v>
      </c>
      <c r="M1072" s="4">
        <f t="shared" si="50"/>
        <v>-4.2147338109014498E-2</v>
      </c>
    </row>
    <row r="1073" spans="1:13" x14ac:dyDescent="0.45">
      <c r="A1073" s="2">
        <v>44392</v>
      </c>
      <c r="B1073" s="1">
        <v>12955.65</v>
      </c>
      <c r="D1073" s="2">
        <v>44392</v>
      </c>
      <c r="E1073" s="1">
        <v>6125.7</v>
      </c>
      <c r="G1073" s="3">
        <v>159137444</v>
      </c>
      <c r="H1073" s="3">
        <f t="shared" si="48"/>
        <v>2061729026358.5999</v>
      </c>
      <c r="J1073" s="3">
        <v>317816130</v>
      </c>
      <c r="K1073" s="3">
        <f t="shared" si="49"/>
        <v>1946846267541</v>
      </c>
      <c r="M1073" s="4">
        <f t="shared" si="50"/>
        <v>-5.900967155599024E-2</v>
      </c>
    </row>
    <row r="1074" spans="1:13" x14ac:dyDescent="0.45">
      <c r="A1074" s="2">
        <v>44391</v>
      </c>
      <c r="B1074" s="1">
        <v>12988.8</v>
      </c>
      <c r="D1074" s="2">
        <v>44391</v>
      </c>
      <c r="E1074" s="1">
        <v>6133.5</v>
      </c>
      <c r="G1074" s="3">
        <v>159137444</v>
      </c>
      <c r="H1074" s="3">
        <f t="shared" si="48"/>
        <v>2067004432627.2</v>
      </c>
      <c r="J1074" s="3">
        <v>317816130</v>
      </c>
      <c r="K1074" s="3">
        <f t="shared" si="49"/>
        <v>1949325233355</v>
      </c>
      <c r="M1074" s="4">
        <f t="shared" si="50"/>
        <v>-6.0369197124515495E-2</v>
      </c>
    </row>
    <row r="1075" spans="1:13" x14ac:dyDescent="0.45">
      <c r="A1075" s="2">
        <v>44390</v>
      </c>
      <c r="B1075" s="1">
        <v>12911.2</v>
      </c>
      <c r="D1075" s="2">
        <v>44390</v>
      </c>
      <c r="E1075" s="1">
        <v>6153.45</v>
      </c>
      <c r="G1075" s="3">
        <v>159137444</v>
      </c>
      <c r="H1075" s="3">
        <f t="shared" si="48"/>
        <v>2054655366972.8</v>
      </c>
      <c r="J1075" s="3">
        <v>317816130</v>
      </c>
      <c r="K1075" s="3">
        <f t="shared" si="49"/>
        <v>1955665665148.5</v>
      </c>
      <c r="M1075" s="4">
        <f t="shared" si="50"/>
        <v>-5.0616883851045902E-2</v>
      </c>
    </row>
    <row r="1076" spans="1:13" x14ac:dyDescent="0.45">
      <c r="A1076" s="2">
        <v>44389</v>
      </c>
      <c r="B1076" s="1">
        <v>12908.2</v>
      </c>
      <c r="D1076" s="2">
        <v>44389</v>
      </c>
      <c r="E1076" s="1">
        <v>6148.35</v>
      </c>
      <c r="G1076" s="3">
        <v>159137444</v>
      </c>
      <c r="H1076" s="3">
        <f t="shared" si="48"/>
        <v>2054177954640.8</v>
      </c>
      <c r="J1076" s="3">
        <v>317816130</v>
      </c>
      <c r="K1076" s="3">
        <f t="shared" si="49"/>
        <v>1954044802885.5</v>
      </c>
      <c r="M1076" s="4">
        <f t="shared" si="50"/>
        <v>-5.1244040877381769E-2</v>
      </c>
    </row>
    <row r="1077" spans="1:13" x14ac:dyDescent="0.45">
      <c r="A1077" s="2">
        <v>44386</v>
      </c>
      <c r="B1077" s="1">
        <v>12851.65</v>
      </c>
      <c r="D1077" s="2">
        <v>44386</v>
      </c>
      <c r="E1077" s="1">
        <v>6136.25</v>
      </c>
      <c r="G1077" s="3">
        <v>159137444</v>
      </c>
      <c r="H1077" s="3">
        <f t="shared" si="48"/>
        <v>2045178732182.5999</v>
      </c>
      <c r="J1077" s="3">
        <v>317816130</v>
      </c>
      <c r="K1077" s="3">
        <f t="shared" si="49"/>
        <v>1950199227712.5</v>
      </c>
      <c r="M1077" s="4">
        <f t="shared" si="50"/>
        <v>-4.870246235381126E-2</v>
      </c>
    </row>
    <row r="1078" spans="1:13" x14ac:dyDescent="0.45">
      <c r="A1078" s="2">
        <v>44385</v>
      </c>
      <c r="B1078" s="1">
        <v>12331.15</v>
      </c>
      <c r="D1078" s="2">
        <v>44385</v>
      </c>
      <c r="E1078" s="1">
        <v>6118.25</v>
      </c>
      <c r="G1078" s="3">
        <v>159137444</v>
      </c>
      <c r="H1078" s="3">
        <f t="shared" si="48"/>
        <v>1962347692580.5999</v>
      </c>
      <c r="J1078" s="3">
        <v>317816130</v>
      </c>
      <c r="K1078" s="3">
        <f t="shared" si="49"/>
        <v>1944478537372.5</v>
      </c>
      <c r="M1078" s="4">
        <f t="shared" si="50"/>
        <v>-9.189690122394234E-3</v>
      </c>
    </row>
    <row r="1079" spans="1:13" x14ac:dyDescent="0.45">
      <c r="A1079" s="2">
        <v>44384</v>
      </c>
      <c r="B1079" s="1">
        <v>12369.75</v>
      </c>
      <c r="D1079" s="2">
        <v>44384</v>
      </c>
      <c r="E1079" s="1">
        <v>6198.75</v>
      </c>
      <c r="G1079" s="3">
        <v>159137444</v>
      </c>
      <c r="H1079" s="3">
        <f t="shared" si="48"/>
        <v>1968490397919</v>
      </c>
      <c r="J1079" s="3">
        <v>317816130</v>
      </c>
      <c r="K1079" s="3">
        <f t="shared" si="49"/>
        <v>1970062735837.5</v>
      </c>
      <c r="M1079" s="4">
        <f t="shared" si="50"/>
        <v>7.9811565890641756E-4</v>
      </c>
    </row>
    <row r="1080" spans="1:13" x14ac:dyDescent="0.45">
      <c r="A1080" s="2">
        <v>44383</v>
      </c>
      <c r="B1080" s="1">
        <v>12094.45</v>
      </c>
      <c r="D1080" s="2">
        <v>44383</v>
      </c>
      <c r="E1080" s="1">
        <v>6203.45</v>
      </c>
      <c r="G1080" s="3">
        <v>159137444</v>
      </c>
      <c r="H1080" s="3">
        <f t="shared" si="48"/>
        <v>1924679859585.8</v>
      </c>
      <c r="J1080" s="3">
        <v>317816130</v>
      </c>
      <c r="K1080" s="3">
        <f t="shared" si="49"/>
        <v>1971556471648.5</v>
      </c>
      <c r="M1080" s="4">
        <f t="shared" si="50"/>
        <v>2.3776449083147244E-2</v>
      </c>
    </row>
    <row r="1081" spans="1:13" x14ac:dyDescent="0.45">
      <c r="A1081" s="2">
        <v>44382</v>
      </c>
      <c r="B1081" s="1">
        <v>11924.65</v>
      </c>
      <c r="D1081" s="2">
        <v>44382</v>
      </c>
      <c r="E1081" s="1">
        <v>6071.85</v>
      </c>
      <c r="G1081" s="3">
        <v>159137444</v>
      </c>
      <c r="H1081" s="3">
        <f t="shared" si="48"/>
        <v>1897658321594.5999</v>
      </c>
      <c r="J1081" s="3">
        <v>317816130</v>
      </c>
      <c r="K1081" s="3">
        <f t="shared" si="49"/>
        <v>1929731868940.5</v>
      </c>
      <c r="M1081" s="4">
        <f t="shared" si="50"/>
        <v>1.6620727398521828E-2</v>
      </c>
    </row>
    <row r="1082" spans="1:13" x14ac:dyDescent="0.45">
      <c r="A1082" s="2">
        <v>44379</v>
      </c>
      <c r="B1082" s="1">
        <v>11748.35</v>
      </c>
      <c r="D1082" s="2">
        <v>44379</v>
      </c>
      <c r="E1082" s="1">
        <v>5998.2</v>
      </c>
      <c r="G1082" s="3">
        <v>159137444</v>
      </c>
      <c r="H1082" s="3">
        <f t="shared" si="48"/>
        <v>1869602390217.4001</v>
      </c>
      <c r="J1082" s="3">
        <v>317816130</v>
      </c>
      <c r="K1082" s="3">
        <f t="shared" si="49"/>
        <v>1906324710966</v>
      </c>
      <c r="M1082" s="4">
        <f t="shared" si="50"/>
        <v>1.9263413277579189E-2</v>
      </c>
    </row>
    <row r="1083" spans="1:13" x14ac:dyDescent="0.45">
      <c r="A1083" s="2">
        <v>44378</v>
      </c>
      <c r="B1083" s="1">
        <v>11813.1</v>
      </c>
      <c r="D1083" s="2">
        <v>44378</v>
      </c>
      <c r="E1083" s="1">
        <v>5967.25</v>
      </c>
      <c r="G1083" s="3">
        <v>159137444</v>
      </c>
      <c r="H1083" s="3">
        <f t="shared" si="48"/>
        <v>1879906539716.4001</v>
      </c>
      <c r="J1083" s="3">
        <v>317816130</v>
      </c>
      <c r="K1083" s="3">
        <f t="shared" si="49"/>
        <v>1896488301742.5</v>
      </c>
      <c r="M1083" s="4">
        <f t="shared" si="50"/>
        <v>8.7434032737583323E-3</v>
      </c>
    </row>
    <row r="1084" spans="1:13" x14ac:dyDescent="0.45">
      <c r="A1084" s="2">
        <v>44377</v>
      </c>
      <c r="B1084" s="1">
        <v>12116.6</v>
      </c>
      <c r="D1084" s="2">
        <v>44377</v>
      </c>
      <c r="E1084" s="1">
        <v>6016.15</v>
      </c>
      <c r="G1084" s="3">
        <v>159137444</v>
      </c>
      <c r="H1084" s="3">
        <f t="shared" si="48"/>
        <v>1928204753970.4001</v>
      </c>
      <c r="J1084" s="3">
        <v>317816130</v>
      </c>
      <c r="K1084" s="3">
        <f t="shared" si="49"/>
        <v>1912029510499.5</v>
      </c>
      <c r="M1084" s="4">
        <f t="shared" si="50"/>
        <v>-8.4597248013575932E-3</v>
      </c>
    </row>
    <row r="1085" spans="1:13" x14ac:dyDescent="0.45">
      <c r="A1085" s="2">
        <v>44376</v>
      </c>
      <c r="B1085" s="1">
        <v>12300.25</v>
      </c>
      <c r="D1085" s="2">
        <v>44376</v>
      </c>
      <c r="E1085" s="1">
        <v>6052.85</v>
      </c>
      <c r="G1085" s="3">
        <v>159137444</v>
      </c>
      <c r="H1085" s="3">
        <f t="shared" si="48"/>
        <v>1957430345561</v>
      </c>
      <c r="J1085" s="3">
        <v>317816130</v>
      </c>
      <c r="K1085" s="3">
        <f t="shared" si="49"/>
        <v>1923693362470.5</v>
      </c>
      <c r="M1085" s="4">
        <f t="shared" si="50"/>
        <v>-1.7537609552893185E-2</v>
      </c>
    </row>
    <row r="1086" spans="1:13" x14ac:dyDescent="0.45">
      <c r="A1086" s="2">
        <v>44375</v>
      </c>
      <c r="B1086" s="1">
        <v>12380.2</v>
      </c>
      <c r="D1086" s="2">
        <v>44375</v>
      </c>
      <c r="E1086" s="1">
        <v>6035.25</v>
      </c>
      <c r="G1086" s="3">
        <v>159137444</v>
      </c>
      <c r="H1086" s="3">
        <f t="shared" si="48"/>
        <v>1970153384208.8</v>
      </c>
      <c r="J1086" s="3">
        <v>317816130</v>
      </c>
      <c r="K1086" s="3">
        <f t="shared" si="49"/>
        <v>1918099798582.5</v>
      </c>
      <c r="M1086" s="4">
        <f t="shared" si="50"/>
        <v>-2.7138100772842177E-2</v>
      </c>
    </row>
    <row r="1087" spans="1:13" x14ac:dyDescent="0.45">
      <c r="A1087" s="2">
        <v>44372</v>
      </c>
      <c r="B1087" s="1">
        <v>12488.75</v>
      </c>
      <c r="D1087" s="2">
        <v>44372</v>
      </c>
      <c r="E1087" s="1">
        <v>6074.65</v>
      </c>
      <c r="G1087" s="3">
        <v>159137444</v>
      </c>
      <c r="H1087" s="3">
        <f t="shared" si="48"/>
        <v>1987427753755</v>
      </c>
      <c r="J1087" s="3">
        <v>317816130</v>
      </c>
      <c r="K1087" s="3">
        <f t="shared" si="49"/>
        <v>1930621754104.5</v>
      </c>
      <c r="M1087" s="4">
        <f t="shared" si="50"/>
        <v>-2.9423681531470569E-2</v>
      </c>
    </row>
    <row r="1088" spans="1:13" x14ac:dyDescent="0.45">
      <c r="A1088" s="2">
        <v>44371</v>
      </c>
      <c r="B1088" s="1">
        <v>12297.35</v>
      </c>
      <c r="D1088" s="2">
        <v>44371</v>
      </c>
      <c r="E1088" s="1">
        <v>6042.9</v>
      </c>
      <c r="G1088" s="3">
        <v>159137444</v>
      </c>
      <c r="H1088" s="3">
        <f t="shared" si="48"/>
        <v>1956968846973.4001</v>
      </c>
      <c r="J1088" s="3">
        <v>317816130</v>
      </c>
      <c r="K1088" s="3">
        <f t="shared" si="49"/>
        <v>1920531091977</v>
      </c>
      <c r="M1088" s="4">
        <f t="shared" si="50"/>
        <v>-1.8972749334086991E-2</v>
      </c>
    </row>
    <row r="1089" spans="1:13" x14ac:dyDescent="0.45">
      <c r="A1089" s="2">
        <v>44370</v>
      </c>
      <c r="B1089" s="1">
        <v>12280.8</v>
      </c>
      <c r="D1089" s="2">
        <v>44370</v>
      </c>
      <c r="E1089" s="1">
        <v>6015.2</v>
      </c>
      <c r="G1089" s="3">
        <v>159137444</v>
      </c>
      <c r="H1089" s="3">
        <f t="shared" si="48"/>
        <v>1954335122275.2</v>
      </c>
      <c r="J1089" s="3">
        <v>317816130</v>
      </c>
      <c r="K1089" s="3">
        <f t="shared" si="49"/>
        <v>1911727585176</v>
      </c>
      <c r="M1089" s="4">
        <f t="shared" si="50"/>
        <v>-2.228745216085648E-2</v>
      </c>
    </row>
    <row r="1090" spans="1:13" x14ac:dyDescent="0.45">
      <c r="A1090" s="2">
        <v>44369</v>
      </c>
      <c r="B1090" s="1">
        <v>12133.05</v>
      </c>
      <c r="D1090" s="2">
        <v>44369</v>
      </c>
      <c r="E1090" s="1">
        <v>6017.4</v>
      </c>
      <c r="G1090" s="3">
        <v>159137444</v>
      </c>
      <c r="H1090" s="3">
        <f t="shared" si="48"/>
        <v>1930822564924.2</v>
      </c>
      <c r="J1090" s="3">
        <v>317816130</v>
      </c>
      <c r="K1090" s="3">
        <f t="shared" si="49"/>
        <v>1912426780662</v>
      </c>
      <c r="M1090" s="4">
        <f t="shared" si="50"/>
        <v>-9.6190789881285266E-3</v>
      </c>
    </row>
    <row r="1091" spans="1:13" x14ac:dyDescent="0.45">
      <c r="A1091" s="2">
        <v>44368</v>
      </c>
      <c r="B1091" s="1">
        <v>12161.7</v>
      </c>
      <c r="D1091" s="2">
        <v>44368</v>
      </c>
      <c r="E1091" s="1">
        <v>6115.85</v>
      </c>
      <c r="G1091" s="3">
        <v>159137444</v>
      </c>
      <c r="H1091" s="3">
        <f t="shared" si="48"/>
        <v>1935381852694.8</v>
      </c>
      <c r="J1091" s="3">
        <v>317816130</v>
      </c>
      <c r="K1091" s="3">
        <f t="shared" si="49"/>
        <v>1943715778660.5</v>
      </c>
      <c r="M1091" s="4">
        <f t="shared" si="50"/>
        <v>4.2876258232791287E-3</v>
      </c>
    </row>
    <row r="1092" spans="1:13" x14ac:dyDescent="0.45">
      <c r="A1092" s="2">
        <v>44365</v>
      </c>
      <c r="B1092" s="1">
        <v>11998</v>
      </c>
      <c r="D1092" s="2">
        <v>44365</v>
      </c>
      <c r="E1092" s="1">
        <v>6087.3</v>
      </c>
      <c r="G1092" s="3">
        <v>159137444</v>
      </c>
      <c r="H1092" s="3">
        <f t="shared" ref="H1092:H1155" si="51">+G1092*B1092</f>
        <v>1909331053112</v>
      </c>
      <c r="J1092" s="3">
        <v>317816130</v>
      </c>
      <c r="K1092" s="3">
        <f t="shared" ref="K1092:K1155" si="52">+J1092*E1092</f>
        <v>1934642128149</v>
      </c>
      <c r="M1092" s="4">
        <f t="shared" ref="M1092:M1155" si="53">1- (H1092/K1092)</f>
        <v>1.3083078605972909E-2</v>
      </c>
    </row>
    <row r="1093" spans="1:13" x14ac:dyDescent="0.45">
      <c r="A1093" s="2">
        <v>44364</v>
      </c>
      <c r="B1093" s="1">
        <v>11818.05</v>
      </c>
      <c r="D1093" s="2">
        <v>44364</v>
      </c>
      <c r="E1093" s="1">
        <v>6050</v>
      </c>
      <c r="G1093" s="3">
        <v>159137444</v>
      </c>
      <c r="H1093" s="3">
        <f t="shared" si="51"/>
        <v>1880694270064.2</v>
      </c>
      <c r="J1093" s="3">
        <v>317816130</v>
      </c>
      <c r="K1093" s="3">
        <f t="shared" si="52"/>
        <v>1922787586500</v>
      </c>
      <c r="M1093" s="4">
        <f t="shared" si="53"/>
        <v>2.1891818280573294E-2</v>
      </c>
    </row>
    <row r="1094" spans="1:13" x14ac:dyDescent="0.45">
      <c r="A1094" s="2">
        <v>44363</v>
      </c>
      <c r="B1094" s="1">
        <v>11852.9</v>
      </c>
      <c r="D1094" s="2">
        <v>44363</v>
      </c>
      <c r="E1094" s="1">
        <v>6083</v>
      </c>
      <c r="G1094" s="3">
        <v>159137444</v>
      </c>
      <c r="H1094" s="3">
        <f t="shared" si="51"/>
        <v>1886240209987.5999</v>
      </c>
      <c r="J1094" s="3">
        <v>317816130</v>
      </c>
      <c r="K1094" s="3">
        <f t="shared" si="52"/>
        <v>1933275518790</v>
      </c>
      <c r="M1094" s="4">
        <f t="shared" si="53"/>
        <v>2.432933554749539E-2</v>
      </c>
    </row>
    <row r="1095" spans="1:13" x14ac:dyDescent="0.45">
      <c r="A1095" s="2">
        <v>44362</v>
      </c>
      <c r="B1095" s="1">
        <v>11799.05</v>
      </c>
      <c r="D1095" s="2">
        <v>44362</v>
      </c>
      <c r="E1095" s="1">
        <v>6160.7</v>
      </c>
      <c r="G1095" s="3">
        <v>159137444</v>
      </c>
      <c r="H1095" s="3">
        <f t="shared" si="51"/>
        <v>1877670658628.2</v>
      </c>
      <c r="J1095" s="3">
        <v>317816130</v>
      </c>
      <c r="K1095" s="3">
        <f t="shared" si="52"/>
        <v>1957969832091</v>
      </c>
      <c r="M1095" s="4">
        <f t="shared" si="53"/>
        <v>4.1011445706007232E-2</v>
      </c>
    </row>
    <row r="1096" spans="1:13" x14ac:dyDescent="0.45">
      <c r="A1096" s="2">
        <v>44361</v>
      </c>
      <c r="B1096" s="1">
        <v>11931.8</v>
      </c>
      <c r="D1096" s="2">
        <v>44361</v>
      </c>
      <c r="E1096" s="1">
        <v>6194.2</v>
      </c>
      <c r="G1096" s="3">
        <v>159137444</v>
      </c>
      <c r="H1096" s="3">
        <f t="shared" si="51"/>
        <v>1898796154319.2</v>
      </c>
      <c r="J1096" s="3">
        <v>317816130</v>
      </c>
      <c r="K1096" s="3">
        <f t="shared" si="52"/>
        <v>1968616672446</v>
      </c>
      <c r="M1096" s="4">
        <f t="shared" si="53"/>
        <v>3.5466792039330008E-2</v>
      </c>
    </row>
    <row r="1097" spans="1:13" x14ac:dyDescent="0.45">
      <c r="A1097" s="2">
        <v>44358</v>
      </c>
      <c r="B1097" s="1">
        <v>11898.45</v>
      </c>
      <c r="D1097" s="2">
        <v>44358</v>
      </c>
      <c r="E1097" s="1">
        <v>6118.8</v>
      </c>
      <c r="G1097" s="3">
        <v>159137444</v>
      </c>
      <c r="H1097" s="3">
        <f t="shared" si="51"/>
        <v>1893488920561.8</v>
      </c>
      <c r="J1097" s="3">
        <v>317816130</v>
      </c>
      <c r="K1097" s="3">
        <f t="shared" si="52"/>
        <v>1944653336244</v>
      </c>
      <c r="M1097" s="4">
        <f t="shared" si="53"/>
        <v>2.6310301547638026E-2</v>
      </c>
    </row>
    <row r="1098" spans="1:13" x14ac:dyDescent="0.45">
      <c r="A1098" s="2">
        <v>44357</v>
      </c>
      <c r="B1098" s="1">
        <v>11991.6</v>
      </c>
      <c r="D1098" s="2">
        <v>44357</v>
      </c>
      <c r="E1098" s="1">
        <v>6087.6</v>
      </c>
      <c r="G1098" s="3">
        <v>159137444</v>
      </c>
      <c r="H1098" s="3">
        <f t="shared" si="51"/>
        <v>1908312573470.4001</v>
      </c>
      <c r="J1098" s="3">
        <v>317816130</v>
      </c>
      <c r="K1098" s="3">
        <f t="shared" si="52"/>
        <v>1934737472988</v>
      </c>
      <c r="M1098" s="4">
        <f t="shared" si="53"/>
        <v>1.3658131858473421E-2</v>
      </c>
    </row>
    <row r="1099" spans="1:13" x14ac:dyDescent="0.45">
      <c r="A1099" s="2">
        <v>44356</v>
      </c>
      <c r="B1099" s="1">
        <v>11558.65</v>
      </c>
      <c r="D1099" s="2">
        <v>44356</v>
      </c>
      <c r="E1099" s="1">
        <v>5674.15</v>
      </c>
      <c r="G1099" s="3">
        <v>159137444</v>
      </c>
      <c r="H1099" s="3">
        <f t="shared" si="51"/>
        <v>1839414017090.5999</v>
      </c>
      <c r="J1099" s="3">
        <v>317816130</v>
      </c>
      <c r="K1099" s="3">
        <f t="shared" si="52"/>
        <v>1803336394039.5</v>
      </c>
      <c r="M1099" s="4">
        <f t="shared" si="53"/>
        <v>-2.000604167383635E-2</v>
      </c>
    </row>
    <row r="1100" spans="1:13" x14ac:dyDescent="0.45">
      <c r="A1100" s="2">
        <v>44355</v>
      </c>
      <c r="B1100" s="1">
        <v>11730.85</v>
      </c>
      <c r="D1100" s="2">
        <v>44355</v>
      </c>
      <c r="E1100" s="1">
        <v>5756.5</v>
      </c>
      <c r="G1100" s="3">
        <v>159137444</v>
      </c>
      <c r="H1100" s="3">
        <f t="shared" si="51"/>
        <v>1866817484947.4001</v>
      </c>
      <c r="J1100" s="3">
        <v>317816130</v>
      </c>
      <c r="K1100" s="3">
        <f t="shared" si="52"/>
        <v>1829508552345</v>
      </c>
      <c r="M1100" s="4">
        <f t="shared" si="53"/>
        <v>-2.0392871383180466E-2</v>
      </c>
    </row>
    <row r="1101" spans="1:13" x14ac:dyDescent="0.45">
      <c r="A1101" s="2">
        <v>44354</v>
      </c>
      <c r="B1101" s="1">
        <v>11828.5</v>
      </c>
      <c r="D1101" s="2">
        <v>44354</v>
      </c>
      <c r="E1101" s="1">
        <v>5728.2</v>
      </c>
      <c r="G1101" s="3">
        <v>159137444</v>
      </c>
      <c r="H1101" s="3">
        <f t="shared" si="51"/>
        <v>1882357256354</v>
      </c>
      <c r="J1101" s="3">
        <v>317816130</v>
      </c>
      <c r="K1101" s="3">
        <f t="shared" si="52"/>
        <v>1820514355866</v>
      </c>
      <c r="M1101" s="4">
        <f t="shared" si="53"/>
        <v>-3.3970015280973653E-2</v>
      </c>
    </row>
    <row r="1102" spans="1:13" x14ac:dyDescent="0.45">
      <c r="A1102" s="2">
        <v>44351</v>
      </c>
      <c r="B1102" s="1">
        <v>12152.4</v>
      </c>
      <c r="D1102" s="2">
        <v>44351</v>
      </c>
      <c r="E1102" s="1">
        <v>5993.55</v>
      </c>
      <c r="G1102" s="3">
        <v>159137444</v>
      </c>
      <c r="H1102" s="3">
        <f t="shared" si="51"/>
        <v>1933901874465.5999</v>
      </c>
      <c r="J1102" s="3">
        <v>317816130</v>
      </c>
      <c r="K1102" s="3">
        <f t="shared" si="52"/>
        <v>1904846865961.5</v>
      </c>
      <c r="M1102" s="4">
        <f t="shared" si="53"/>
        <v>-1.5253199101353365E-2</v>
      </c>
    </row>
    <row r="1103" spans="1:13" x14ac:dyDescent="0.45">
      <c r="A1103" s="2">
        <v>44350</v>
      </c>
      <c r="B1103" s="1">
        <v>11820.55</v>
      </c>
      <c r="D1103" s="2">
        <v>44350</v>
      </c>
      <c r="E1103" s="1">
        <v>5901.65</v>
      </c>
      <c r="G1103" s="3">
        <v>159137444</v>
      </c>
      <c r="H1103" s="3">
        <f t="shared" si="51"/>
        <v>1881092113674.2</v>
      </c>
      <c r="J1103" s="3">
        <v>317816130</v>
      </c>
      <c r="K1103" s="3">
        <f t="shared" si="52"/>
        <v>1875639563614.5</v>
      </c>
      <c r="M1103" s="4">
        <f t="shared" si="53"/>
        <v>-2.9070351071036615E-3</v>
      </c>
    </row>
    <row r="1104" spans="1:13" x14ac:dyDescent="0.45">
      <c r="A1104" s="2">
        <v>44349</v>
      </c>
      <c r="B1104" s="1">
        <v>11819.55</v>
      </c>
      <c r="D1104" s="2">
        <v>44349</v>
      </c>
      <c r="E1104" s="1">
        <v>5808</v>
      </c>
      <c r="G1104" s="3">
        <v>159137444</v>
      </c>
      <c r="H1104" s="3">
        <f t="shared" si="51"/>
        <v>1880932976230.2</v>
      </c>
      <c r="J1104" s="3">
        <v>317816130</v>
      </c>
      <c r="K1104" s="3">
        <f t="shared" si="52"/>
        <v>1845876083040</v>
      </c>
      <c r="M1104" s="4">
        <f t="shared" si="53"/>
        <v>-1.8992007920956455E-2</v>
      </c>
    </row>
    <row r="1105" spans="1:13" x14ac:dyDescent="0.45">
      <c r="A1105" s="2">
        <v>44348</v>
      </c>
      <c r="B1105" s="1">
        <v>11832.25</v>
      </c>
      <c r="D1105" s="2">
        <v>44348</v>
      </c>
      <c r="E1105" s="1">
        <v>5786.1</v>
      </c>
      <c r="G1105" s="3">
        <v>159137444</v>
      </c>
      <c r="H1105" s="3">
        <f t="shared" si="51"/>
        <v>1882954021769</v>
      </c>
      <c r="J1105" s="3">
        <v>317816130</v>
      </c>
      <c r="K1105" s="3">
        <f t="shared" si="52"/>
        <v>1838915909793</v>
      </c>
      <c r="M1105" s="4">
        <f t="shared" si="53"/>
        <v>-2.3947866099520043E-2</v>
      </c>
    </row>
    <row r="1106" spans="1:13" x14ac:dyDescent="0.45">
      <c r="A1106" s="2">
        <v>44347</v>
      </c>
      <c r="B1106" s="1">
        <v>11796.8</v>
      </c>
      <c r="D1106" s="2">
        <v>44347</v>
      </c>
      <c r="E1106" s="1">
        <v>5621.15</v>
      </c>
      <c r="G1106" s="3">
        <v>159137444</v>
      </c>
      <c r="H1106" s="3">
        <f t="shared" si="51"/>
        <v>1877312599379.2</v>
      </c>
      <c r="J1106" s="3">
        <v>317816130</v>
      </c>
      <c r="K1106" s="3">
        <f t="shared" si="52"/>
        <v>1786492139149.5</v>
      </c>
      <c r="M1106" s="4">
        <f t="shared" si="53"/>
        <v>-5.0837313100597914E-2</v>
      </c>
    </row>
    <row r="1107" spans="1:13" x14ac:dyDescent="0.45">
      <c r="A1107" s="2">
        <v>44344</v>
      </c>
      <c r="B1107" s="1">
        <v>11712.55</v>
      </c>
      <c r="D1107" s="2">
        <v>44344</v>
      </c>
      <c r="E1107" s="1">
        <v>5609.55</v>
      </c>
      <c r="G1107" s="3">
        <v>159137444</v>
      </c>
      <c r="H1107" s="3">
        <f t="shared" si="51"/>
        <v>1863905269722.2</v>
      </c>
      <c r="J1107" s="3">
        <v>317816130</v>
      </c>
      <c r="K1107" s="3">
        <f t="shared" si="52"/>
        <v>1782805472041.5</v>
      </c>
      <c r="M1107" s="4">
        <f t="shared" si="53"/>
        <v>-4.5489986962981455E-2</v>
      </c>
    </row>
    <row r="1108" spans="1:13" x14ac:dyDescent="0.45">
      <c r="A1108" s="2">
        <v>44343</v>
      </c>
      <c r="B1108" s="1">
        <v>11883.65</v>
      </c>
      <c r="D1108" s="2">
        <v>44343</v>
      </c>
      <c r="E1108" s="1">
        <v>5683.3</v>
      </c>
      <c r="G1108" s="3">
        <v>159137444</v>
      </c>
      <c r="H1108" s="3">
        <f t="shared" si="51"/>
        <v>1891133686390.5999</v>
      </c>
      <c r="J1108" s="3">
        <v>317816130</v>
      </c>
      <c r="K1108" s="3">
        <f t="shared" si="52"/>
        <v>1806244411629</v>
      </c>
      <c r="M1108" s="4">
        <f t="shared" si="53"/>
        <v>-4.6997667765815043E-2</v>
      </c>
    </row>
    <row r="1109" spans="1:13" x14ac:dyDescent="0.45">
      <c r="A1109" s="2">
        <v>44342</v>
      </c>
      <c r="B1109" s="1">
        <v>11907.75</v>
      </c>
      <c r="D1109" s="2">
        <v>44342</v>
      </c>
      <c r="E1109" s="1">
        <v>5771.65</v>
      </c>
      <c r="G1109" s="3">
        <v>159137444</v>
      </c>
      <c r="H1109" s="3">
        <f t="shared" si="51"/>
        <v>1894968898791</v>
      </c>
      <c r="J1109" s="3">
        <v>317816130</v>
      </c>
      <c r="K1109" s="3">
        <f t="shared" si="52"/>
        <v>1834323466714.5</v>
      </c>
      <c r="M1109" s="4">
        <f t="shared" si="53"/>
        <v>-3.306147098751544E-2</v>
      </c>
    </row>
    <row r="1110" spans="1:13" x14ac:dyDescent="0.45">
      <c r="A1110" s="2">
        <v>44341</v>
      </c>
      <c r="B1110" s="1">
        <v>11371.1</v>
      </c>
      <c r="D1110" s="2">
        <v>44341</v>
      </c>
      <c r="E1110" s="1">
        <v>5618.8</v>
      </c>
      <c r="G1110" s="3">
        <v>159137444</v>
      </c>
      <c r="H1110" s="3">
        <f t="shared" si="51"/>
        <v>1809567789468.4001</v>
      </c>
      <c r="J1110" s="3">
        <v>317816130</v>
      </c>
      <c r="K1110" s="3">
        <f t="shared" si="52"/>
        <v>1785745271244</v>
      </c>
      <c r="M1110" s="4">
        <f t="shared" si="53"/>
        <v>-1.3340378724791213E-2</v>
      </c>
    </row>
    <row r="1111" spans="1:13" x14ac:dyDescent="0.45">
      <c r="A1111" s="2">
        <v>44340</v>
      </c>
      <c r="B1111" s="1">
        <v>11161.95</v>
      </c>
      <c r="D1111" s="2">
        <v>44340</v>
      </c>
      <c r="E1111" s="1">
        <v>5602.25</v>
      </c>
      <c r="G1111" s="3">
        <v>159137444</v>
      </c>
      <c r="H1111" s="3">
        <f t="shared" si="51"/>
        <v>1776284193055.8</v>
      </c>
      <c r="J1111" s="3">
        <v>317816130</v>
      </c>
      <c r="K1111" s="3">
        <f t="shared" si="52"/>
        <v>1780485414292.5</v>
      </c>
      <c r="M1111" s="4">
        <f t="shared" si="53"/>
        <v>2.3595931777792289E-3</v>
      </c>
    </row>
    <row r="1112" spans="1:13" x14ac:dyDescent="0.45">
      <c r="A1112" s="2">
        <v>44337</v>
      </c>
      <c r="B1112" s="1">
        <v>11269.75</v>
      </c>
      <c r="D1112" s="2">
        <v>44337</v>
      </c>
      <c r="E1112" s="1">
        <v>5630.8</v>
      </c>
      <c r="G1112" s="3">
        <v>159137444</v>
      </c>
      <c r="H1112" s="3">
        <f t="shared" si="51"/>
        <v>1793439209519</v>
      </c>
      <c r="J1112" s="3">
        <v>317816130</v>
      </c>
      <c r="K1112" s="3">
        <f t="shared" si="52"/>
        <v>1789559064804</v>
      </c>
      <c r="M1112" s="4">
        <f t="shared" si="53"/>
        <v>-2.1682127130153717E-3</v>
      </c>
    </row>
    <row r="1113" spans="1:13" x14ac:dyDescent="0.45">
      <c r="A1113" s="2">
        <v>44336</v>
      </c>
      <c r="B1113" s="1">
        <v>11225.45</v>
      </c>
      <c r="D1113" s="2">
        <v>44336</v>
      </c>
      <c r="E1113" s="1">
        <v>5590</v>
      </c>
      <c r="G1113" s="3">
        <v>159137444</v>
      </c>
      <c r="H1113" s="3">
        <f t="shared" si="51"/>
        <v>1786389420749.8</v>
      </c>
      <c r="J1113" s="3">
        <v>317816130</v>
      </c>
      <c r="K1113" s="3">
        <f t="shared" si="52"/>
        <v>1776592166700</v>
      </c>
      <c r="M1113" s="4">
        <f t="shared" si="53"/>
        <v>-5.5146331462208042E-3</v>
      </c>
    </row>
    <row r="1114" spans="1:13" x14ac:dyDescent="0.45">
      <c r="A1114" s="2">
        <v>44335</v>
      </c>
      <c r="B1114" s="1">
        <v>11205.9</v>
      </c>
      <c r="D1114" s="2">
        <v>44335</v>
      </c>
      <c r="E1114" s="1">
        <v>5630.6</v>
      </c>
      <c r="G1114" s="3">
        <v>159137444</v>
      </c>
      <c r="H1114" s="3">
        <f t="shared" si="51"/>
        <v>1783278283719.5999</v>
      </c>
      <c r="J1114" s="3">
        <v>317816130</v>
      </c>
      <c r="K1114" s="3">
        <f t="shared" si="52"/>
        <v>1789495501578</v>
      </c>
      <c r="M1114" s="4">
        <f t="shared" si="53"/>
        <v>3.4742852680644809E-3</v>
      </c>
    </row>
    <row r="1115" spans="1:13" x14ac:dyDescent="0.45">
      <c r="A1115" s="2">
        <v>44334</v>
      </c>
      <c r="B1115" s="1">
        <v>11407.95</v>
      </c>
      <c r="D1115" s="2">
        <v>44334</v>
      </c>
      <c r="E1115" s="1">
        <v>5687.2</v>
      </c>
      <c r="G1115" s="3">
        <v>159137444</v>
      </c>
      <c r="H1115" s="3">
        <f t="shared" si="51"/>
        <v>1815432004279.8</v>
      </c>
      <c r="J1115" s="3">
        <v>317816130</v>
      </c>
      <c r="K1115" s="3">
        <f t="shared" si="52"/>
        <v>1807483894536</v>
      </c>
      <c r="M1115" s="4">
        <f t="shared" si="53"/>
        <v>-4.3973336458638101E-3</v>
      </c>
    </row>
    <row r="1116" spans="1:13" x14ac:dyDescent="0.45">
      <c r="A1116" s="2">
        <v>44333</v>
      </c>
      <c r="B1116" s="1">
        <v>11247.55</v>
      </c>
      <c r="D1116" s="2">
        <v>44333</v>
      </c>
      <c r="E1116" s="1">
        <v>5424.4</v>
      </c>
      <c r="G1116" s="3">
        <v>159137444</v>
      </c>
      <c r="H1116" s="3">
        <f t="shared" si="51"/>
        <v>1789906358262.2</v>
      </c>
      <c r="J1116" s="3">
        <v>317816130</v>
      </c>
      <c r="K1116" s="3">
        <f t="shared" si="52"/>
        <v>1723961815572</v>
      </c>
      <c r="M1116" s="4">
        <f t="shared" si="53"/>
        <v>-3.82517420597972E-2</v>
      </c>
    </row>
    <row r="1117" spans="1:13" x14ac:dyDescent="0.45">
      <c r="A1117" s="2">
        <v>44330</v>
      </c>
      <c r="B1117" s="1">
        <v>10968.1</v>
      </c>
      <c r="D1117" s="2">
        <v>44330</v>
      </c>
      <c r="E1117" s="1">
        <v>5327.95</v>
      </c>
      <c r="G1117" s="3">
        <v>159137444</v>
      </c>
      <c r="H1117" s="3">
        <f t="shared" si="51"/>
        <v>1745435399536.4001</v>
      </c>
      <c r="J1117" s="3">
        <v>317816130</v>
      </c>
      <c r="K1117" s="3">
        <f t="shared" si="52"/>
        <v>1693308449833.5</v>
      </c>
      <c r="M1117" s="4">
        <f t="shared" si="53"/>
        <v>-3.0784084085817787E-2</v>
      </c>
    </row>
    <row r="1118" spans="1:13" x14ac:dyDescent="0.45">
      <c r="A1118" s="2">
        <v>44328</v>
      </c>
      <c r="B1118" s="1">
        <v>11086.45</v>
      </c>
      <c r="D1118" s="2">
        <v>44328</v>
      </c>
      <c r="E1118" s="1">
        <v>5357.15</v>
      </c>
      <c r="G1118" s="3">
        <v>159137444</v>
      </c>
      <c r="H1118" s="3">
        <f t="shared" si="51"/>
        <v>1764269316033.8</v>
      </c>
      <c r="J1118" s="3">
        <v>317816130</v>
      </c>
      <c r="K1118" s="3">
        <f t="shared" si="52"/>
        <v>1702588680829.5</v>
      </c>
      <c r="M1118" s="4">
        <f t="shared" si="53"/>
        <v>-3.6227560948102422E-2</v>
      </c>
    </row>
    <row r="1119" spans="1:13" x14ac:dyDescent="0.45">
      <c r="A1119" s="2">
        <v>44327</v>
      </c>
      <c r="B1119" s="1">
        <v>11196.4</v>
      </c>
      <c r="D1119" s="2">
        <v>44327</v>
      </c>
      <c r="E1119" s="1">
        <v>5426.55</v>
      </c>
      <c r="G1119" s="3">
        <v>159137444</v>
      </c>
      <c r="H1119" s="3">
        <f t="shared" si="51"/>
        <v>1781766478001.5999</v>
      </c>
      <c r="J1119" s="3">
        <v>317816130</v>
      </c>
      <c r="K1119" s="3">
        <f t="shared" si="52"/>
        <v>1724645120251.5</v>
      </c>
      <c r="M1119" s="4">
        <f t="shared" si="53"/>
        <v>-3.3120644403510591E-2</v>
      </c>
    </row>
    <row r="1120" spans="1:13" x14ac:dyDescent="0.45">
      <c r="A1120" s="2">
        <v>44326</v>
      </c>
      <c r="B1120" s="1">
        <v>11337.9</v>
      </c>
      <c r="D1120" s="2">
        <v>44326</v>
      </c>
      <c r="E1120" s="1">
        <v>5496.8</v>
      </c>
      <c r="G1120" s="3">
        <v>159137444</v>
      </c>
      <c r="H1120" s="3">
        <f t="shared" si="51"/>
        <v>1804284426327.5999</v>
      </c>
      <c r="J1120" s="3">
        <v>317816130</v>
      </c>
      <c r="K1120" s="3">
        <f t="shared" si="52"/>
        <v>1746971703384</v>
      </c>
      <c r="M1120" s="4">
        <f t="shared" si="53"/>
        <v>-3.2806898264340134E-2</v>
      </c>
    </row>
    <row r="1121" spans="1:13" x14ac:dyDescent="0.45">
      <c r="A1121" s="2">
        <v>44323</v>
      </c>
      <c r="B1121" s="1">
        <v>11315.6</v>
      </c>
      <c r="D1121" s="2">
        <v>44323</v>
      </c>
      <c r="E1121" s="1">
        <v>5491.05</v>
      </c>
      <c r="G1121" s="3">
        <v>159137444</v>
      </c>
      <c r="H1121" s="3">
        <f t="shared" si="51"/>
        <v>1800735661326.4001</v>
      </c>
      <c r="J1121" s="3">
        <v>317816130</v>
      </c>
      <c r="K1121" s="3">
        <f t="shared" si="52"/>
        <v>1745144260636.5</v>
      </c>
      <c r="M1121" s="4">
        <f t="shared" si="53"/>
        <v>-3.1854902740031665E-2</v>
      </c>
    </row>
    <row r="1122" spans="1:13" x14ac:dyDescent="0.45">
      <c r="A1122" s="2">
        <v>44322</v>
      </c>
      <c r="B1122" s="1">
        <v>11030</v>
      </c>
      <c r="D1122" s="2">
        <v>44322</v>
      </c>
      <c r="E1122" s="1">
        <v>5529.1</v>
      </c>
      <c r="G1122" s="3">
        <v>159137444</v>
      </c>
      <c r="H1122" s="3">
        <f t="shared" si="51"/>
        <v>1755286007320</v>
      </c>
      <c r="J1122" s="3">
        <v>317816130</v>
      </c>
      <c r="K1122" s="3">
        <f t="shared" si="52"/>
        <v>1757237164383</v>
      </c>
      <c r="M1122" s="4">
        <f t="shared" si="53"/>
        <v>1.1103549950726155E-3</v>
      </c>
    </row>
    <row r="1123" spans="1:13" x14ac:dyDescent="0.45">
      <c r="A1123" s="2">
        <v>44321</v>
      </c>
      <c r="B1123" s="1">
        <v>11108.8</v>
      </c>
      <c r="D1123" s="2">
        <v>44321</v>
      </c>
      <c r="E1123" s="1">
        <v>5517</v>
      </c>
      <c r="G1123" s="3">
        <v>159137444</v>
      </c>
      <c r="H1123" s="3">
        <f t="shared" si="51"/>
        <v>1767826037907.2</v>
      </c>
      <c r="J1123" s="3">
        <v>317816130</v>
      </c>
      <c r="K1123" s="3">
        <f t="shared" si="52"/>
        <v>1753391589210</v>
      </c>
      <c r="M1123" s="4">
        <f t="shared" si="53"/>
        <v>-8.2323017778951346E-3</v>
      </c>
    </row>
    <row r="1124" spans="1:13" x14ac:dyDescent="0.45">
      <c r="A1124" s="2">
        <v>44320</v>
      </c>
      <c r="B1124" s="1">
        <v>10988.9</v>
      </c>
      <c r="D1124" s="2">
        <v>44320</v>
      </c>
      <c r="E1124" s="1">
        <v>5615.25</v>
      </c>
      <c r="G1124" s="3">
        <v>159137444</v>
      </c>
      <c r="H1124" s="3">
        <f t="shared" si="51"/>
        <v>1748745458371.5999</v>
      </c>
      <c r="J1124" s="3">
        <v>317816130</v>
      </c>
      <c r="K1124" s="3">
        <f t="shared" si="52"/>
        <v>1784617023982.5</v>
      </c>
      <c r="M1124" s="4">
        <f t="shared" si="53"/>
        <v>2.0100427783015462E-2</v>
      </c>
    </row>
    <row r="1125" spans="1:13" x14ac:dyDescent="0.45">
      <c r="A1125" s="2">
        <v>44319</v>
      </c>
      <c r="B1125" s="1">
        <v>11047.8</v>
      </c>
      <c r="D1125" s="2">
        <v>44319</v>
      </c>
      <c r="E1125" s="1">
        <v>5552.95</v>
      </c>
      <c r="G1125" s="3">
        <v>159137444</v>
      </c>
      <c r="H1125" s="3">
        <f t="shared" si="51"/>
        <v>1758118653823.2</v>
      </c>
      <c r="J1125" s="3">
        <v>317816130</v>
      </c>
      <c r="K1125" s="3">
        <f t="shared" si="52"/>
        <v>1764817079083.5</v>
      </c>
      <c r="M1125" s="4">
        <f t="shared" si="53"/>
        <v>3.7955351518802471E-3</v>
      </c>
    </row>
    <row r="1126" spans="1:13" x14ac:dyDescent="0.45">
      <c r="A1126" s="2">
        <v>44316</v>
      </c>
      <c r="B1126" s="1">
        <v>11039.5</v>
      </c>
      <c r="D1126" s="2">
        <v>44316</v>
      </c>
      <c r="E1126" s="1">
        <v>5453.8</v>
      </c>
      <c r="G1126" s="3">
        <v>159137444</v>
      </c>
      <c r="H1126" s="3">
        <f t="shared" si="51"/>
        <v>1756797813038</v>
      </c>
      <c r="J1126" s="3">
        <v>317816130</v>
      </c>
      <c r="K1126" s="3">
        <f t="shared" si="52"/>
        <v>1733305609794</v>
      </c>
      <c r="M1126" s="4">
        <f t="shared" si="53"/>
        <v>-1.3553410957224177E-2</v>
      </c>
    </row>
    <row r="1127" spans="1:13" x14ac:dyDescent="0.45">
      <c r="A1127" s="2">
        <v>44315</v>
      </c>
      <c r="B1127" s="1">
        <v>11184.6</v>
      </c>
      <c r="D1127" s="2">
        <v>44315</v>
      </c>
      <c r="E1127" s="1">
        <v>5484.75</v>
      </c>
      <c r="G1127" s="3">
        <v>159137444</v>
      </c>
      <c r="H1127" s="3">
        <f t="shared" si="51"/>
        <v>1779888656162.4001</v>
      </c>
      <c r="J1127" s="3">
        <v>317816130</v>
      </c>
      <c r="K1127" s="3">
        <f t="shared" si="52"/>
        <v>1743142019017.5</v>
      </c>
      <c r="M1127" s="4">
        <f t="shared" si="53"/>
        <v>-2.1080690353395326E-2</v>
      </c>
    </row>
    <row r="1128" spans="1:13" x14ac:dyDescent="0.45">
      <c r="A1128" s="2">
        <v>44314</v>
      </c>
      <c r="B1128" s="1">
        <v>10491.65</v>
      </c>
      <c r="D1128" s="2">
        <v>44314</v>
      </c>
      <c r="E1128" s="1">
        <v>5279.15</v>
      </c>
      <c r="G1128" s="3">
        <v>159137444</v>
      </c>
      <c r="H1128" s="3">
        <f t="shared" si="51"/>
        <v>1669614364342.5999</v>
      </c>
      <c r="J1128" s="3">
        <v>317816130</v>
      </c>
      <c r="K1128" s="3">
        <f t="shared" si="52"/>
        <v>1677799022689.5</v>
      </c>
      <c r="M1128" s="4">
        <f t="shared" si="53"/>
        <v>4.8782114163948842E-3</v>
      </c>
    </row>
    <row r="1129" spans="1:13" x14ac:dyDescent="0.45">
      <c r="A1129" s="2">
        <v>44313</v>
      </c>
      <c r="B1129" s="1">
        <v>10085.700000000001</v>
      </c>
      <c r="D1129" s="2">
        <v>44313</v>
      </c>
      <c r="E1129" s="1">
        <v>4873.45</v>
      </c>
      <c r="G1129" s="3">
        <v>159137444</v>
      </c>
      <c r="H1129" s="3">
        <f t="shared" si="51"/>
        <v>1605012518950.8</v>
      </c>
      <c r="J1129" s="3">
        <v>317816130</v>
      </c>
      <c r="K1129" s="3">
        <f t="shared" si="52"/>
        <v>1548861018748.5</v>
      </c>
      <c r="M1129" s="4">
        <f t="shared" si="53"/>
        <v>-3.625341429773421E-2</v>
      </c>
    </row>
    <row r="1130" spans="1:13" x14ac:dyDescent="0.45">
      <c r="A1130" s="2">
        <v>44312</v>
      </c>
      <c r="B1130" s="1">
        <v>9998.5499999999993</v>
      </c>
      <c r="D1130" s="2">
        <v>44312</v>
      </c>
      <c r="E1130" s="1">
        <v>4730.6000000000004</v>
      </c>
      <c r="G1130" s="3">
        <v>159137444</v>
      </c>
      <c r="H1130" s="3">
        <f t="shared" si="51"/>
        <v>1591143690706.2</v>
      </c>
      <c r="J1130" s="3">
        <v>317816130</v>
      </c>
      <c r="K1130" s="3">
        <f t="shared" si="52"/>
        <v>1503460984578</v>
      </c>
      <c r="M1130" s="4">
        <f t="shared" si="53"/>
        <v>-5.8320573016273691E-2</v>
      </c>
    </row>
    <row r="1131" spans="1:13" x14ac:dyDescent="0.45">
      <c r="A1131" s="2">
        <v>44309</v>
      </c>
      <c r="B1131" s="1">
        <v>9919.0499999999993</v>
      </c>
      <c r="D1131" s="2">
        <v>44309</v>
      </c>
      <c r="E1131" s="1">
        <v>4665.1000000000004</v>
      </c>
      <c r="G1131" s="3">
        <v>159137444</v>
      </c>
      <c r="H1131" s="3">
        <f t="shared" si="51"/>
        <v>1578492263908.2</v>
      </c>
      <c r="J1131" s="3">
        <v>317816130</v>
      </c>
      <c r="K1131" s="3">
        <f t="shared" si="52"/>
        <v>1482644028063</v>
      </c>
      <c r="M1131" s="4">
        <f t="shared" si="53"/>
        <v>-6.4646829603745681E-2</v>
      </c>
    </row>
    <row r="1132" spans="1:13" x14ac:dyDescent="0.45">
      <c r="A1132" s="2">
        <v>44308</v>
      </c>
      <c r="B1132" s="1">
        <v>9855.1</v>
      </c>
      <c r="D1132" s="2">
        <v>44308</v>
      </c>
      <c r="E1132" s="1">
        <v>4691.7</v>
      </c>
      <c r="G1132" s="3">
        <v>159137444</v>
      </c>
      <c r="H1132" s="3">
        <f t="shared" si="51"/>
        <v>1568315424364.4001</v>
      </c>
      <c r="J1132" s="3">
        <v>317816130</v>
      </c>
      <c r="K1132" s="3">
        <f t="shared" si="52"/>
        <v>1491097937121</v>
      </c>
      <c r="M1132" s="4">
        <f t="shared" si="53"/>
        <v>-5.1785657615817771E-2</v>
      </c>
    </row>
    <row r="1133" spans="1:13" x14ac:dyDescent="0.45">
      <c r="A1133" s="2">
        <v>44306</v>
      </c>
      <c r="B1133" s="1">
        <v>9821.0499999999993</v>
      </c>
      <c r="D1133" s="2">
        <v>44306</v>
      </c>
      <c r="E1133" s="1">
        <v>4610</v>
      </c>
      <c r="G1133" s="3">
        <v>159137444</v>
      </c>
      <c r="H1133" s="3">
        <f t="shared" si="51"/>
        <v>1562896794396.2</v>
      </c>
      <c r="J1133" s="3">
        <v>317816130</v>
      </c>
      <c r="K1133" s="3">
        <f t="shared" si="52"/>
        <v>1465132359300</v>
      </c>
      <c r="M1133" s="4">
        <f t="shared" si="53"/>
        <v>-6.6727374134927464E-2</v>
      </c>
    </row>
    <row r="1134" spans="1:13" x14ac:dyDescent="0.45">
      <c r="A1134" s="2">
        <v>44305</v>
      </c>
      <c r="B1134" s="1">
        <v>9470.9500000000007</v>
      </c>
      <c r="D1134" s="2">
        <v>44305</v>
      </c>
      <c r="E1134" s="1">
        <v>4478.05</v>
      </c>
      <c r="G1134" s="3">
        <v>159137444</v>
      </c>
      <c r="H1134" s="3">
        <f t="shared" si="51"/>
        <v>1507182775251.8</v>
      </c>
      <c r="J1134" s="3">
        <v>317816130</v>
      </c>
      <c r="K1134" s="3">
        <f t="shared" si="52"/>
        <v>1423196520946.5</v>
      </c>
      <c r="M1134" s="4">
        <f t="shared" si="53"/>
        <v>-5.9012408384363502E-2</v>
      </c>
    </row>
    <row r="1135" spans="1:13" x14ac:dyDescent="0.45">
      <c r="A1135" s="2">
        <v>44302</v>
      </c>
      <c r="B1135" s="1">
        <v>9822.4</v>
      </c>
      <c r="D1135" s="2">
        <v>44302</v>
      </c>
      <c r="E1135" s="1">
        <v>4616.55</v>
      </c>
      <c r="G1135" s="3">
        <v>159137444</v>
      </c>
      <c r="H1135" s="3">
        <f t="shared" si="51"/>
        <v>1563111629945.5999</v>
      </c>
      <c r="J1135" s="3">
        <v>317816130</v>
      </c>
      <c r="K1135" s="3">
        <f t="shared" si="52"/>
        <v>1467214054951.5</v>
      </c>
      <c r="M1135" s="4">
        <f t="shared" si="53"/>
        <v>-6.5360316492653725E-2</v>
      </c>
    </row>
    <row r="1136" spans="1:13" x14ac:dyDescent="0.45">
      <c r="A1136" s="2">
        <v>44301</v>
      </c>
      <c r="B1136" s="1">
        <v>9747.75</v>
      </c>
      <c r="D1136" s="2">
        <v>44301</v>
      </c>
      <c r="E1136" s="1">
        <v>4660.25</v>
      </c>
      <c r="G1136" s="3">
        <v>159137444</v>
      </c>
      <c r="H1136" s="3">
        <f t="shared" si="51"/>
        <v>1551232019751</v>
      </c>
      <c r="J1136" s="3">
        <v>317816130</v>
      </c>
      <c r="K1136" s="3">
        <f t="shared" si="52"/>
        <v>1481102619832.5</v>
      </c>
      <c r="M1136" s="4">
        <f t="shared" si="53"/>
        <v>-4.7349453697159039E-2</v>
      </c>
    </row>
    <row r="1137" spans="1:13" x14ac:dyDescent="0.45">
      <c r="A1137" s="2">
        <v>44299</v>
      </c>
      <c r="B1137" s="1">
        <v>9809.9500000000007</v>
      </c>
      <c r="D1137" s="2">
        <v>44299</v>
      </c>
      <c r="E1137" s="1">
        <v>4727.3999999999996</v>
      </c>
      <c r="G1137" s="3">
        <v>159137444</v>
      </c>
      <c r="H1137" s="3">
        <f t="shared" si="51"/>
        <v>1561130368767.8</v>
      </c>
      <c r="J1137" s="3">
        <v>317816130</v>
      </c>
      <c r="K1137" s="3">
        <f t="shared" si="52"/>
        <v>1502443972962</v>
      </c>
      <c r="M1137" s="4">
        <f t="shared" si="53"/>
        <v>-3.9060621801492168E-2</v>
      </c>
    </row>
    <row r="1138" spans="1:13" x14ac:dyDescent="0.45">
      <c r="A1138" s="2">
        <v>44298</v>
      </c>
      <c r="B1138" s="1">
        <v>9162.15</v>
      </c>
      <c r="D1138" s="2">
        <v>44298</v>
      </c>
      <c r="E1138" s="1">
        <v>4512.95</v>
      </c>
      <c r="G1138" s="3">
        <v>159137444</v>
      </c>
      <c r="H1138" s="3">
        <f t="shared" si="51"/>
        <v>1458041132544.5999</v>
      </c>
      <c r="J1138" s="3">
        <v>317816130</v>
      </c>
      <c r="K1138" s="3">
        <f t="shared" si="52"/>
        <v>1434288303883.5</v>
      </c>
      <c r="M1138" s="4">
        <f t="shared" si="53"/>
        <v>-1.656070721401437E-2</v>
      </c>
    </row>
    <row r="1139" spans="1:13" x14ac:dyDescent="0.45">
      <c r="A1139" s="2">
        <v>44295</v>
      </c>
      <c r="B1139" s="1">
        <v>9629.9500000000007</v>
      </c>
      <c r="D1139" s="2">
        <v>44295</v>
      </c>
      <c r="E1139" s="1">
        <v>4873.2</v>
      </c>
      <c r="G1139" s="3">
        <v>159137444</v>
      </c>
      <c r="H1139" s="3">
        <f t="shared" si="51"/>
        <v>1532485628847.8</v>
      </c>
      <c r="J1139" s="3">
        <v>317816130</v>
      </c>
      <c r="K1139" s="3">
        <f t="shared" si="52"/>
        <v>1548781564716</v>
      </c>
      <c r="M1139" s="4">
        <f t="shared" si="53"/>
        <v>1.0521778047628105E-2</v>
      </c>
    </row>
    <row r="1140" spans="1:13" x14ac:dyDescent="0.45">
      <c r="A1140" s="2">
        <v>44294</v>
      </c>
      <c r="B1140" s="1">
        <v>9655.6</v>
      </c>
      <c r="D1140" s="2">
        <v>44294</v>
      </c>
      <c r="E1140" s="1">
        <v>5030.3500000000004</v>
      </c>
      <c r="G1140" s="3">
        <v>159137444</v>
      </c>
      <c r="H1140" s="3">
        <f t="shared" si="51"/>
        <v>1536567504286.4001</v>
      </c>
      <c r="J1140" s="3">
        <v>317816130</v>
      </c>
      <c r="K1140" s="3">
        <f t="shared" si="52"/>
        <v>1598726369545.5</v>
      </c>
      <c r="M1140" s="4">
        <f t="shared" si="53"/>
        <v>3.8880240198184035E-2</v>
      </c>
    </row>
    <row r="1141" spans="1:13" x14ac:dyDescent="0.45">
      <c r="A1141" s="2">
        <v>44293</v>
      </c>
      <c r="B1141" s="1">
        <v>9539.2999999999993</v>
      </c>
      <c r="D1141" s="2">
        <v>44293</v>
      </c>
      <c r="E1141" s="1">
        <v>5076.75</v>
      </c>
      <c r="G1141" s="3">
        <v>159137444</v>
      </c>
      <c r="H1141" s="3">
        <f t="shared" si="51"/>
        <v>1518059819549.2</v>
      </c>
      <c r="J1141" s="3">
        <v>317816130</v>
      </c>
      <c r="K1141" s="3">
        <f t="shared" si="52"/>
        <v>1613473037977.5</v>
      </c>
      <c r="M1141" s="4">
        <f t="shared" si="53"/>
        <v>5.9135303895688995E-2</v>
      </c>
    </row>
    <row r="1142" spans="1:13" x14ac:dyDescent="0.45">
      <c r="A1142" s="2">
        <v>44292</v>
      </c>
      <c r="B1142" s="1">
        <v>9520.6</v>
      </c>
      <c r="D1142" s="2">
        <v>44292</v>
      </c>
      <c r="E1142" s="1">
        <v>4992.25</v>
      </c>
      <c r="G1142" s="3">
        <v>159137444</v>
      </c>
      <c r="H1142" s="3">
        <f t="shared" si="51"/>
        <v>1515083949346.4001</v>
      </c>
      <c r="J1142" s="3">
        <v>317816130</v>
      </c>
      <c r="K1142" s="3">
        <f t="shared" si="52"/>
        <v>1586617574992.5</v>
      </c>
      <c r="M1142" s="4">
        <f t="shared" si="53"/>
        <v>4.5085612798936747E-2</v>
      </c>
    </row>
    <row r="1143" spans="1:13" x14ac:dyDescent="0.45">
      <c r="A1143" s="2">
        <v>44291</v>
      </c>
      <c r="B1143" s="1">
        <v>9488.9</v>
      </c>
      <c r="D1143" s="2">
        <v>44291</v>
      </c>
      <c r="E1143" s="1">
        <v>4963.7</v>
      </c>
      <c r="G1143" s="3">
        <v>159137444</v>
      </c>
      <c r="H1143" s="3">
        <f t="shared" si="51"/>
        <v>1510039292371.5999</v>
      </c>
      <c r="J1143" s="3">
        <v>317816130</v>
      </c>
      <c r="K1143" s="3">
        <f t="shared" si="52"/>
        <v>1577543924481</v>
      </c>
      <c r="M1143" s="4">
        <f t="shared" si="53"/>
        <v>4.2790968328573542E-2</v>
      </c>
    </row>
    <row r="1144" spans="1:13" x14ac:dyDescent="0.45">
      <c r="A1144" s="2">
        <v>44287</v>
      </c>
      <c r="B1144" s="1">
        <v>9790.2000000000007</v>
      </c>
      <c r="D1144" s="2">
        <v>44287</v>
      </c>
      <c r="E1144" s="1">
        <v>5270</v>
      </c>
      <c r="G1144" s="3">
        <v>159137444</v>
      </c>
      <c r="H1144" s="3">
        <f t="shared" si="51"/>
        <v>1557987404248.8</v>
      </c>
      <c r="J1144" s="3">
        <v>317816130</v>
      </c>
      <c r="K1144" s="3">
        <f t="shared" si="52"/>
        <v>1674891005100</v>
      </c>
      <c r="M1144" s="4">
        <f t="shared" si="53"/>
        <v>6.9797736387162801E-2</v>
      </c>
    </row>
    <row r="1145" spans="1:13" x14ac:dyDescent="0.45">
      <c r="A1145" s="2">
        <v>44286</v>
      </c>
      <c r="B1145" s="1">
        <v>9667.7999999999993</v>
      </c>
      <c r="D1145" s="2">
        <v>44286</v>
      </c>
      <c r="E1145" s="1">
        <v>5148.8999999999996</v>
      </c>
      <c r="G1145" s="3">
        <v>159137444</v>
      </c>
      <c r="H1145" s="3">
        <f t="shared" si="51"/>
        <v>1538508981103.2</v>
      </c>
      <c r="J1145" s="3">
        <v>317816130</v>
      </c>
      <c r="K1145" s="3">
        <f t="shared" si="52"/>
        <v>1636403471757</v>
      </c>
      <c r="M1145" s="4">
        <f t="shared" si="53"/>
        <v>5.9822954633976133E-2</v>
      </c>
    </row>
    <row r="1146" spans="1:13" x14ac:dyDescent="0.45">
      <c r="A1146" s="2">
        <v>44285</v>
      </c>
      <c r="B1146" s="1">
        <v>9496.9500000000007</v>
      </c>
      <c r="D1146" s="2">
        <v>44285</v>
      </c>
      <c r="E1146" s="1">
        <v>5192.7</v>
      </c>
      <c r="G1146" s="3">
        <v>159137444</v>
      </c>
      <c r="H1146" s="3">
        <f t="shared" si="51"/>
        <v>1511320348795.8</v>
      </c>
      <c r="J1146" s="3">
        <v>317816130</v>
      </c>
      <c r="K1146" s="3">
        <f t="shared" si="52"/>
        <v>1650323818251</v>
      </c>
      <c r="M1146" s="4">
        <f t="shared" si="53"/>
        <v>8.4227996904580049E-2</v>
      </c>
    </row>
    <row r="1147" spans="1:13" x14ac:dyDescent="0.45">
      <c r="A1147" s="2">
        <v>44281</v>
      </c>
      <c r="B1147" s="1">
        <v>9466.65</v>
      </c>
      <c r="D1147" s="2">
        <v>44281</v>
      </c>
      <c r="E1147" s="1">
        <v>5183.1000000000004</v>
      </c>
      <c r="G1147" s="3">
        <v>159137444</v>
      </c>
      <c r="H1147" s="3">
        <f t="shared" si="51"/>
        <v>1506498484242.5999</v>
      </c>
      <c r="J1147" s="3">
        <v>317816130</v>
      </c>
      <c r="K1147" s="3">
        <f t="shared" si="52"/>
        <v>1647272783403</v>
      </c>
      <c r="M1147" s="4">
        <f t="shared" si="53"/>
        <v>8.5459008719602103E-2</v>
      </c>
    </row>
    <row r="1148" spans="1:13" x14ac:dyDescent="0.45">
      <c r="A1148" s="2">
        <v>44280</v>
      </c>
      <c r="B1148" s="1">
        <v>9059.9500000000007</v>
      </c>
      <c r="D1148" s="2">
        <v>44280</v>
      </c>
      <c r="E1148" s="1">
        <v>5121.75</v>
      </c>
      <c r="G1148" s="3">
        <v>159137444</v>
      </c>
      <c r="H1148" s="3">
        <f t="shared" si="51"/>
        <v>1441777285767.8</v>
      </c>
      <c r="J1148" s="3">
        <v>317816130</v>
      </c>
      <c r="K1148" s="3">
        <f t="shared" si="52"/>
        <v>1627774763827.5</v>
      </c>
      <c r="M1148" s="4">
        <f t="shared" si="53"/>
        <v>0.11426487385905348</v>
      </c>
    </row>
    <row r="1149" spans="1:13" x14ac:dyDescent="0.45">
      <c r="A1149" s="2">
        <v>44279</v>
      </c>
      <c r="B1149" s="1">
        <v>9197.7000000000007</v>
      </c>
      <c r="D1149" s="2">
        <v>44279</v>
      </c>
      <c r="E1149" s="1">
        <v>5269.85</v>
      </c>
      <c r="G1149" s="3">
        <v>159137444</v>
      </c>
      <c r="H1149" s="3">
        <f t="shared" si="51"/>
        <v>1463698468678.8</v>
      </c>
      <c r="J1149" s="3">
        <v>317816130</v>
      </c>
      <c r="K1149" s="3">
        <f t="shared" si="52"/>
        <v>1674843332680.5</v>
      </c>
      <c r="M1149" s="4">
        <f t="shared" si="53"/>
        <v>0.1260684267487715</v>
      </c>
    </row>
    <row r="1150" spans="1:13" x14ac:dyDescent="0.45">
      <c r="A1150" s="2">
        <v>44278</v>
      </c>
      <c r="B1150" s="1">
        <v>9399.9</v>
      </c>
      <c r="D1150" s="2">
        <v>44278</v>
      </c>
      <c r="E1150" s="1">
        <v>5377.25</v>
      </c>
      <c r="G1150" s="3">
        <v>159137444</v>
      </c>
      <c r="H1150" s="3">
        <f t="shared" si="51"/>
        <v>1495876059855.5999</v>
      </c>
      <c r="J1150" s="3">
        <v>317816130</v>
      </c>
      <c r="K1150" s="3">
        <f t="shared" si="52"/>
        <v>1708976785042.5</v>
      </c>
      <c r="M1150" s="4">
        <f t="shared" si="53"/>
        <v>0.12469492099133495</v>
      </c>
    </row>
    <row r="1151" spans="1:13" x14ac:dyDescent="0.45">
      <c r="A1151" s="2">
        <v>44277</v>
      </c>
      <c r="B1151" s="1">
        <v>9408.7000000000007</v>
      </c>
      <c r="D1151" s="2">
        <v>44277</v>
      </c>
      <c r="E1151" s="1">
        <v>5389.15</v>
      </c>
      <c r="G1151" s="3">
        <v>159137444</v>
      </c>
      <c r="H1151" s="3">
        <f t="shared" si="51"/>
        <v>1497276469362.8</v>
      </c>
      <c r="J1151" s="3">
        <v>317816130</v>
      </c>
      <c r="K1151" s="3">
        <f t="shared" si="52"/>
        <v>1712758796989.5</v>
      </c>
      <c r="M1151" s="4">
        <f t="shared" si="53"/>
        <v>0.12581008371140834</v>
      </c>
    </row>
    <row r="1152" spans="1:13" x14ac:dyDescent="0.45">
      <c r="A1152" s="2">
        <v>44274</v>
      </c>
      <c r="B1152" s="1">
        <v>9442.7999999999993</v>
      </c>
      <c r="D1152" s="2">
        <v>44274</v>
      </c>
      <c r="E1152" s="1">
        <v>5451.9</v>
      </c>
      <c r="G1152" s="3">
        <v>159137444</v>
      </c>
      <c r="H1152" s="3">
        <f t="shared" si="51"/>
        <v>1502703056203.2</v>
      </c>
      <c r="J1152" s="3">
        <v>317816130</v>
      </c>
      <c r="K1152" s="3">
        <f t="shared" si="52"/>
        <v>1732701759147</v>
      </c>
      <c r="M1152" s="4">
        <f t="shared" si="53"/>
        <v>0.13273992580063354</v>
      </c>
    </row>
    <row r="1153" spans="1:13" x14ac:dyDescent="0.45">
      <c r="A1153" s="2">
        <v>44273</v>
      </c>
      <c r="B1153" s="1">
        <v>9429.5499999999993</v>
      </c>
      <c r="D1153" s="2">
        <v>44273</v>
      </c>
      <c r="E1153" s="1">
        <v>5371.6</v>
      </c>
      <c r="G1153" s="3">
        <v>159137444</v>
      </c>
      <c r="H1153" s="3">
        <f t="shared" si="51"/>
        <v>1500594485070.2</v>
      </c>
      <c r="J1153" s="3">
        <v>317816130</v>
      </c>
      <c r="K1153" s="3">
        <f t="shared" si="52"/>
        <v>1707181123908</v>
      </c>
      <c r="M1153" s="4">
        <f t="shared" si="53"/>
        <v>0.12101038135010034</v>
      </c>
    </row>
    <row r="1154" spans="1:13" x14ac:dyDescent="0.45">
      <c r="A1154" s="2">
        <v>44272</v>
      </c>
      <c r="B1154" s="1">
        <v>9544.85</v>
      </c>
      <c r="D1154" s="2">
        <v>44272</v>
      </c>
      <c r="E1154" s="1">
        <v>5358.7</v>
      </c>
      <c r="G1154" s="3">
        <v>159137444</v>
      </c>
      <c r="H1154" s="3">
        <f t="shared" si="51"/>
        <v>1518943032363.4001</v>
      </c>
      <c r="J1154" s="3">
        <v>317816130</v>
      </c>
      <c r="K1154" s="3">
        <f t="shared" si="52"/>
        <v>1703081295831</v>
      </c>
      <c r="M1154" s="4">
        <f t="shared" si="53"/>
        <v>0.1081206539689884</v>
      </c>
    </row>
    <row r="1155" spans="1:13" x14ac:dyDescent="0.45">
      <c r="A1155" s="2">
        <v>44271</v>
      </c>
      <c r="B1155" s="1">
        <v>9608.9500000000007</v>
      </c>
      <c r="D1155" s="2">
        <v>44271</v>
      </c>
      <c r="E1155" s="1">
        <v>5467</v>
      </c>
      <c r="G1155" s="3">
        <v>159137444</v>
      </c>
      <c r="H1155" s="3">
        <f t="shared" si="51"/>
        <v>1529143742523.8</v>
      </c>
      <c r="J1155" s="3">
        <v>317816130</v>
      </c>
      <c r="K1155" s="3">
        <f t="shared" si="52"/>
        <v>1737500782710</v>
      </c>
      <c r="M1155" s="4">
        <f t="shared" si="53"/>
        <v>0.11991766694989514</v>
      </c>
    </row>
    <row r="1156" spans="1:13" x14ac:dyDescent="0.45">
      <c r="A1156" s="2">
        <v>44270</v>
      </c>
      <c r="B1156" s="1">
        <v>9683.15</v>
      </c>
      <c r="D1156" s="2">
        <v>44270</v>
      </c>
      <c r="E1156" s="1">
        <v>5438.7</v>
      </c>
      <c r="G1156" s="3">
        <v>159137444</v>
      </c>
      <c r="H1156" s="3">
        <f t="shared" ref="H1156:H1219" si="54">+G1156*B1156</f>
        <v>1540951740868.5999</v>
      </c>
      <c r="J1156" s="3">
        <v>317816130</v>
      </c>
      <c r="K1156" s="3">
        <f t="shared" ref="K1156:K1219" si="55">+J1156*E1156</f>
        <v>1728506586231</v>
      </c>
      <c r="M1156" s="4">
        <f t="shared" ref="M1156:M1219" si="56">1- (H1156/K1156)</f>
        <v>0.10850687342265941</v>
      </c>
    </row>
    <row r="1157" spans="1:13" x14ac:dyDescent="0.45">
      <c r="A1157" s="2">
        <v>44267</v>
      </c>
      <c r="B1157" s="1">
        <v>9949.35</v>
      </c>
      <c r="D1157" s="2">
        <v>44267</v>
      </c>
      <c r="E1157" s="1">
        <v>5554.65</v>
      </c>
      <c r="G1157" s="3">
        <v>159137444</v>
      </c>
      <c r="H1157" s="3">
        <f t="shared" si="54"/>
        <v>1583314128461.4001</v>
      </c>
      <c r="J1157" s="3">
        <v>317816130</v>
      </c>
      <c r="K1157" s="3">
        <f t="shared" si="55"/>
        <v>1765357366504.5</v>
      </c>
      <c r="M1157" s="4">
        <f t="shared" si="56"/>
        <v>0.10311976571834569</v>
      </c>
    </row>
    <row r="1158" spans="1:13" x14ac:dyDescent="0.45">
      <c r="A1158" s="2">
        <v>44265</v>
      </c>
      <c r="B1158" s="1">
        <v>9992.75</v>
      </c>
      <c r="D1158" s="2">
        <v>44265</v>
      </c>
      <c r="E1158" s="1">
        <v>5541.15</v>
      </c>
      <c r="G1158" s="3">
        <v>159137444</v>
      </c>
      <c r="H1158" s="3">
        <f t="shared" si="54"/>
        <v>1590220693531</v>
      </c>
      <c r="J1158" s="3">
        <v>317816130</v>
      </c>
      <c r="K1158" s="3">
        <f t="shared" si="55"/>
        <v>1761066848749.5</v>
      </c>
      <c r="M1158" s="4">
        <f t="shared" si="56"/>
        <v>9.7012873384002773E-2</v>
      </c>
    </row>
    <row r="1159" spans="1:13" x14ac:dyDescent="0.45">
      <c r="A1159" s="2">
        <v>44264</v>
      </c>
      <c r="B1159" s="1">
        <v>9969.2999999999993</v>
      </c>
      <c r="D1159" s="2">
        <v>44264</v>
      </c>
      <c r="E1159" s="1">
        <v>5414.7</v>
      </c>
      <c r="G1159" s="3">
        <v>159137444</v>
      </c>
      <c r="H1159" s="3">
        <f t="shared" si="54"/>
        <v>1586488920469.2</v>
      </c>
      <c r="J1159" s="3">
        <v>317816130</v>
      </c>
      <c r="K1159" s="3">
        <f t="shared" si="55"/>
        <v>1720878999111</v>
      </c>
      <c r="M1159" s="4">
        <f t="shared" si="56"/>
        <v>7.8093857099322816E-2</v>
      </c>
    </row>
    <row r="1160" spans="1:13" x14ac:dyDescent="0.45">
      <c r="A1160" s="2">
        <v>44263</v>
      </c>
      <c r="B1160" s="1">
        <v>9832.5</v>
      </c>
      <c r="D1160" s="2">
        <v>44263</v>
      </c>
      <c r="E1160" s="1">
        <v>5323.4</v>
      </c>
      <c r="G1160" s="3">
        <v>159137444</v>
      </c>
      <c r="H1160" s="3">
        <f t="shared" si="54"/>
        <v>1564718918130</v>
      </c>
      <c r="J1160" s="3">
        <v>317816130</v>
      </c>
      <c r="K1160" s="3">
        <f t="shared" si="55"/>
        <v>1691862386442</v>
      </c>
      <c r="M1160" s="4">
        <f t="shared" si="56"/>
        <v>7.5150005893436567E-2</v>
      </c>
    </row>
    <row r="1161" spans="1:13" x14ac:dyDescent="0.45">
      <c r="A1161" s="2">
        <v>44260</v>
      </c>
      <c r="B1161" s="1">
        <v>9952.1</v>
      </c>
      <c r="D1161" s="2">
        <v>44260</v>
      </c>
      <c r="E1161" s="1">
        <v>5444.4</v>
      </c>
      <c r="G1161" s="3">
        <v>159137444</v>
      </c>
      <c r="H1161" s="3">
        <f t="shared" si="54"/>
        <v>1583751756432.4001</v>
      </c>
      <c r="J1161" s="3">
        <v>317816130</v>
      </c>
      <c r="K1161" s="3">
        <f t="shared" si="55"/>
        <v>1730318138172</v>
      </c>
      <c r="M1161" s="4">
        <f t="shared" si="56"/>
        <v>8.4704875078313813E-2</v>
      </c>
    </row>
    <row r="1162" spans="1:13" x14ac:dyDescent="0.45">
      <c r="A1162" s="2">
        <v>44259</v>
      </c>
      <c r="B1162" s="1">
        <v>10128</v>
      </c>
      <c r="D1162" s="2">
        <v>44259</v>
      </c>
      <c r="E1162" s="1">
        <v>5486.95</v>
      </c>
      <c r="G1162" s="3">
        <v>159137444</v>
      </c>
      <c r="H1162" s="3">
        <f t="shared" si="54"/>
        <v>1611744032832</v>
      </c>
      <c r="J1162" s="3">
        <v>317816130</v>
      </c>
      <c r="K1162" s="3">
        <f t="shared" si="55"/>
        <v>1743841214503.5</v>
      </c>
      <c r="M1162" s="4">
        <f t="shared" si="56"/>
        <v>7.5750693682916648E-2</v>
      </c>
    </row>
    <row r="1163" spans="1:13" x14ac:dyDescent="0.45">
      <c r="A1163" s="2">
        <v>44258</v>
      </c>
      <c r="B1163" s="1">
        <v>10386.85</v>
      </c>
      <c r="D1163" s="2">
        <v>44258</v>
      </c>
      <c r="E1163" s="1">
        <v>5544.95</v>
      </c>
      <c r="G1163" s="3">
        <v>159137444</v>
      </c>
      <c r="H1163" s="3">
        <f t="shared" si="54"/>
        <v>1652936760211.4001</v>
      </c>
      <c r="J1163" s="3">
        <v>317816130</v>
      </c>
      <c r="K1163" s="3">
        <f t="shared" si="55"/>
        <v>1762274550043.5</v>
      </c>
      <c r="M1163" s="4">
        <f t="shared" si="56"/>
        <v>6.2043561730719565E-2</v>
      </c>
    </row>
    <row r="1164" spans="1:13" x14ac:dyDescent="0.45">
      <c r="A1164" s="2">
        <v>44257</v>
      </c>
      <c r="B1164" s="1">
        <v>9875.4</v>
      </c>
      <c r="D1164" s="2">
        <v>44257</v>
      </c>
      <c r="E1164" s="1">
        <v>5307.95</v>
      </c>
      <c r="G1164" s="3">
        <v>159137444</v>
      </c>
      <c r="H1164" s="3">
        <f t="shared" si="54"/>
        <v>1571545914477.5999</v>
      </c>
      <c r="J1164" s="3">
        <v>317816130</v>
      </c>
      <c r="K1164" s="3">
        <f t="shared" si="55"/>
        <v>1686952127233.5</v>
      </c>
      <c r="M1164" s="4">
        <f t="shared" si="56"/>
        <v>6.8411077524268227E-2</v>
      </c>
    </row>
    <row r="1165" spans="1:13" x14ac:dyDescent="0.45">
      <c r="A1165" s="2">
        <v>44256</v>
      </c>
      <c r="B1165" s="1">
        <v>9772.1</v>
      </c>
      <c r="D1165" s="2">
        <v>44256</v>
      </c>
      <c r="E1165" s="1">
        <v>5266.7</v>
      </c>
      <c r="G1165" s="3">
        <v>159137444</v>
      </c>
      <c r="H1165" s="3">
        <f t="shared" si="54"/>
        <v>1555107016512.4001</v>
      </c>
      <c r="J1165" s="3">
        <v>317816130</v>
      </c>
      <c r="K1165" s="3">
        <f t="shared" si="55"/>
        <v>1673842211871</v>
      </c>
      <c r="M1165" s="4">
        <f t="shared" si="56"/>
        <v>7.0935715754162465E-2</v>
      </c>
    </row>
    <row r="1166" spans="1:13" x14ac:dyDescent="0.45">
      <c r="A1166" s="2">
        <v>44253</v>
      </c>
      <c r="B1166" s="1">
        <v>9652.7000000000007</v>
      </c>
      <c r="D1166" s="2">
        <v>44253</v>
      </c>
      <c r="E1166" s="1">
        <v>5238.3</v>
      </c>
      <c r="G1166" s="3">
        <v>159137444</v>
      </c>
      <c r="H1166" s="3">
        <f t="shared" si="54"/>
        <v>1536106005698.8</v>
      </c>
      <c r="J1166" s="3">
        <v>317816130</v>
      </c>
      <c r="K1166" s="3">
        <f t="shared" si="55"/>
        <v>1664816233779</v>
      </c>
      <c r="M1166" s="4">
        <f t="shared" si="56"/>
        <v>7.7311973218832652E-2</v>
      </c>
    </row>
    <row r="1167" spans="1:13" x14ac:dyDescent="0.45">
      <c r="A1167" s="2">
        <v>44252</v>
      </c>
      <c r="B1167" s="1">
        <v>10263.25</v>
      </c>
      <c r="D1167" s="2">
        <v>44252</v>
      </c>
      <c r="E1167" s="1">
        <v>5530.15</v>
      </c>
      <c r="G1167" s="3">
        <v>159137444</v>
      </c>
      <c r="H1167" s="3">
        <f t="shared" si="54"/>
        <v>1633267372133</v>
      </c>
      <c r="J1167" s="3">
        <v>317816130</v>
      </c>
      <c r="K1167" s="3">
        <f t="shared" si="55"/>
        <v>1757570871319.5</v>
      </c>
      <c r="M1167" s="4">
        <f t="shared" si="56"/>
        <v>7.072460133182501E-2</v>
      </c>
    </row>
    <row r="1168" spans="1:13" x14ac:dyDescent="0.45">
      <c r="A1168" s="2">
        <v>44251</v>
      </c>
      <c r="B1168" s="1">
        <v>10218.049999999999</v>
      </c>
      <c r="D1168" s="2">
        <v>44251</v>
      </c>
      <c r="E1168" s="1">
        <v>5553</v>
      </c>
      <c r="G1168" s="3">
        <v>159137444</v>
      </c>
      <c r="H1168" s="3">
        <f t="shared" si="54"/>
        <v>1626074359664.2</v>
      </c>
      <c r="J1168" s="3">
        <v>317816130</v>
      </c>
      <c r="K1168" s="3">
        <f t="shared" si="55"/>
        <v>1764832969890</v>
      </c>
      <c r="M1168" s="4">
        <f t="shared" si="56"/>
        <v>7.8624216905041511E-2</v>
      </c>
    </row>
    <row r="1169" spans="1:13" x14ac:dyDescent="0.45">
      <c r="A1169" s="2">
        <v>44250</v>
      </c>
      <c r="B1169" s="1">
        <v>10000.9</v>
      </c>
      <c r="D1169" s="2">
        <v>44250</v>
      </c>
      <c r="E1169" s="1">
        <v>5383.45</v>
      </c>
      <c r="G1169" s="3">
        <v>159137444</v>
      </c>
      <c r="H1169" s="3">
        <f t="shared" si="54"/>
        <v>1591517663699.5999</v>
      </c>
      <c r="J1169" s="3">
        <v>317816130</v>
      </c>
      <c r="K1169" s="3">
        <f t="shared" si="55"/>
        <v>1710947245048.5</v>
      </c>
      <c r="M1169" s="4">
        <f t="shared" si="56"/>
        <v>6.9803193344815662E-2</v>
      </c>
    </row>
    <row r="1170" spans="1:13" x14ac:dyDescent="0.45">
      <c r="A1170" s="2">
        <v>44249</v>
      </c>
      <c r="B1170" s="1">
        <v>10000.299999999999</v>
      </c>
      <c r="D1170" s="2">
        <v>44249</v>
      </c>
      <c r="E1170" s="1">
        <v>5379.6</v>
      </c>
      <c r="G1170" s="3">
        <v>159137444</v>
      </c>
      <c r="H1170" s="3">
        <f t="shared" si="54"/>
        <v>1591422181233.2</v>
      </c>
      <c r="J1170" s="3">
        <v>317816130</v>
      </c>
      <c r="K1170" s="3">
        <f t="shared" si="55"/>
        <v>1709723652948</v>
      </c>
      <c r="M1170" s="4">
        <f t="shared" si="56"/>
        <v>6.9193329290858308E-2</v>
      </c>
    </row>
    <row r="1171" spans="1:13" x14ac:dyDescent="0.45">
      <c r="A1171" s="2">
        <v>44246</v>
      </c>
      <c r="B1171" s="1">
        <v>10251.049999999999</v>
      </c>
      <c r="D1171" s="2">
        <v>44246</v>
      </c>
      <c r="E1171" s="1">
        <v>5499.05</v>
      </c>
      <c r="G1171" s="3">
        <v>159137444</v>
      </c>
      <c r="H1171" s="3">
        <f t="shared" si="54"/>
        <v>1631325895316.2</v>
      </c>
      <c r="J1171" s="3">
        <v>317816130</v>
      </c>
      <c r="K1171" s="3">
        <f t="shared" si="55"/>
        <v>1747686789676.5</v>
      </c>
      <c r="M1171" s="4">
        <f t="shared" si="56"/>
        <v>6.6579947303852194E-2</v>
      </c>
    </row>
    <row r="1172" spans="1:13" x14ac:dyDescent="0.45">
      <c r="A1172" s="2">
        <v>44245</v>
      </c>
      <c r="B1172" s="1">
        <v>10198.549999999999</v>
      </c>
      <c r="D1172" s="2">
        <v>44245</v>
      </c>
      <c r="E1172" s="1">
        <v>5565.45</v>
      </c>
      <c r="G1172" s="3">
        <v>159137444</v>
      </c>
      <c r="H1172" s="3">
        <f t="shared" si="54"/>
        <v>1622971179506.2</v>
      </c>
      <c r="J1172" s="3">
        <v>317816130</v>
      </c>
      <c r="K1172" s="3">
        <f t="shared" si="55"/>
        <v>1768789780708.5</v>
      </c>
      <c r="M1172" s="4">
        <f t="shared" si="56"/>
        <v>8.2439757846119788E-2</v>
      </c>
    </row>
    <row r="1173" spans="1:13" x14ac:dyDescent="0.45">
      <c r="A1173" s="2">
        <v>44244</v>
      </c>
      <c r="B1173" s="1">
        <v>10184.65</v>
      </c>
      <c r="D1173" s="2">
        <v>44244</v>
      </c>
      <c r="E1173" s="1">
        <v>5703.9</v>
      </c>
      <c r="G1173" s="3">
        <v>159137444</v>
      </c>
      <c r="H1173" s="3">
        <f t="shared" si="54"/>
        <v>1620759169034.5999</v>
      </c>
      <c r="J1173" s="3">
        <v>317816130</v>
      </c>
      <c r="K1173" s="3">
        <f t="shared" si="55"/>
        <v>1812791423907</v>
      </c>
      <c r="M1173" s="4">
        <f t="shared" si="56"/>
        <v>0.10593179796632346</v>
      </c>
    </row>
    <row r="1174" spans="1:13" x14ac:dyDescent="0.45">
      <c r="A1174" s="2">
        <v>44243</v>
      </c>
      <c r="B1174" s="1">
        <v>10457.65</v>
      </c>
      <c r="D1174" s="2">
        <v>44243</v>
      </c>
      <c r="E1174" s="1">
        <v>5758.7</v>
      </c>
      <c r="G1174" s="3">
        <v>159137444</v>
      </c>
      <c r="H1174" s="3">
        <f t="shared" si="54"/>
        <v>1664203691246.5999</v>
      </c>
      <c r="J1174" s="3">
        <v>317816130</v>
      </c>
      <c r="K1174" s="3">
        <f t="shared" si="55"/>
        <v>1830207747831</v>
      </c>
      <c r="M1174" s="4">
        <f t="shared" si="56"/>
        <v>9.0702302392246748E-2</v>
      </c>
    </row>
    <row r="1175" spans="1:13" x14ac:dyDescent="0.45">
      <c r="A1175" s="2">
        <v>44242</v>
      </c>
      <c r="B1175" s="1">
        <v>10540.25</v>
      </c>
      <c r="D1175" s="2">
        <v>44242</v>
      </c>
      <c r="E1175" s="1">
        <v>5780.7</v>
      </c>
      <c r="G1175" s="3">
        <v>159137444</v>
      </c>
      <c r="H1175" s="3">
        <f t="shared" si="54"/>
        <v>1677348444121</v>
      </c>
      <c r="J1175" s="3">
        <v>317816130</v>
      </c>
      <c r="K1175" s="3">
        <f t="shared" si="55"/>
        <v>1837199702691</v>
      </c>
      <c r="M1175" s="4">
        <f t="shared" si="56"/>
        <v>8.7008101697306661E-2</v>
      </c>
    </row>
    <row r="1176" spans="1:13" x14ac:dyDescent="0.45">
      <c r="A1176" s="2">
        <v>44239</v>
      </c>
      <c r="B1176" s="1">
        <v>10274.15</v>
      </c>
      <c r="D1176" s="2">
        <v>44239</v>
      </c>
      <c r="E1176" s="1">
        <v>5576.5</v>
      </c>
      <c r="G1176" s="3">
        <v>159137444</v>
      </c>
      <c r="H1176" s="3">
        <f t="shared" si="54"/>
        <v>1635001970272.5999</v>
      </c>
      <c r="J1176" s="3">
        <v>317816130</v>
      </c>
      <c r="K1176" s="3">
        <f t="shared" si="55"/>
        <v>1772301648945</v>
      </c>
      <c r="M1176" s="4">
        <f t="shared" si="56"/>
        <v>7.7469700913572304E-2</v>
      </c>
    </row>
    <row r="1177" spans="1:13" x14ac:dyDescent="0.45">
      <c r="A1177" s="2">
        <v>44238</v>
      </c>
      <c r="B1177" s="1">
        <v>10214.25</v>
      </c>
      <c r="D1177" s="2">
        <v>44238</v>
      </c>
      <c r="E1177" s="1">
        <v>5566.35</v>
      </c>
      <c r="G1177" s="3">
        <v>159137444</v>
      </c>
      <c r="H1177" s="3">
        <f t="shared" si="54"/>
        <v>1625469637377</v>
      </c>
      <c r="J1177" s="3">
        <v>317816130</v>
      </c>
      <c r="K1177" s="3">
        <f t="shared" si="55"/>
        <v>1769075815225.5</v>
      </c>
      <c r="M1177" s="4">
        <f t="shared" si="56"/>
        <v>8.1175818815992784E-2</v>
      </c>
    </row>
    <row r="1178" spans="1:13" x14ac:dyDescent="0.45">
      <c r="A1178" s="2">
        <v>44237</v>
      </c>
      <c r="B1178" s="1">
        <v>10234.9</v>
      </c>
      <c r="D1178" s="2">
        <v>44237</v>
      </c>
      <c r="E1178" s="1">
        <v>5478.85</v>
      </c>
      <c r="G1178" s="3">
        <v>159137444</v>
      </c>
      <c r="H1178" s="3">
        <f t="shared" si="54"/>
        <v>1628755825595.5999</v>
      </c>
      <c r="J1178" s="3">
        <v>317816130</v>
      </c>
      <c r="K1178" s="3">
        <f t="shared" si="55"/>
        <v>1741266903850.5</v>
      </c>
      <c r="M1178" s="4">
        <f t="shared" si="56"/>
        <v>6.4614493048769317E-2</v>
      </c>
    </row>
    <row r="1179" spans="1:13" x14ac:dyDescent="0.45">
      <c r="A1179" s="2">
        <v>44236</v>
      </c>
      <c r="B1179" s="1">
        <v>9940.2000000000007</v>
      </c>
      <c r="D1179" s="2">
        <v>44236</v>
      </c>
      <c r="E1179" s="1">
        <v>5399.55</v>
      </c>
      <c r="G1179" s="3">
        <v>159137444</v>
      </c>
      <c r="H1179" s="3">
        <f t="shared" si="54"/>
        <v>1581858020848.8</v>
      </c>
      <c r="J1179" s="3">
        <v>317816130</v>
      </c>
      <c r="K1179" s="3">
        <f t="shared" si="55"/>
        <v>1716064084741.5</v>
      </c>
      <c r="M1179" s="4">
        <f t="shared" si="56"/>
        <v>7.8205741315841459E-2</v>
      </c>
    </row>
    <row r="1180" spans="1:13" x14ac:dyDescent="0.45">
      <c r="A1180" s="2">
        <v>44235</v>
      </c>
      <c r="B1180" s="1">
        <v>10032.15</v>
      </c>
      <c r="D1180" s="2">
        <v>44235</v>
      </c>
      <c r="E1180" s="1">
        <v>5500.1</v>
      </c>
      <c r="G1180" s="3">
        <v>159137444</v>
      </c>
      <c r="H1180" s="3">
        <f t="shared" si="54"/>
        <v>1596490708824.5999</v>
      </c>
      <c r="J1180" s="3">
        <v>317816130</v>
      </c>
      <c r="K1180" s="3">
        <f t="shared" si="55"/>
        <v>1748020496613</v>
      </c>
      <c r="M1180" s="4">
        <f t="shared" si="56"/>
        <v>8.6686505153690918E-2</v>
      </c>
    </row>
    <row r="1181" spans="1:13" x14ac:dyDescent="0.45">
      <c r="A1181" s="2">
        <v>44232</v>
      </c>
      <c r="B1181" s="1">
        <v>9717.5</v>
      </c>
      <c r="D1181" s="2">
        <v>44232</v>
      </c>
      <c r="E1181" s="1">
        <v>5538.75</v>
      </c>
      <c r="G1181" s="3">
        <v>159137444</v>
      </c>
      <c r="H1181" s="3">
        <f t="shared" si="54"/>
        <v>1546418112070</v>
      </c>
      <c r="J1181" s="3">
        <v>317816130</v>
      </c>
      <c r="K1181" s="3">
        <f t="shared" si="55"/>
        <v>1760304090037.5</v>
      </c>
      <c r="M1181" s="4">
        <f t="shared" si="56"/>
        <v>0.1215051303794582</v>
      </c>
    </row>
    <row r="1182" spans="1:13" x14ac:dyDescent="0.45">
      <c r="A1182" s="2">
        <v>44231</v>
      </c>
      <c r="B1182" s="1">
        <v>9718.6</v>
      </c>
      <c r="D1182" s="2">
        <v>44231</v>
      </c>
      <c r="E1182" s="1">
        <v>5502</v>
      </c>
      <c r="G1182" s="3">
        <v>159137444</v>
      </c>
      <c r="H1182" s="3">
        <f t="shared" si="54"/>
        <v>1546593163258.4001</v>
      </c>
      <c r="J1182" s="3">
        <v>317816130</v>
      </c>
      <c r="K1182" s="3">
        <f t="shared" si="55"/>
        <v>1748624347260</v>
      </c>
      <c r="M1182" s="4">
        <f t="shared" si="56"/>
        <v>0.11553721319171373</v>
      </c>
    </row>
    <row r="1183" spans="1:13" x14ac:dyDescent="0.45">
      <c r="A1183" s="2">
        <v>44230</v>
      </c>
      <c r="B1183" s="1">
        <v>9531.5</v>
      </c>
      <c r="D1183" s="2">
        <v>44230</v>
      </c>
      <c r="E1183" s="1">
        <v>5247.6</v>
      </c>
      <c r="G1183" s="3">
        <v>159137444</v>
      </c>
      <c r="H1183" s="3">
        <f t="shared" si="54"/>
        <v>1516818547486</v>
      </c>
      <c r="J1183" s="3">
        <v>317816130</v>
      </c>
      <c r="K1183" s="3">
        <f t="shared" si="55"/>
        <v>1667771923788</v>
      </c>
      <c r="M1183" s="4">
        <f t="shared" si="56"/>
        <v>9.0512002360095267E-2</v>
      </c>
    </row>
    <row r="1184" spans="1:13" x14ac:dyDescent="0.45">
      <c r="A1184" s="2">
        <v>44229</v>
      </c>
      <c r="B1184" s="1">
        <v>9473</v>
      </c>
      <c r="D1184" s="2">
        <v>44229</v>
      </c>
      <c r="E1184" s="1">
        <v>5172.8999999999996</v>
      </c>
      <c r="G1184" s="3">
        <v>159137444</v>
      </c>
      <c r="H1184" s="3">
        <f t="shared" si="54"/>
        <v>1507509007012</v>
      </c>
      <c r="J1184" s="3">
        <v>317816130</v>
      </c>
      <c r="K1184" s="3">
        <f t="shared" si="55"/>
        <v>1644031058877</v>
      </c>
      <c r="M1184" s="4">
        <f t="shared" si="56"/>
        <v>8.3041041790448356E-2</v>
      </c>
    </row>
    <row r="1185" spans="1:13" x14ac:dyDescent="0.45">
      <c r="A1185" s="2">
        <v>44228</v>
      </c>
      <c r="B1185" s="1">
        <v>9699.7999999999993</v>
      </c>
      <c r="D1185" s="2">
        <v>44228</v>
      </c>
      <c r="E1185" s="1">
        <v>5059.8999999999996</v>
      </c>
      <c r="G1185" s="3">
        <v>159137444</v>
      </c>
      <c r="H1185" s="3">
        <f t="shared" si="54"/>
        <v>1543601379311.2</v>
      </c>
      <c r="J1185" s="3">
        <v>317816130</v>
      </c>
      <c r="K1185" s="3">
        <f t="shared" si="55"/>
        <v>1608117836187</v>
      </c>
      <c r="M1185" s="4">
        <f t="shared" si="56"/>
        <v>4.0119234687909899E-2</v>
      </c>
    </row>
    <row r="1186" spans="1:13" x14ac:dyDescent="0.45">
      <c r="A1186" s="2">
        <v>44225</v>
      </c>
      <c r="B1186" s="1">
        <v>8720.4</v>
      </c>
      <c r="D1186" s="2">
        <v>44225</v>
      </c>
      <c r="E1186" s="1">
        <v>4735.95</v>
      </c>
      <c r="G1186" s="3">
        <v>159137444</v>
      </c>
      <c r="H1186" s="3">
        <f t="shared" si="54"/>
        <v>1387742166657.5999</v>
      </c>
      <c r="J1186" s="3">
        <v>317816130</v>
      </c>
      <c r="K1186" s="3">
        <f t="shared" si="55"/>
        <v>1505161300873.5</v>
      </c>
      <c r="M1186" s="4">
        <f t="shared" si="56"/>
        <v>7.8010997324843179E-2</v>
      </c>
    </row>
    <row r="1187" spans="1:13" x14ac:dyDescent="0.45">
      <c r="A1187" s="2">
        <v>44224</v>
      </c>
      <c r="B1187" s="1">
        <v>8951.4500000000007</v>
      </c>
      <c r="D1187" s="2">
        <v>44224</v>
      </c>
      <c r="E1187" s="1">
        <v>4812.8999999999996</v>
      </c>
      <c r="G1187" s="3">
        <v>159137444</v>
      </c>
      <c r="H1187" s="3">
        <f t="shared" si="54"/>
        <v>1424510873093.8</v>
      </c>
      <c r="J1187" s="3">
        <v>317816130</v>
      </c>
      <c r="K1187" s="3">
        <f t="shared" si="55"/>
        <v>1529617252077</v>
      </c>
      <c r="M1187" s="4">
        <f t="shared" si="56"/>
        <v>6.8714169404457626E-2</v>
      </c>
    </row>
    <row r="1188" spans="1:13" x14ac:dyDescent="0.45">
      <c r="A1188" s="2">
        <v>44223</v>
      </c>
      <c r="B1188" s="1">
        <v>9126.4500000000007</v>
      </c>
      <c r="D1188" s="2">
        <v>44223</v>
      </c>
      <c r="E1188" s="1">
        <v>4844.95</v>
      </c>
      <c r="G1188" s="3">
        <v>159137444</v>
      </c>
      <c r="H1188" s="3">
        <f t="shared" si="54"/>
        <v>1452359925793.8</v>
      </c>
      <c r="J1188" s="3">
        <v>317816130</v>
      </c>
      <c r="K1188" s="3">
        <f t="shared" si="55"/>
        <v>1539803259043.5</v>
      </c>
      <c r="M1188" s="4">
        <f t="shared" si="56"/>
        <v>5.6788640195513218E-2</v>
      </c>
    </row>
    <row r="1189" spans="1:13" x14ac:dyDescent="0.45">
      <c r="A1189" s="2">
        <v>44221</v>
      </c>
      <c r="B1189" s="1">
        <v>9206.9</v>
      </c>
      <c r="D1189" s="2">
        <v>44221</v>
      </c>
      <c r="E1189" s="1">
        <v>4901.2</v>
      </c>
      <c r="G1189" s="3">
        <v>159137444</v>
      </c>
      <c r="H1189" s="3">
        <f t="shared" si="54"/>
        <v>1465162533163.5999</v>
      </c>
      <c r="J1189" s="3">
        <v>317816130</v>
      </c>
      <c r="K1189" s="3">
        <f t="shared" si="55"/>
        <v>1557680416356</v>
      </c>
      <c r="M1189" s="4">
        <f t="shared" si="56"/>
        <v>5.9394650032793206E-2</v>
      </c>
    </row>
    <row r="1190" spans="1:13" x14ac:dyDescent="0.45">
      <c r="A1190" s="2">
        <v>44218</v>
      </c>
      <c r="B1190" s="1">
        <v>9073.7000000000007</v>
      </c>
      <c r="D1190" s="2">
        <v>44218</v>
      </c>
      <c r="E1190" s="1">
        <v>4967.45</v>
      </c>
      <c r="G1190" s="3">
        <v>159137444</v>
      </c>
      <c r="H1190" s="3">
        <f t="shared" si="54"/>
        <v>1443965425622.8</v>
      </c>
      <c r="J1190" s="3">
        <v>317816130</v>
      </c>
      <c r="K1190" s="3">
        <f t="shared" si="55"/>
        <v>1578735734968.5</v>
      </c>
      <c r="M1190" s="4">
        <f t="shared" si="56"/>
        <v>8.5365971239251714E-2</v>
      </c>
    </row>
    <row r="1191" spans="1:13" x14ac:dyDescent="0.45">
      <c r="A1191" s="2">
        <v>44217</v>
      </c>
      <c r="B1191" s="1">
        <v>9048.5</v>
      </c>
      <c r="D1191" s="2">
        <v>44217</v>
      </c>
      <c r="E1191" s="1">
        <v>5116.6499999999996</v>
      </c>
      <c r="G1191" s="3">
        <v>159137444</v>
      </c>
      <c r="H1191" s="3">
        <f t="shared" si="54"/>
        <v>1439955162034</v>
      </c>
      <c r="J1191" s="3">
        <v>317816130</v>
      </c>
      <c r="K1191" s="3">
        <f t="shared" si="55"/>
        <v>1626153901564.5</v>
      </c>
      <c r="M1191" s="4">
        <f t="shared" si="56"/>
        <v>0.11450253223348716</v>
      </c>
    </row>
    <row r="1192" spans="1:13" x14ac:dyDescent="0.45">
      <c r="A1192" s="2">
        <v>44216</v>
      </c>
      <c r="B1192" s="1">
        <v>8938.4500000000007</v>
      </c>
      <c r="D1192" s="2">
        <v>44216</v>
      </c>
      <c r="E1192" s="1">
        <v>4981.1499999999996</v>
      </c>
      <c r="G1192" s="3">
        <v>159137444</v>
      </c>
      <c r="H1192" s="3">
        <f t="shared" si="54"/>
        <v>1422442086321.8</v>
      </c>
      <c r="J1192" s="3">
        <v>317816130</v>
      </c>
      <c r="K1192" s="3">
        <f t="shared" si="55"/>
        <v>1583089815949.5</v>
      </c>
      <c r="M1192" s="4">
        <f t="shared" si="56"/>
        <v>0.10147733123489722</v>
      </c>
    </row>
    <row r="1193" spans="1:13" x14ac:dyDescent="0.45">
      <c r="A1193" s="2">
        <v>44215</v>
      </c>
      <c r="B1193" s="1">
        <v>8922.4</v>
      </c>
      <c r="D1193" s="2">
        <v>44215</v>
      </c>
      <c r="E1193" s="1">
        <v>4960.8500000000004</v>
      </c>
      <c r="G1193" s="3">
        <v>159137444</v>
      </c>
      <c r="H1193" s="3">
        <f t="shared" si="54"/>
        <v>1419887930345.5999</v>
      </c>
      <c r="J1193" s="3">
        <v>317816130</v>
      </c>
      <c r="K1193" s="3">
        <f t="shared" si="55"/>
        <v>1576638148510.5</v>
      </c>
      <c r="M1193" s="4">
        <f t="shared" si="56"/>
        <v>9.9420541303651078E-2</v>
      </c>
    </row>
    <row r="1194" spans="1:13" x14ac:dyDescent="0.45">
      <c r="A1194" s="2">
        <v>44214</v>
      </c>
      <c r="B1194" s="1">
        <v>8354.4</v>
      </c>
      <c r="D1194" s="2">
        <v>44214</v>
      </c>
      <c r="E1194" s="1">
        <v>4713.6000000000004</v>
      </c>
      <c r="G1194" s="3">
        <v>159137444</v>
      </c>
      <c r="H1194" s="3">
        <f t="shared" si="54"/>
        <v>1329497862153.5999</v>
      </c>
      <c r="J1194" s="3">
        <v>317816130</v>
      </c>
      <c r="K1194" s="3">
        <f t="shared" si="55"/>
        <v>1498058110368</v>
      </c>
      <c r="M1194" s="4">
        <f t="shared" si="56"/>
        <v>0.11251916534332107</v>
      </c>
    </row>
    <row r="1195" spans="1:13" x14ac:dyDescent="0.45">
      <c r="A1195" s="2">
        <v>44211</v>
      </c>
      <c r="B1195" s="1">
        <v>8631.9</v>
      </c>
      <c r="D1195" s="2">
        <v>44211</v>
      </c>
      <c r="E1195" s="1">
        <v>4881.55</v>
      </c>
      <c r="G1195" s="3">
        <v>159137444</v>
      </c>
      <c r="H1195" s="3">
        <f t="shared" si="54"/>
        <v>1373658502863.5999</v>
      </c>
      <c r="J1195" s="3">
        <v>317816130</v>
      </c>
      <c r="K1195" s="3">
        <f t="shared" si="55"/>
        <v>1551435329401.5</v>
      </c>
      <c r="M1195" s="4">
        <f t="shared" si="56"/>
        <v>0.11458861556703204</v>
      </c>
    </row>
    <row r="1196" spans="1:13" x14ac:dyDescent="0.45">
      <c r="A1196" s="2">
        <v>44210</v>
      </c>
      <c r="B1196" s="1">
        <v>8748.4</v>
      </c>
      <c r="D1196" s="2">
        <v>44210</v>
      </c>
      <c r="E1196" s="1">
        <v>4876.3</v>
      </c>
      <c r="G1196" s="3">
        <v>159137444</v>
      </c>
      <c r="H1196" s="3">
        <f t="shared" si="54"/>
        <v>1392198015089.5999</v>
      </c>
      <c r="J1196" s="3">
        <v>317816130</v>
      </c>
      <c r="K1196" s="3">
        <f t="shared" si="55"/>
        <v>1549766794719</v>
      </c>
      <c r="M1196" s="4">
        <f t="shared" si="56"/>
        <v>0.10167257432946231</v>
      </c>
    </row>
    <row r="1197" spans="1:13" x14ac:dyDescent="0.45">
      <c r="A1197" s="2">
        <v>44209</v>
      </c>
      <c r="B1197" s="1">
        <v>8791.5</v>
      </c>
      <c r="D1197" s="2">
        <v>44209</v>
      </c>
      <c r="E1197" s="1">
        <v>4899.5</v>
      </c>
      <c r="G1197" s="3">
        <v>159137444</v>
      </c>
      <c r="H1197" s="3">
        <f t="shared" si="54"/>
        <v>1399056838926</v>
      </c>
      <c r="J1197" s="3">
        <v>317816130</v>
      </c>
      <c r="K1197" s="3">
        <f t="shared" si="55"/>
        <v>1557140128935</v>
      </c>
      <c r="M1197" s="4">
        <f t="shared" si="56"/>
        <v>0.10152155677673047</v>
      </c>
    </row>
    <row r="1198" spans="1:13" x14ac:dyDescent="0.45">
      <c r="A1198" s="2">
        <v>44208</v>
      </c>
      <c r="B1198" s="1">
        <v>8966.5499999999993</v>
      </c>
      <c r="D1198" s="2">
        <v>44208</v>
      </c>
      <c r="E1198" s="1">
        <v>5043.1499999999996</v>
      </c>
      <c r="G1198" s="3">
        <v>159137444</v>
      </c>
      <c r="H1198" s="3">
        <f t="shared" si="54"/>
        <v>1426913848498.2</v>
      </c>
      <c r="J1198" s="3">
        <v>317816130</v>
      </c>
      <c r="K1198" s="3">
        <f t="shared" si="55"/>
        <v>1602794416009.5</v>
      </c>
      <c r="M1198" s="4">
        <f t="shared" si="56"/>
        <v>0.10973370368309143</v>
      </c>
    </row>
    <row r="1199" spans="1:13" x14ac:dyDescent="0.45">
      <c r="A1199" s="2">
        <v>44207</v>
      </c>
      <c r="B1199" s="1">
        <v>8994.1</v>
      </c>
      <c r="D1199" s="2">
        <v>44207</v>
      </c>
      <c r="E1199" s="1">
        <v>4984.1499999999996</v>
      </c>
      <c r="G1199" s="3">
        <v>159137444</v>
      </c>
      <c r="H1199" s="3">
        <f t="shared" si="54"/>
        <v>1431298085080.4001</v>
      </c>
      <c r="J1199" s="3">
        <v>317816130</v>
      </c>
      <c r="K1199" s="3">
        <f t="shared" si="55"/>
        <v>1584043264339.5</v>
      </c>
      <c r="M1199" s="4">
        <f t="shared" si="56"/>
        <v>9.6427403656042299E-2</v>
      </c>
    </row>
    <row r="1200" spans="1:13" x14ac:dyDescent="0.45">
      <c r="A1200" s="2">
        <v>44204</v>
      </c>
      <c r="B1200" s="1">
        <v>9170.6</v>
      </c>
      <c r="D1200" s="2">
        <v>44204</v>
      </c>
      <c r="E1200" s="1">
        <v>5080.7</v>
      </c>
      <c r="G1200" s="3">
        <v>159137444</v>
      </c>
      <c r="H1200" s="3">
        <f t="shared" si="54"/>
        <v>1459385843946.4001</v>
      </c>
      <c r="J1200" s="3">
        <v>317816130</v>
      </c>
      <c r="K1200" s="3">
        <f t="shared" si="55"/>
        <v>1614728411691</v>
      </c>
      <c r="M1200" s="4">
        <f t="shared" si="56"/>
        <v>9.6203526623972468E-2</v>
      </c>
    </row>
    <row r="1201" spans="1:13" x14ac:dyDescent="0.45">
      <c r="A1201" s="2">
        <v>44203</v>
      </c>
      <c r="B1201" s="1">
        <v>8987.5499999999993</v>
      </c>
      <c r="D1201" s="2">
        <v>44203</v>
      </c>
      <c r="E1201" s="1">
        <v>5082.8</v>
      </c>
      <c r="G1201" s="3">
        <v>159137444</v>
      </c>
      <c r="H1201" s="3">
        <f t="shared" si="54"/>
        <v>1430255734822.2</v>
      </c>
      <c r="J1201" s="3">
        <v>317816130</v>
      </c>
      <c r="K1201" s="3">
        <f t="shared" si="55"/>
        <v>1615395825564</v>
      </c>
      <c r="M1201" s="4">
        <f t="shared" si="56"/>
        <v>0.11460973701424548</v>
      </c>
    </row>
    <row r="1202" spans="1:13" x14ac:dyDescent="0.45">
      <c r="A1202" s="2">
        <v>44202</v>
      </c>
      <c r="B1202" s="1">
        <v>8784.65</v>
      </c>
      <c r="D1202" s="2">
        <v>44202</v>
      </c>
      <c r="E1202" s="1">
        <v>5027.95</v>
      </c>
      <c r="G1202" s="3">
        <v>159137444</v>
      </c>
      <c r="H1202" s="3">
        <f t="shared" si="54"/>
        <v>1397966747434.5999</v>
      </c>
      <c r="J1202" s="3">
        <v>317816130</v>
      </c>
      <c r="K1202" s="3">
        <f t="shared" si="55"/>
        <v>1597963610833.5</v>
      </c>
      <c r="M1202" s="4">
        <f t="shared" si="56"/>
        <v>0.1251573327721659</v>
      </c>
    </row>
    <row r="1203" spans="1:13" x14ac:dyDescent="0.45">
      <c r="A1203" s="2">
        <v>44201</v>
      </c>
      <c r="B1203" s="1">
        <v>8820.6</v>
      </c>
      <c r="D1203" s="2">
        <v>44201</v>
      </c>
      <c r="E1203" s="1">
        <v>5121</v>
      </c>
      <c r="G1203" s="3">
        <v>159137444</v>
      </c>
      <c r="H1203" s="3">
        <f t="shared" si="54"/>
        <v>1403687738546.4001</v>
      </c>
      <c r="J1203" s="3">
        <v>317816130</v>
      </c>
      <c r="K1203" s="3">
        <f t="shared" si="55"/>
        <v>1627536401730</v>
      </c>
      <c r="M1203" s="4">
        <f t="shared" si="56"/>
        <v>0.1375383450383405</v>
      </c>
    </row>
    <row r="1204" spans="1:13" x14ac:dyDescent="0.45">
      <c r="A1204" s="2">
        <v>44200</v>
      </c>
      <c r="B1204" s="1">
        <v>8902.4</v>
      </c>
      <c r="D1204" s="2">
        <v>44200</v>
      </c>
      <c r="E1204" s="1">
        <v>5216.3</v>
      </c>
      <c r="G1204" s="3">
        <v>159137444</v>
      </c>
      <c r="H1204" s="3">
        <f t="shared" si="54"/>
        <v>1416705181465.5999</v>
      </c>
      <c r="J1204" s="3">
        <v>317816130</v>
      </c>
      <c r="K1204" s="3">
        <f t="shared" si="55"/>
        <v>1657824278919</v>
      </c>
      <c r="M1204" s="4">
        <f t="shared" si="56"/>
        <v>0.14544309702752345</v>
      </c>
    </row>
    <row r="1205" spans="1:13" x14ac:dyDescent="0.45">
      <c r="A1205" s="2">
        <v>44197</v>
      </c>
      <c r="B1205" s="1">
        <v>8874.5</v>
      </c>
      <c r="D1205" s="2">
        <v>44197</v>
      </c>
      <c r="E1205" s="1">
        <v>5280.25</v>
      </c>
      <c r="G1205" s="3">
        <v>159137444</v>
      </c>
      <c r="H1205" s="3">
        <f t="shared" si="54"/>
        <v>1412265246778</v>
      </c>
      <c r="J1205" s="3">
        <v>317816130</v>
      </c>
      <c r="K1205" s="3">
        <f t="shared" si="55"/>
        <v>1678148620432.5</v>
      </c>
      <c r="M1205" s="4">
        <f t="shared" si="56"/>
        <v>0.15843851397737074</v>
      </c>
    </row>
    <row r="1206" spans="1:13" x14ac:dyDescent="0.45">
      <c r="A1206" s="2">
        <v>44196</v>
      </c>
      <c r="B1206" s="1">
        <v>8904.4500000000007</v>
      </c>
      <c r="D1206" s="2">
        <v>44196</v>
      </c>
      <c r="E1206" s="1">
        <v>5296</v>
      </c>
      <c r="G1206" s="3">
        <v>159137444</v>
      </c>
      <c r="H1206" s="3">
        <f t="shared" si="54"/>
        <v>1417031413225.8</v>
      </c>
      <c r="J1206" s="3">
        <v>317816130</v>
      </c>
      <c r="K1206" s="3">
        <f t="shared" si="55"/>
        <v>1683154224480</v>
      </c>
      <c r="M1206" s="4">
        <f t="shared" si="56"/>
        <v>0.15810958222584559</v>
      </c>
    </row>
    <row r="1207" spans="1:13" x14ac:dyDescent="0.45">
      <c r="A1207" s="2">
        <v>44195</v>
      </c>
      <c r="B1207" s="1">
        <v>8959.4500000000007</v>
      </c>
      <c r="D1207" s="2">
        <v>44195</v>
      </c>
      <c r="E1207" s="1">
        <v>5334.5</v>
      </c>
      <c r="G1207" s="3">
        <v>159137444</v>
      </c>
      <c r="H1207" s="3">
        <f t="shared" si="54"/>
        <v>1425783972645.8</v>
      </c>
      <c r="J1207" s="3">
        <v>317816130</v>
      </c>
      <c r="K1207" s="3">
        <f t="shared" si="55"/>
        <v>1695390145485</v>
      </c>
      <c r="M1207" s="4">
        <f t="shared" si="56"/>
        <v>0.15902308595882142</v>
      </c>
    </row>
    <row r="1208" spans="1:13" x14ac:dyDescent="0.45">
      <c r="A1208" s="2">
        <v>44194</v>
      </c>
      <c r="B1208" s="1">
        <v>8977.5499999999993</v>
      </c>
      <c r="D1208" s="2">
        <v>44194</v>
      </c>
      <c r="E1208" s="1">
        <v>5197.7</v>
      </c>
      <c r="G1208" s="3">
        <v>159137444</v>
      </c>
      <c r="H1208" s="3">
        <f t="shared" si="54"/>
        <v>1428664360382.2</v>
      </c>
      <c r="J1208" s="3">
        <v>317816130</v>
      </c>
      <c r="K1208" s="3">
        <f t="shared" si="55"/>
        <v>1651912898901</v>
      </c>
      <c r="M1208" s="4">
        <f t="shared" si="56"/>
        <v>0.13514546600327715</v>
      </c>
    </row>
    <row r="1209" spans="1:13" x14ac:dyDescent="0.45">
      <c r="A1209" s="2">
        <v>44193</v>
      </c>
      <c r="B1209" s="1">
        <v>8996.65</v>
      </c>
      <c r="D1209" s="2">
        <v>44193</v>
      </c>
      <c r="E1209" s="1">
        <v>5203.6000000000004</v>
      </c>
      <c r="G1209" s="3">
        <v>159137444</v>
      </c>
      <c r="H1209" s="3">
        <f t="shared" si="54"/>
        <v>1431703885562.5999</v>
      </c>
      <c r="J1209" s="3">
        <v>317816130</v>
      </c>
      <c r="K1209" s="3">
        <f t="shared" si="55"/>
        <v>1653788014068</v>
      </c>
      <c r="M1209" s="4">
        <f t="shared" si="56"/>
        <v>0.13428814734188088</v>
      </c>
    </row>
    <row r="1210" spans="1:13" x14ac:dyDescent="0.45">
      <c r="A1210" s="2">
        <v>44189</v>
      </c>
      <c r="B1210" s="1">
        <v>8992.25</v>
      </c>
      <c r="D1210" s="2">
        <v>44189</v>
      </c>
      <c r="E1210" s="1">
        <v>5183.6499999999996</v>
      </c>
      <c r="G1210" s="3">
        <v>159137444</v>
      </c>
      <c r="H1210" s="3">
        <f t="shared" si="54"/>
        <v>1431003680809</v>
      </c>
      <c r="J1210" s="3">
        <v>317816130</v>
      </c>
      <c r="K1210" s="3">
        <f t="shared" si="55"/>
        <v>1647447582274.5</v>
      </c>
      <c r="M1210" s="4">
        <f t="shared" si="56"/>
        <v>0.13138135852958255</v>
      </c>
    </row>
    <row r="1211" spans="1:13" x14ac:dyDescent="0.45">
      <c r="A1211" s="2">
        <v>44188</v>
      </c>
      <c r="B1211" s="1">
        <v>9010.15</v>
      </c>
      <c r="D1211" s="2">
        <v>44188</v>
      </c>
      <c r="E1211" s="1">
        <v>5088.55</v>
      </c>
      <c r="G1211" s="3">
        <v>159137444</v>
      </c>
      <c r="H1211" s="3">
        <f t="shared" si="54"/>
        <v>1433852241056.5999</v>
      </c>
      <c r="J1211" s="3">
        <v>317816130</v>
      </c>
      <c r="K1211" s="3">
        <f t="shared" si="55"/>
        <v>1617223268311.5</v>
      </c>
      <c r="M1211" s="4">
        <f t="shared" si="56"/>
        <v>0.11338633993706571</v>
      </c>
    </row>
    <row r="1212" spans="1:13" x14ac:dyDescent="0.45">
      <c r="A1212" s="2">
        <v>44187</v>
      </c>
      <c r="B1212" s="1">
        <v>8937.2999999999993</v>
      </c>
      <c r="D1212" s="2">
        <v>44187</v>
      </c>
      <c r="E1212" s="1">
        <v>5014.25</v>
      </c>
      <c r="G1212" s="3">
        <v>159137444</v>
      </c>
      <c r="H1212" s="3">
        <f t="shared" si="54"/>
        <v>1422259078261.2</v>
      </c>
      <c r="J1212" s="3">
        <v>317816130</v>
      </c>
      <c r="K1212" s="3">
        <f t="shared" si="55"/>
        <v>1593609529852.5</v>
      </c>
      <c r="M1212" s="4">
        <f t="shared" si="56"/>
        <v>0.10752348576075577</v>
      </c>
    </row>
    <row r="1213" spans="1:13" x14ac:dyDescent="0.45">
      <c r="A1213" s="2">
        <v>44186</v>
      </c>
      <c r="B1213" s="1">
        <v>8847.9</v>
      </c>
      <c r="D1213" s="2">
        <v>44186</v>
      </c>
      <c r="E1213" s="1">
        <v>5042.6000000000004</v>
      </c>
      <c r="G1213" s="3">
        <v>159137444</v>
      </c>
      <c r="H1213" s="3">
        <f t="shared" si="54"/>
        <v>1408032190767.5999</v>
      </c>
      <c r="J1213" s="3">
        <v>317816130</v>
      </c>
      <c r="K1213" s="3">
        <f t="shared" si="55"/>
        <v>1602619617138</v>
      </c>
      <c r="M1213" s="4">
        <f t="shared" si="56"/>
        <v>0.12141834799071005</v>
      </c>
    </row>
    <row r="1214" spans="1:13" x14ac:dyDescent="0.45">
      <c r="A1214" s="2">
        <v>44183</v>
      </c>
      <c r="B1214" s="1">
        <v>9212.9500000000007</v>
      </c>
      <c r="D1214" s="2">
        <v>44183</v>
      </c>
      <c r="E1214" s="1">
        <v>5252.05</v>
      </c>
      <c r="G1214" s="3">
        <v>159137444</v>
      </c>
      <c r="H1214" s="3">
        <f t="shared" si="54"/>
        <v>1466125314699.8</v>
      </c>
      <c r="J1214" s="3">
        <v>317816130</v>
      </c>
      <c r="K1214" s="3">
        <f t="shared" si="55"/>
        <v>1669186205566.5</v>
      </c>
      <c r="M1214" s="4">
        <f t="shared" si="56"/>
        <v>0.12165262940079458</v>
      </c>
    </row>
    <row r="1215" spans="1:13" x14ac:dyDescent="0.45">
      <c r="A1215" s="2">
        <v>44182</v>
      </c>
      <c r="B1215" s="1">
        <v>9290.65</v>
      </c>
      <c r="D1215" s="2">
        <v>44182</v>
      </c>
      <c r="E1215" s="1">
        <v>5284.25</v>
      </c>
      <c r="G1215" s="3">
        <v>159137444</v>
      </c>
      <c r="H1215" s="3">
        <f t="shared" si="54"/>
        <v>1478490294098.5999</v>
      </c>
      <c r="J1215" s="3">
        <v>317816130</v>
      </c>
      <c r="K1215" s="3">
        <f t="shared" si="55"/>
        <v>1679419884952.5</v>
      </c>
      <c r="M1215" s="4">
        <f t="shared" si="56"/>
        <v>0.11964226019604574</v>
      </c>
    </row>
    <row r="1216" spans="1:13" x14ac:dyDescent="0.45">
      <c r="A1216" s="2">
        <v>44181</v>
      </c>
      <c r="B1216" s="1">
        <v>9257.5499999999993</v>
      </c>
      <c r="D1216" s="2">
        <v>44181</v>
      </c>
      <c r="E1216" s="1">
        <v>5143.5</v>
      </c>
      <c r="G1216" s="3">
        <v>159137444</v>
      </c>
      <c r="H1216" s="3">
        <f t="shared" si="54"/>
        <v>1473222844702.2</v>
      </c>
      <c r="J1216" s="3">
        <v>317816130</v>
      </c>
      <c r="K1216" s="3">
        <f t="shared" si="55"/>
        <v>1634687264655</v>
      </c>
      <c r="M1216" s="4">
        <f t="shared" si="56"/>
        <v>9.8773889932321168E-2</v>
      </c>
    </row>
    <row r="1217" spans="1:13" x14ac:dyDescent="0.45">
      <c r="A1217" s="2">
        <v>44180</v>
      </c>
      <c r="B1217" s="1">
        <v>9301.85</v>
      </c>
      <c r="D1217" s="2">
        <v>44180</v>
      </c>
      <c r="E1217" s="1">
        <v>5128.05</v>
      </c>
      <c r="G1217" s="3">
        <v>159137444</v>
      </c>
      <c r="H1217" s="3">
        <f t="shared" si="54"/>
        <v>1480272633471.4001</v>
      </c>
      <c r="J1217" s="3">
        <v>317816130</v>
      </c>
      <c r="K1217" s="3">
        <f t="shared" si="55"/>
        <v>1629777005446.5</v>
      </c>
      <c r="M1217" s="4">
        <f t="shared" si="56"/>
        <v>9.1733023275868963E-2</v>
      </c>
    </row>
    <row r="1218" spans="1:13" x14ac:dyDescent="0.45">
      <c r="A1218" s="2">
        <v>44179</v>
      </c>
      <c r="B1218" s="1">
        <v>8930.7999999999993</v>
      </c>
      <c r="D1218" s="2">
        <v>44179</v>
      </c>
      <c r="E1218" s="1">
        <v>4898.25</v>
      </c>
      <c r="G1218" s="3">
        <v>159137444</v>
      </c>
      <c r="H1218" s="3">
        <f t="shared" si="54"/>
        <v>1421224684875.2</v>
      </c>
      <c r="J1218" s="3">
        <v>317816130</v>
      </c>
      <c r="K1218" s="3">
        <f t="shared" si="55"/>
        <v>1556742858772.5</v>
      </c>
      <c r="M1218" s="4">
        <f t="shared" si="56"/>
        <v>8.7052381922700373E-2</v>
      </c>
    </row>
    <row r="1219" spans="1:13" x14ac:dyDescent="0.45">
      <c r="A1219" s="2">
        <v>44176</v>
      </c>
      <c r="B1219" s="1">
        <v>8998.65</v>
      </c>
      <c r="D1219" s="2">
        <v>44176</v>
      </c>
      <c r="E1219" s="1">
        <v>4843.1000000000004</v>
      </c>
      <c r="G1219" s="3">
        <v>159137444</v>
      </c>
      <c r="H1219" s="3">
        <f t="shared" si="54"/>
        <v>1432022160450.5999</v>
      </c>
      <c r="J1219" s="3">
        <v>317816130</v>
      </c>
      <c r="K1219" s="3">
        <f t="shared" si="55"/>
        <v>1539215299203</v>
      </c>
      <c r="M1219" s="4">
        <f t="shared" si="56"/>
        <v>6.9641419759733703E-2</v>
      </c>
    </row>
    <row r="1220" spans="1:13" x14ac:dyDescent="0.45">
      <c r="A1220" s="2">
        <v>44175</v>
      </c>
      <c r="B1220" s="1">
        <v>9026.5</v>
      </c>
      <c r="D1220" s="2">
        <v>44175</v>
      </c>
      <c r="E1220" s="1">
        <v>4792.6499999999996</v>
      </c>
      <c r="G1220" s="3">
        <v>159137444</v>
      </c>
      <c r="H1220" s="3">
        <f t="shared" ref="H1220:H1242" si="57">+G1220*B1220</f>
        <v>1436454138266</v>
      </c>
      <c r="J1220" s="3">
        <v>317816130</v>
      </c>
      <c r="K1220" s="3">
        <f t="shared" ref="K1220:K1242" si="58">+J1220*E1220</f>
        <v>1523181475444.5</v>
      </c>
      <c r="M1220" s="4">
        <f t="shared" ref="M1220:M1242" si="59">1- (H1220/K1220)</f>
        <v>5.6938282520269556E-2</v>
      </c>
    </row>
    <row r="1221" spans="1:13" x14ac:dyDescent="0.45">
      <c r="A1221" s="2">
        <v>44174</v>
      </c>
      <c r="B1221" s="1">
        <v>9008.2999999999993</v>
      </c>
      <c r="D1221" s="2">
        <v>44174</v>
      </c>
      <c r="E1221" s="1">
        <v>4843</v>
      </c>
      <c r="G1221" s="3">
        <v>159137444</v>
      </c>
      <c r="H1221" s="3">
        <f t="shared" si="57"/>
        <v>1433557836785.2</v>
      </c>
      <c r="J1221" s="3">
        <v>317816130</v>
      </c>
      <c r="K1221" s="3">
        <f t="shared" si="58"/>
        <v>1539183517590</v>
      </c>
      <c r="M1221" s="4">
        <f t="shared" si="59"/>
        <v>6.8624487981904236E-2</v>
      </c>
    </row>
    <row r="1222" spans="1:13" x14ac:dyDescent="0.45">
      <c r="A1222" s="2">
        <v>44173</v>
      </c>
      <c r="B1222" s="1">
        <v>8967.0499999999993</v>
      </c>
      <c r="D1222" s="2">
        <v>44173</v>
      </c>
      <c r="E1222" s="1">
        <v>4789.6499999999996</v>
      </c>
      <c r="G1222" s="3">
        <v>159137444</v>
      </c>
      <c r="H1222" s="3">
        <f t="shared" si="57"/>
        <v>1426993417220.2</v>
      </c>
      <c r="J1222" s="3">
        <v>317816130</v>
      </c>
      <c r="K1222" s="3">
        <f t="shared" si="58"/>
        <v>1522228027054.5</v>
      </c>
      <c r="M1222" s="4">
        <f t="shared" si="59"/>
        <v>6.2562643796920669E-2</v>
      </c>
    </row>
    <row r="1223" spans="1:13" x14ac:dyDescent="0.45">
      <c r="A1223" s="2">
        <v>44172</v>
      </c>
      <c r="B1223" s="1">
        <v>9048.0499999999993</v>
      </c>
      <c r="D1223" s="2">
        <v>44172</v>
      </c>
      <c r="E1223" s="1">
        <v>4825.25</v>
      </c>
      <c r="G1223" s="3">
        <v>159137444</v>
      </c>
      <c r="H1223" s="3">
        <f t="shared" si="57"/>
        <v>1439883550184.2</v>
      </c>
      <c r="J1223" s="3">
        <v>317816130</v>
      </c>
      <c r="K1223" s="3">
        <f t="shared" si="58"/>
        <v>1533542281282.5</v>
      </c>
      <c r="M1223" s="4">
        <f t="shared" si="59"/>
        <v>6.1073458646326517E-2</v>
      </c>
    </row>
    <row r="1224" spans="1:13" x14ac:dyDescent="0.45">
      <c r="A1224" s="2">
        <v>44169</v>
      </c>
      <c r="B1224" s="1">
        <v>9048.75</v>
      </c>
      <c r="D1224" s="2">
        <v>44169</v>
      </c>
      <c r="E1224" s="1">
        <v>4874.95</v>
      </c>
      <c r="G1224" s="3">
        <v>159137444</v>
      </c>
      <c r="H1224" s="3">
        <f t="shared" si="57"/>
        <v>1439994946395</v>
      </c>
      <c r="J1224" s="3">
        <v>317816130</v>
      </c>
      <c r="K1224" s="3">
        <f t="shared" si="58"/>
        <v>1549337742943.5</v>
      </c>
      <c r="M1224" s="4">
        <f t="shared" si="59"/>
        <v>7.0573893295057588E-2</v>
      </c>
    </row>
    <row r="1225" spans="1:13" x14ac:dyDescent="0.45">
      <c r="A1225" s="2">
        <v>44168</v>
      </c>
      <c r="B1225" s="1">
        <v>9112.6</v>
      </c>
      <c r="D1225" s="2">
        <v>44168</v>
      </c>
      <c r="E1225" s="1">
        <v>4867.55</v>
      </c>
      <c r="G1225" s="3">
        <v>159137444</v>
      </c>
      <c r="H1225" s="3">
        <f t="shared" si="57"/>
        <v>1450155872194.4001</v>
      </c>
      <c r="J1225" s="3">
        <v>317816130</v>
      </c>
      <c r="K1225" s="3">
        <f t="shared" si="58"/>
        <v>1546985903581.5</v>
      </c>
      <c r="M1225" s="4">
        <f t="shared" si="59"/>
        <v>6.2592704408569011E-2</v>
      </c>
    </row>
    <row r="1226" spans="1:13" x14ac:dyDescent="0.45">
      <c r="A1226" s="2">
        <v>44167</v>
      </c>
      <c r="B1226" s="1">
        <v>8803.2000000000007</v>
      </c>
      <c r="D1226" s="2">
        <v>44167</v>
      </c>
      <c r="E1226" s="1">
        <v>4822.1499999999996</v>
      </c>
      <c r="G1226" s="3">
        <v>159137444</v>
      </c>
      <c r="H1226" s="3">
        <f t="shared" si="57"/>
        <v>1400918747020.8</v>
      </c>
      <c r="J1226" s="3">
        <v>317816130</v>
      </c>
      <c r="K1226" s="3">
        <f t="shared" si="58"/>
        <v>1532557051279.5</v>
      </c>
      <c r="M1226" s="4">
        <f t="shared" si="59"/>
        <v>8.5894553908318017E-2</v>
      </c>
    </row>
    <row r="1227" spans="1:13" x14ac:dyDescent="0.45">
      <c r="A1227" s="2">
        <v>44166</v>
      </c>
      <c r="B1227" s="1">
        <v>8739.4</v>
      </c>
      <c r="D1227" s="2">
        <v>44166</v>
      </c>
      <c r="E1227" s="1">
        <v>4857.2</v>
      </c>
      <c r="G1227" s="3">
        <v>159137444</v>
      </c>
      <c r="H1227" s="3">
        <f t="shared" si="57"/>
        <v>1390765778093.5999</v>
      </c>
      <c r="J1227" s="3">
        <v>317816130</v>
      </c>
      <c r="K1227" s="3">
        <f t="shared" si="58"/>
        <v>1543696506636</v>
      </c>
      <c r="M1227" s="4">
        <f t="shared" si="59"/>
        <v>9.9067872399131396E-2</v>
      </c>
    </row>
    <row r="1228" spans="1:13" x14ac:dyDescent="0.45">
      <c r="A1228" s="2">
        <v>44162</v>
      </c>
      <c r="B1228" s="1">
        <v>8755.2000000000007</v>
      </c>
      <c r="D1228" s="2">
        <v>44162</v>
      </c>
      <c r="E1228" s="1">
        <v>4903.3</v>
      </c>
      <c r="G1228" s="3">
        <v>159137444</v>
      </c>
      <c r="H1228" s="3">
        <f t="shared" si="57"/>
        <v>1393280149708.8</v>
      </c>
      <c r="J1228" s="3">
        <v>317816130</v>
      </c>
      <c r="K1228" s="3">
        <f t="shared" si="58"/>
        <v>1558347830229</v>
      </c>
      <c r="M1228" s="4">
        <f t="shared" si="59"/>
        <v>0.10592479889162043</v>
      </c>
    </row>
    <row r="1229" spans="1:13" x14ac:dyDescent="0.45">
      <c r="A1229" s="2">
        <v>44161</v>
      </c>
      <c r="B1229" s="1">
        <v>8817.15</v>
      </c>
      <c r="D1229" s="2">
        <v>44161</v>
      </c>
      <c r="E1229" s="1">
        <v>4827.8500000000004</v>
      </c>
      <c r="G1229" s="3">
        <v>159137444</v>
      </c>
      <c r="H1229" s="3">
        <f t="shared" si="57"/>
        <v>1403138714364.5999</v>
      </c>
      <c r="J1229" s="3">
        <v>317816130</v>
      </c>
      <c r="K1229" s="3">
        <f t="shared" si="58"/>
        <v>1534368603220.5</v>
      </c>
      <c r="M1229" s="4">
        <f t="shared" si="59"/>
        <v>8.5526964368575209E-2</v>
      </c>
    </row>
    <row r="1230" spans="1:13" x14ac:dyDescent="0.45">
      <c r="A1230" s="2">
        <v>44160</v>
      </c>
      <c r="B1230" s="1">
        <v>8723.5</v>
      </c>
      <c r="D1230" s="2">
        <v>44160</v>
      </c>
      <c r="E1230" s="1">
        <v>4689.6499999999996</v>
      </c>
      <c r="G1230" s="3">
        <v>159137444</v>
      </c>
      <c r="H1230" s="3">
        <f t="shared" si="57"/>
        <v>1388235492734</v>
      </c>
      <c r="J1230" s="3">
        <v>317816130</v>
      </c>
      <c r="K1230" s="3">
        <f t="shared" si="58"/>
        <v>1490446414054.5</v>
      </c>
      <c r="M1230" s="4">
        <f t="shared" si="59"/>
        <v>6.8577387524086153E-2</v>
      </c>
    </row>
    <row r="1231" spans="1:13" x14ac:dyDescent="0.45">
      <c r="A1231" s="2">
        <v>44159</v>
      </c>
      <c r="B1231" s="1">
        <v>8859.4500000000007</v>
      </c>
      <c r="D1231" s="2">
        <v>44159</v>
      </c>
      <c r="E1231" s="1">
        <v>4809.2</v>
      </c>
      <c r="G1231" s="3">
        <v>159137444</v>
      </c>
      <c r="H1231" s="3">
        <f t="shared" si="57"/>
        <v>1409870228245.8</v>
      </c>
      <c r="J1231" s="3">
        <v>317816130</v>
      </c>
      <c r="K1231" s="3">
        <f t="shared" si="58"/>
        <v>1528441332396</v>
      </c>
      <c r="M1231" s="4">
        <f t="shared" si="59"/>
        <v>7.7576483726939482E-2</v>
      </c>
    </row>
    <row r="1232" spans="1:13" x14ac:dyDescent="0.45">
      <c r="A1232" s="2">
        <v>44158</v>
      </c>
      <c r="B1232" s="1">
        <v>8773.4500000000007</v>
      </c>
      <c r="D1232" s="2">
        <v>44158</v>
      </c>
      <c r="E1232" s="1">
        <v>4809.6499999999996</v>
      </c>
      <c r="G1232" s="3">
        <v>159137444</v>
      </c>
      <c r="H1232" s="3">
        <f t="shared" si="57"/>
        <v>1396184408061.8</v>
      </c>
      <c r="J1232" s="3">
        <v>317816130</v>
      </c>
      <c r="K1232" s="3">
        <f t="shared" si="58"/>
        <v>1528584349654.5</v>
      </c>
      <c r="M1232" s="4">
        <f t="shared" si="59"/>
        <v>8.6616052050137671E-2</v>
      </c>
    </row>
    <row r="1233" spans="1:13" x14ac:dyDescent="0.45">
      <c r="A1233" s="2">
        <v>44155</v>
      </c>
      <c r="B1233" s="1">
        <v>8536.5</v>
      </c>
      <c r="D1233" s="2">
        <v>44155</v>
      </c>
      <c r="E1233" s="1">
        <v>4717.75</v>
      </c>
      <c r="G1233" s="3">
        <v>159137444</v>
      </c>
      <c r="H1233" s="3">
        <f t="shared" si="57"/>
        <v>1358476790706</v>
      </c>
      <c r="J1233" s="3">
        <v>317816130</v>
      </c>
      <c r="K1233" s="3">
        <f t="shared" si="58"/>
        <v>1499377047307.5</v>
      </c>
      <c r="M1233" s="4">
        <f t="shared" si="59"/>
        <v>9.3972531361955269E-2</v>
      </c>
    </row>
    <row r="1234" spans="1:13" x14ac:dyDescent="0.45">
      <c r="A1234" s="2">
        <v>44154</v>
      </c>
      <c r="B1234" s="1">
        <v>7822.4</v>
      </c>
      <c r="D1234" s="2">
        <v>44154</v>
      </c>
      <c r="E1234" s="1">
        <v>4534.1000000000004</v>
      </c>
      <c r="G1234" s="3">
        <v>159137444</v>
      </c>
      <c r="H1234" s="3">
        <f t="shared" si="57"/>
        <v>1244836741945.5999</v>
      </c>
      <c r="J1234" s="3">
        <v>317816130</v>
      </c>
      <c r="K1234" s="3">
        <f t="shared" si="58"/>
        <v>1441010115033</v>
      </c>
      <c r="M1234" s="4">
        <f t="shared" si="59"/>
        <v>0.13613601392583397</v>
      </c>
    </row>
    <row r="1235" spans="1:13" x14ac:dyDescent="0.45">
      <c r="A1235" s="2">
        <v>44153</v>
      </c>
      <c r="B1235" s="1">
        <v>7778.25</v>
      </c>
      <c r="D1235" s="2">
        <v>44153</v>
      </c>
      <c r="E1235" s="1">
        <v>4655.3999999999996</v>
      </c>
      <c r="G1235" s="3">
        <v>159137444</v>
      </c>
      <c r="H1235" s="3">
        <f t="shared" si="57"/>
        <v>1237810823793</v>
      </c>
      <c r="J1235" s="3">
        <v>317816130</v>
      </c>
      <c r="K1235" s="3">
        <f t="shared" si="58"/>
        <v>1479561211602</v>
      </c>
      <c r="M1235" s="4">
        <f t="shared" si="59"/>
        <v>0.16339329925204238</v>
      </c>
    </row>
    <row r="1236" spans="1:13" x14ac:dyDescent="0.45">
      <c r="A1236" s="2">
        <v>44152</v>
      </c>
      <c r="B1236" s="1">
        <v>7364.7</v>
      </c>
      <c r="D1236" s="2">
        <v>44152</v>
      </c>
      <c r="E1236" s="1">
        <v>4487.8500000000004</v>
      </c>
      <c r="G1236" s="3">
        <v>159137444</v>
      </c>
      <c r="H1236" s="3">
        <f t="shared" si="57"/>
        <v>1171999533826.8</v>
      </c>
      <c r="J1236" s="3">
        <v>317816130</v>
      </c>
      <c r="K1236" s="3">
        <f t="shared" si="58"/>
        <v>1426311119020.5</v>
      </c>
      <c r="M1236" s="4">
        <f t="shared" si="59"/>
        <v>0.17830021921749095</v>
      </c>
    </row>
    <row r="1237" spans="1:13" x14ac:dyDescent="0.45">
      <c r="A1237" s="2">
        <v>44149</v>
      </c>
      <c r="B1237" s="1">
        <v>7327.1</v>
      </c>
      <c r="D1237" s="2">
        <v>44149</v>
      </c>
      <c r="E1237" s="1">
        <v>4373.45</v>
      </c>
      <c r="G1237" s="3">
        <v>159137444</v>
      </c>
      <c r="H1237" s="3">
        <f t="shared" si="57"/>
        <v>1166015965932.4001</v>
      </c>
      <c r="J1237" s="3">
        <v>317816130</v>
      </c>
      <c r="K1237" s="3">
        <f t="shared" si="58"/>
        <v>1389952953748.5</v>
      </c>
      <c r="M1237" s="4">
        <f t="shared" si="59"/>
        <v>0.16111119963605569</v>
      </c>
    </row>
    <row r="1238" spans="1:13" x14ac:dyDescent="0.45">
      <c r="A1238" s="2">
        <v>44148</v>
      </c>
      <c r="B1238" s="1">
        <v>7257.8</v>
      </c>
      <c r="D1238" s="2">
        <v>44148</v>
      </c>
      <c r="E1238" s="1">
        <v>4374.8999999999996</v>
      </c>
      <c r="G1238" s="3">
        <v>159137444</v>
      </c>
      <c r="H1238" s="3">
        <f t="shared" si="57"/>
        <v>1154987741063.2</v>
      </c>
      <c r="J1238" s="3">
        <v>317816130</v>
      </c>
      <c r="K1238" s="3">
        <f t="shared" si="58"/>
        <v>1390413787137</v>
      </c>
      <c r="M1238" s="4">
        <f t="shared" si="59"/>
        <v>0.16932085128310304</v>
      </c>
    </row>
    <row r="1239" spans="1:13" x14ac:dyDescent="0.45">
      <c r="A1239" s="2">
        <v>44147</v>
      </c>
      <c r="B1239" s="1">
        <v>7024.55</v>
      </c>
      <c r="D1239" s="2">
        <v>44147</v>
      </c>
      <c r="E1239" s="1">
        <v>4298.6499999999996</v>
      </c>
      <c r="G1239" s="3">
        <v>159137444</v>
      </c>
      <c r="H1239" s="3">
        <f t="shared" si="57"/>
        <v>1117868932250.2</v>
      </c>
      <c r="J1239" s="3">
        <v>317816130</v>
      </c>
      <c r="K1239" s="3">
        <f t="shared" si="58"/>
        <v>1366180307224.5</v>
      </c>
      <c r="M1239" s="4">
        <f t="shared" si="59"/>
        <v>0.18175593196681605</v>
      </c>
    </row>
    <row r="1240" spans="1:13" x14ac:dyDescent="0.45">
      <c r="A1240" s="2">
        <v>44146</v>
      </c>
      <c r="B1240" s="1">
        <v>6950.6</v>
      </c>
      <c r="D1240" s="2">
        <v>44146</v>
      </c>
      <c r="E1240" s="1">
        <v>4269</v>
      </c>
      <c r="G1240" s="3">
        <v>159137444</v>
      </c>
      <c r="H1240" s="3">
        <f t="shared" si="57"/>
        <v>1106100718266.4001</v>
      </c>
      <c r="J1240" s="3">
        <v>317816130</v>
      </c>
      <c r="K1240" s="3">
        <f t="shared" si="58"/>
        <v>1356757058970</v>
      </c>
      <c r="M1240" s="4">
        <f t="shared" si="59"/>
        <v>0.18474666414773544</v>
      </c>
    </row>
    <row r="1241" spans="1:13" x14ac:dyDescent="0.45">
      <c r="A1241" s="2">
        <v>44145</v>
      </c>
      <c r="B1241" s="1">
        <v>6686.95</v>
      </c>
      <c r="D1241" s="2">
        <v>44145</v>
      </c>
      <c r="E1241" s="1">
        <v>4208.6000000000004</v>
      </c>
      <c r="G1241" s="3">
        <v>159137444</v>
      </c>
      <c r="H1241" s="3">
        <f t="shared" si="57"/>
        <v>1064144131155.7999</v>
      </c>
      <c r="J1241" s="3">
        <v>317816130</v>
      </c>
      <c r="K1241" s="3">
        <f t="shared" si="58"/>
        <v>1337560964718</v>
      </c>
      <c r="M1241" s="4">
        <f t="shared" si="59"/>
        <v>0.20441448335765766</v>
      </c>
    </row>
    <row r="1242" spans="1:13" x14ac:dyDescent="0.45">
      <c r="A1242" s="2">
        <v>44144</v>
      </c>
      <c r="B1242" s="1">
        <v>6282.45</v>
      </c>
      <c r="D1242" s="2">
        <v>44144</v>
      </c>
      <c r="E1242" s="1">
        <v>3866.6</v>
      </c>
      <c r="G1242" s="3">
        <v>159137444</v>
      </c>
      <c r="H1242" s="3">
        <f t="shared" si="57"/>
        <v>999773035057.79993</v>
      </c>
      <c r="J1242" s="3">
        <v>317816130</v>
      </c>
      <c r="K1242" s="3">
        <f t="shared" si="58"/>
        <v>1228867848258</v>
      </c>
      <c r="M1242" s="4">
        <f t="shared" si="59"/>
        <v>0.18642754265640271</v>
      </c>
    </row>
    <row r="1243" spans="1:13" x14ac:dyDescent="0.45">
      <c r="A1243" s="2"/>
      <c r="D1243" s="2"/>
      <c r="G1243" s="3"/>
      <c r="H1243" s="3"/>
      <c r="J1243" s="3"/>
      <c r="K1243" s="3"/>
      <c r="M1243" s="4"/>
    </row>
    <row r="1244" spans="1:13" x14ac:dyDescent="0.45">
      <c r="A1244" s="2"/>
      <c r="D1244" s="2"/>
      <c r="G1244" s="3"/>
      <c r="H1244" s="3"/>
      <c r="J1244" s="3"/>
      <c r="K1244" s="3"/>
      <c r="M1244" s="4"/>
    </row>
    <row r="1245" spans="1:13" x14ac:dyDescent="0.45">
      <c r="A1245" s="2"/>
      <c r="D1245" s="2"/>
      <c r="G1245" s="3"/>
      <c r="H1245" s="3"/>
      <c r="J1245" s="3"/>
      <c r="K1245" s="3"/>
      <c r="M1245" s="4"/>
    </row>
    <row r="1246" spans="1:13" x14ac:dyDescent="0.45">
      <c r="A1246" s="2"/>
      <c r="D1246" s="2"/>
      <c r="G1246" s="3"/>
      <c r="H1246" s="3"/>
      <c r="J1246" s="3"/>
      <c r="K1246" s="3"/>
      <c r="M1246" s="4"/>
    </row>
    <row r="1247" spans="1:13" x14ac:dyDescent="0.45">
      <c r="A1247" s="2"/>
      <c r="D1247" s="2"/>
      <c r="G1247" s="3"/>
      <c r="H1247" s="3"/>
      <c r="J1247" s="3"/>
      <c r="K1247" s="3"/>
      <c r="M1247" s="4"/>
    </row>
    <row r="1248" spans="1:13" x14ac:dyDescent="0.45">
      <c r="A1248" s="2"/>
      <c r="D1248" s="2"/>
      <c r="G1248" s="3"/>
      <c r="H1248" s="3"/>
      <c r="J1248" s="3"/>
      <c r="K1248" s="3"/>
      <c r="M1248" s="4"/>
    </row>
    <row r="1249" spans="1:13" x14ac:dyDescent="0.45">
      <c r="A1249" s="2"/>
      <c r="D1249" s="2"/>
      <c r="G1249" s="3"/>
      <c r="H1249" s="3"/>
      <c r="J1249" s="3"/>
      <c r="K1249" s="3"/>
      <c r="M1249" s="4"/>
    </row>
    <row r="1250" spans="1:13" x14ac:dyDescent="0.45">
      <c r="A1250" s="2"/>
      <c r="D1250" s="2"/>
      <c r="G1250" s="3"/>
      <c r="H1250" s="3"/>
      <c r="J1250" s="3"/>
      <c r="K1250" s="3"/>
      <c r="M1250" s="4"/>
    </row>
    <row r="1251" spans="1:13" x14ac:dyDescent="0.45">
      <c r="A1251" s="2"/>
      <c r="D1251" s="2"/>
      <c r="G1251" s="3"/>
      <c r="H1251" s="3"/>
      <c r="J1251" s="3"/>
      <c r="K1251" s="3"/>
      <c r="M1251" s="4"/>
    </row>
    <row r="1252" spans="1:13" x14ac:dyDescent="0.45">
      <c r="A1252" s="2"/>
      <c r="D1252" s="2"/>
      <c r="G1252" s="3"/>
      <c r="H1252" s="3"/>
      <c r="J1252" s="3"/>
      <c r="K1252" s="3"/>
      <c r="M1252" s="4"/>
    </row>
    <row r="1253" spans="1:13" x14ac:dyDescent="0.45">
      <c r="A1253" s="2"/>
      <c r="D1253" s="2"/>
      <c r="G1253" s="3"/>
      <c r="H1253" s="3"/>
      <c r="J1253" s="3"/>
      <c r="K1253" s="3"/>
      <c r="M1253" s="4"/>
    </row>
    <row r="1254" spans="1:13" x14ac:dyDescent="0.45">
      <c r="A1254" s="2"/>
      <c r="D1254" s="2"/>
      <c r="G1254" s="3"/>
      <c r="H1254" s="3"/>
      <c r="J1254" s="3"/>
      <c r="K1254" s="3"/>
      <c r="M1254" s="4"/>
    </row>
    <row r="1255" spans="1:13" x14ac:dyDescent="0.45">
      <c r="A1255" s="2"/>
      <c r="D1255" s="2"/>
      <c r="G1255" s="3"/>
      <c r="H1255" s="3"/>
      <c r="J1255" s="3"/>
      <c r="K1255" s="3"/>
      <c r="M1255" s="4"/>
    </row>
    <row r="1256" spans="1:13" x14ac:dyDescent="0.45">
      <c r="A1256" s="2"/>
      <c r="D1256" s="2"/>
      <c r="G1256" s="3"/>
      <c r="H1256" s="3"/>
      <c r="J1256" s="3"/>
      <c r="K1256" s="3"/>
      <c r="M1256" s="4"/>
    </row>
    <row r="1257" spans="1:13" x14ac:dyDescent="0.45">
      <c r="A1257" s="2"/>
      <c r="D1257" s="2"/>
      <c r="G1257" s="3"/>
      <c r="H1257" s="3"/>
      <c r="J1257" s="3"/>
      <c r="K1257" s="3"/>
      <c r="M1257" s="4"/>
    </row>
    <row r="1258" spans="1:13" x14ac:dyDescent="0.45">
      <c r="A1258" s="2"/>
      <c r="D1258" s="2"/>
      <c r="G1258" s="3"/>
      <c r="H1258" s="3"/>
      <c r="J1258" s="3"/>
      <c r="K1258" s="3"/>
      <c r="M1258" s="4"/>
    </row>
    <row r="1259" spans="1:13" x14ac:dyDescent="0.45">
      <c r="A1259" s="2"/>
      <c r="D1259" s="2"/>
      <c r="G1259" s="3"/>
      <c r="H1259" s="3"/>
      <c r="J1259" s="3"/>
      <c r="K1259" s="3"/>
      <c r="M1259" s="4"/>
    </row>
    <row r="1260" spans="1:13" x14ac:dyDescent="0.45">
      <c r="A1260" s="2"/>
      <c r="D1260" s="2"/>
      <c r="G1260" s="3"/>
      <c r="H1260" s="3"/>
      <c r="J1260" s="3"/>
      <c r="K1260" s="3"/>
      <c r="M1260" s="4"/>
    </row>
    <row r="1261" spans="1:13" x14ac:dyDescent="0.45">
      <c r="A1261" s="2"/>
      <c r="D1261" s="2"/>
      <c r="G1261" s="3"/>
      <c r="H1261" s="3"/>
      <c r="J1261" s="3"/>
      <c r="K1261" s="3"/>
      <c r="M1261" s="4"/>
    </row>
    <row r="1262" spans="1:13" x14ac:dyDescent="0.45">
      <c r="A1262" s="2"/>
      <c r="D1262" s="2"/>
      <c r="G1262" s="3"/>
      <c r="H1262" s="3"/>
      <c r="J1262" s="3"/>
      <c r="K1262" s="3"/>
      <c r="M1262" s="4"/>
    </row>
    <row r="1263" spans="1:13" x14ac:dyDescent="0.45">
      <c r="A1263" s="2"/>
      <c r="D1263" s="2"/>
      <c r="G1263" s="3"/>
      <c r="H1263" s="3"/>
      <c r="J1263" s="3"/>
      <c r="K1263" s="3"/>
      <c r="M1263" s="4"/>
    </row>
    <row r="1264" spans="1:13" x14ac:dyDescent="0.45">
      <c r="A1264" s="2"/>
      <c r="D1264" s="2"/>
      <c r="G1264" s="3"/>
      <c r="H1264" s="3"/>
      <c r="J1264" s="3"/>
      <c r="K1264" s="3"/>
      <c r="M1264" s="4"/>
    </row>
    <row r="1265" spans="1:13" x14ac:dyDescent="0.45">
      <c r="A1265" s="2"/>
      <c r="D1265" s="2"/>
      <c r="G1265" s="3"/>
      <c r="H1265" s="3"/>
      <c r="J1265" s="3"/>
      <c r="K1265" s="3"/>
      <c r="M1265" s="4"/>
    </row>
    <row r="1266" spans="1:13" x14ac:dyDescent="0.45">
      <c r="A1266" s="2"/>
      <c r="D1266" s="2"/>
      <c r="G1266" s="3"/>
      <c r="H1266" s="3"/>
      <c r="J1266" s="3"/>
      <c r="K1266" s="3"/>
      <c r="M1266" s="4"/>
    </row>
    <row r="1267" spans="1:13" x14ac:dyDescent="0.45">
      <c r="A1267" s="2"/>
      <c r="D1267" s="2"/>
      <c r="G1267" s="3"/>
      <c r="H1267" s="3"/>
      <c r="J1267" s="3"/>
      <c r="K1267" s="3"/>
      <c r="M1267" s="4"/>
    </row>
    <row r="1268" spans="1:13" x14ac:dyDescent="0.45">
      <c r="A1268" s="2"/>
      <c r="D1268" s="2"/>
      <c r="G1268" s="3"/>
      <c r="H1268" s="3"/>
      <c r="J1268" s="3"/>
      <c r="K1268" s="3"/>
      <c r="M1268" s="4"/>
    </row>
    <row r="1269" spans="1:13" x14ac:dyDescent="0.45">
      <c r="A1269" s="2"/>
      <c r="D1269" s="2"/>
      <c r="G1269" s="3"/>
      <c r="H1269" s="3"/>
      <c r="J1269" s="3"/>
      <c r="K1269" s="3"/>
      <c r="M1269" s="4"/>
    </row>
    <row r="1270" spans="1:13" x14ac:dyDescent="0.45">
      <c r="A1270" s="2"/>
      <c r="D1270" s="2"/>
      <c r="G1270" s="3"/>
      <c r="H1270" s="3"/>
      <c r="J1270" s="3"/>
      <c r="K1270" s="3"/>
      <c r="M1270" s="4"/>
    </row>
    <row r="1271" spans="1:13" x14ac:dyDescent="0.45">
      <c r="A1271" s="2"/>
      <c r="D1271" s="2"/>
      <c r="G1271" s="3"/>
      <c r="H1271" s="3"/>
      <c r="J1271" s="3"/>
      <c r="K1271" s="3"/>
      <c r="M1271" s="4"/>
    </row>
    <row r="1272" spans="1:13" x14ac:dyDescent="0.45">
      <c r="A1272" s="2"/>
      <c r="D1272" s="2"/>
      <c r="G1272" s="3"/>
      <c r="H1272" s="3"/>
      <c r="J1272" s="3"/>
      <c r="K1272" s="3"/>
      <c r="M1272" s="4"/>
    </row>
    <row r="1273" spans="1:13" x14ac:dyDescent="0.45">
      <c r="A1273" s="2"/>
      <c r="D1273" s="2"/>
      <c r="G1273" s="3"/>
      <c r="H1273" s="3"/>
      <c r="J1273" s="3"/>
      <c r="K1273" s="3"/>
      <c r="M1273" s="4"/>
    </row>
    <row r="1274" spans="1:13" x14ac:dyDescent="0.45">
      <c r="A1274" s="2"/>
      <c r="D1274" s="2"/>
      <c r="G1274" s="3"/>
      <c r="H1274" s="3"/>
      <c r="J1274" s="3"/>
      <c r="K1274" s="3"/>
      <c r="M1274" s="4"/>
    </row>
    <row r="1275" spans="1:13" x14ac:dyDescent="0.45">
      <c r="A1275" s="2"/>
      <c r="D1275" s="2"/>
      <c r="G1275" s="3"/>
      <c r="H1275" s="3"/>
      <c r="J1275" s="3"/>
      <c r="K1275" s="3"/>
      <c r="M1275" s="4"/>
    </row>
    <row r="1276" spans="1:13" x14ac:dyDescent="0.45">
      <c r="A1276" s="2"/>
      <c r="D1276" s="2"/>
      <c r="G1276" s="3"/>
      <c r="H1276" s="3"/>
      <c r="J1276" s="3"/>
      <c r="K1276" s="3"/>
      <c r="M1276" s="4"/>
    </row>
    <row r="1277" spans="1:13" x14ac:dyDescent="0.45">
      <c r="A1277" s="2"/>
      <c r="D1277" s="2"/>
      <c r="G1277" s="3"/>
      <c r="H1277" s="3"/>
      <c r="J1277" s="3"/>
      <c r="K1277" s="3"/>
      <c r="M1277" s="4"/>
    </row>
    <row r="1278" spans="1:13" x14ac:dyDescent="0.45">
      <c r="A1278" s="2"/>
      <c r="D1278" s="2"/>
      <c r="G1278" s="3"/>
      <c r="H1278" s="3"/>
      <c r="J1278" s="3"/>
      <c r="K1278" s="3"/>
      <c r="M1278" s="4"/>
    </row>
    <row r="1279" spans="1:13" x14ac:dyDescent="0.45">
      <c r="A1279" s="2"/>
      <c r="D1279" s="2"/>
      <c r="G1279" s="3"/>
      <c r="H1279" s="3"/>
      <c r="J1279" s="3"/>
      <c r="K1279" s="3"/>
      <c r="M1279" s="4"/>
    </row>
    <row r="1280" spans="1:13" x14ac:dyDescent="0.45">
      <c r="A1280" s="2"/>
      <c r="D1280" s="2"/>
      <c r="G1280" s="3"/>
      <c r="H1280" s="3"/>
      <c r="J1280" s="3"/>
      <c r="K1280" s="3"/>
      <c r="M1280" s="4"/>
    </row>
    <row r="1281" spans="1:13" x14ac:dyDescent="0.45">
      <c r="A1281" s="2"/>
      <c r="D1281" s="2"/>
      <c r="G1281" s="3"/>
      <c r="H1281" s="3"/>
      <c r="J1281" s="3"/>
      <c r="K1281" s="3"/>
      <c r="M1281" s="4"/>
    </row>
    <row r="1282" spans="1:13" x14ac:dyDescent="0.45">
      <c r="A1282" s="2"/>
      <c r="D1282" s="2"/>
      <c r="G1282" s="3"/>
      <c r="H1282" s="3"/>
      <c r="J1282" s="3"/>
      <c r="K1282" s="3"/>
      <c r="M1282" s="4"/>
    </row>
    <row r="1283" spans="1:13" x14ac:dyDescent="0.45">
      <c r="A1283" s="2"/>
      <c r="D1283" s="2"/>
      <c r="G1283" s="3"/>
      <c r="H1283" s="3"/>
      <c r="J1283" s="3"/>
      <c r="K1283" s="3"/>
      <c r="M1283" s="4"/>
    </row>
    <row r="1284" spans="1:13" x14ac:dyDescent="0.45">
      <c r="A1284" s="2"/>
      <c r="D1284" s="2"/>
      <c r="G1284" s="3"/>
      <c r="H1284" s="3"/>
      <c r="J1284" s="3"/>
      <c r="K1284" s="3"/>
      <c r="M1284" s="4"/>
    </row>
    <row r="1285" spans="1:13" x14ac:dyDescent="0.45">
      <c r="A1285" s="2"/>
      <c r="D1285" s="2"/>
      <c r="G1285" s="3"/>
      <c r="H1285" s="3"/>
      <c r="J1285" s="3"/>
      <c r="K1285" s="3"/>
      <c r="M1285" s="4"/>
    </row>
    <row r="1286" spans="1:13" x14ac:dyDescent="0.45">
      <c r="A1286" s="2"/>
      <c r="D1286" s="2"/>
      <c r="G1286" s="3"/>
      <c r="H1286" s="3"/>
      <c r="J1286" s="3"/>
      <c r="K1286" s="3"/>
      <c r="M1286" s="4"/>
    </row>
    <row r="1287" spans="1:13" x14ac:dyDescent="0.45">
      <c r="A1287" s="2"/>
      <c r="D1287" s="2"/>
      <c r="G1287" s="3"/>
      <c r="H1287" s="3"/>
      <c r="J1287" s="3"/>
      <c r="K1287" s="3"/>
      <c r="M1287" s="4"/>
    </row>
    <row r="1288" spans="1:13" x14ac:dyDescent="0.45">
      <c r="A1288" s="2"/>
      <c r="D1288" s="2"/>
      <c r="G1288" s="3"/>
      <c r="H1288" s="3"/>
      <c r="J1288" s="3"/>
      <c r="K1288" s="3"/>
      <c r="M1288" s="4"/>
    </row>
    <row r="1289" spans="1:13" x14ac:dyDescent="0.45">
      <c r="A1289" s="2"/>
      <c r="D1289" s="2"/>
      <c r="G1289" s="3"/>
      <c r="H1289" s="3"/>
      <c r="J1289" s="3"/>
      <c r="K1289" s="3"/>
      <c r="M1289" s="4"/>
    </row>
    <row r="1290" spans="1:13" x14ac:dyDescent="0.45">
      <c r="A1290" s="2"/>
      <c r="D1290" s="2"/>
      <c r="G1290" s="3"/>
      <c r="H1290" s="3"/>
      <c r="J1290" s="3"/>
      <c r="K1290" s="3"/>
      <c r="M1290" s="4"/>
    </row>
    <row r="1291" spans="1:13" x14ac:dyDescent="0.45">
      <c r="A1291" s="2"/>
      <c r="D1291" s="2"/>
      <c r="G1291" s="3"/>
      <c r="H1291" s="3"/>
      <c r="J1291" s="3"/>
      <c r="K1291" s="3"/>
      <c r="M1291" s="4"/>
    </row>
    <row r="1292" spans="1:13" x14ac:dyDescent="0.45">
      <c r="A1292" s="2"/>
      <c r="D1292" s="2"/>
      <c r="G1292" s="3"/>
      <c r="H1292" s="3"/>
      <c r="J1292" s="3"/>
      <c r="K1292" s="3"/>
      <c r="M1292" s="4"/>
    </row>
    <row r="1293" spans="1:13" x14ac:dyDescent="0.45">
      <c r="A1293" s="2"/>
      <c r="D1293" s="2"/>
      <c r="G1293" s="3"/>
      <c r="H1293" s="3"/>
      <c r="J1293" s="3"/>
      <c r="K1293" s="3"/>
      <c r="M1293" s="4"/>
    </row>
    <row r="1294" spans="1:13" x14ac:dyDescent="0.45">
      <c r="A1294" s="2"/>
      <c r="D1294" s="2"/>
      <c r="G1294" s="3"/>
      <c r="H1294" s="3"/>
      <c r="J1294" s="3"/>
      <c r="K1294" s="3"/>
      <c r="M1294" s="4"/>
    </row>
    <row r="1295" spans="1:13" x14ac:dyDescent="0.45">
      <c r="A1295" s="2"/>
      <c r="D1295" s="2"/>
      <c r="G1295" s="3"/>
      <c r="H1295" s="3"/>
      <c r="J1295" s="3"/>
      <c r="K1295" s="3"/>
      <c r="M1295" s="4"/>
    </row>
    <row r="1296" spans="1:13" x14ac:dyDescent="0.45">
      <c r="A1296" s="2"/>
      <c r="D1296" s="2"/>
      <c r="G1296" s="3"/>
      <c r="H1296" s="3"/>
      <c r="J1296" s="3"/>
      <c r="K1296" s="3"/>
      <c r="M1296" s="4"/>
    </row>
    <row r="1297" spans="1:13" x14ac:dyDescent="0.45">
      <c r="A1297" s="2"/>
      <c r="D1297" s="2"/>
      <c r="G1297" s="3"/>
      <c r="H1297" s="3"/>
      <c r="J1297" s="3"/>
      <c r="K1297" s="3"/>
      <c r="M1297" s="4"/>
    </row>
    <row r="1298" spans="1:13" x14ac:dyDescent="0.45">
      <c r="A1298" s="2"/>
      <c r="D1298" s="2"/>
      <c r="G1298" s="3"/>
      <c r="H1298" s="3"/>
      <c r="J1298" s="3"/>
      <c r="K1298" s="3"/>
      <c r="M1298" s="4"/>
    </row>
    <row r="1299" spans="1:13" x14ac:dyDescent="0.45">
      <c r="A1299" s="2"/>
      <c r="D1299" s="2"/>
      <c r="G1299" s="3"/>
      <c r="H1299" s="3"/>
      <c r="J1299" s="3"/>
      <c r="K1299" s="3"/>
      <c r="M1299" s="4"/>
    </row>
    <row r="1300" spans="1:13" x14ac:dyDescent="0.45">
      <c r="A1300" s="2"/>
      <c r="D1300" s="2"/>
      <c r="G1300" s="3"/>
      <c r="H1300" s="3"/>
      <c r="J1300" s="3"/>
      <c r="K1300" s="3"/>
      <c r="M1300" s="4"/>
    </row>
    <row r="1301" spans="1:13" x14ac:dyDescent="0.45">
      <c r="A1301" s="2"/>
      <c r="D1301" s="2"/>
      <c r="G1301" s="3"/>
      <c r="H1301" s="3"/>
      <c r="J1301" s="3"/>
      <c r="K1301" s="3"/>
      <c r="M1301" s="4"/>
    </row>
    <row r="1302" spans="1:13" x14ac:dyDescent="0.45">
      <c r="A1302" s="2"/>
      <c r="D1302" s="2"/>
      <c r="G1302" s="3"/>
      <c r="H1302" s="3"/>
      <c r="J1302" s="3"/>
      <c r="K1302" s="3"/>
      <c r="M1302" s="4"/>
    </row>
    <row r="1303" spans="1:13" x14ac:dyDescent="0.45">
      <c r="A1303" s="2"/>
      <c r="D1303" s="2"/>
      <c r="G1303" s="3"/>
      <c r="H1303" s="3"/>
      <c r="J1303" s="3"/>
      <c r="K1303" s="3"/>
      <c r="M1303" s="4"/>
    </row>
    <row r="1304" spans="1:13" x14ac:dyDescent="0.45">
      <c r="A1304" s="2"/>
      <c r="D1304" s="2"/>
      <c r="G1304" s="3"/>
      <c r="H1304" s="3"/>
      <c r="J1304" s="3"/>
      <c r="K1304" s="3"/>
      <c r="M1304" s="4"/>
    </row>
    <row r="1305" spans="1:13" x14ac:dyDescent="0.45">
      <c r="A1305" s="2"/>
      <c r="D1305" s="2"/>
      <c r="G1305" s="3"/>
      <c r="H1305" s="3"/>
      <c r="J1305" s="3"/>
      <c r="K1305" s="3"/>
      <c r="M1305" s="4"/>
    </row>
    <row r="1306" spans="1:13" x14ac:dyDescent="0.45">
      <c r="A1306" s="2"/>
      <c r="D1306" s="2"/>
      <c r="G1306" s="3"/>
      <c r="H1306" s="3"/>
      <c r="J1306" s="3"/>
      <c r="K1306" s="3"/>
      <c r="M1306" s="4"/>
    </row>
    <row r="1307" spans="1:13" x14ac:dyDescent="0.45">
      <c r="A1307" s="2"/>
      <c r="D1307" s="2"/>
      <c r="G1307" s="3"/>
      <c r="H1307" s="3"/>
      <c r="J1307" s="3"/>
      <c r="K1307" s="3"/>
      <c r="M1307" s="4"/>
    </row>
    <row r="1308" spans="1:13" x14ac:dyDescent="0.45">
      <c r="A1308" s="2"/>
      <c r="D1308" s="2"/>
      <c r="G1308" s="3"/>
      <c r="H1308" s="3"/>
      <c r="J1308" s="3"/>
      <c r="K1308" s="3"/>
      <c r="M1308" s="4"/>
    </row>
    <row r="1309" spans="1:13" x14ac:dyDescent="0.45">
      <c r="A1309" s="2"/>
      <c r="D1309" s="2"/>
      <c r="G1309" s="3"/>
      <c r="H1309" s="3"/>
      <c r="J1309" s="3"/>
      <c r="K1309" s="3"/>
      <c r="M1309" s="4"/>
    </row>
    <row r="1310" spans="1:13" x14ac:dyDescent="0.45">
      <c r="A1310" s="2"/>
      <c r="D1310" s="2"/>
      <c r="G1310" s="3"/>
      <c r="H1310" s="3"/>
      <c r="J1310" s="3"/>
      <c r="K1310" s="3"/>
      <c r="M1310" s="4"/>
    </row>
    <row r="1311" spans="1:13" x14ac:dyDescent="0.45">
      <c r="A1311" s="2"/>
      <c r="D1311" s="2"/>
      <c r="G1311" s="3"/>
      <c r="H1311" s="3"/>
      <c r="J1311" s="3"/>
      <c r="K1311" s="3"/>
      <c r="M1311" s="4"/>
    </row>
    <row r="1312" spans="1:13" x14ac:dyDescent="0.45">
      <c r="A1312" s="2"/>
      <c r="D1312" s="2"/>
      <c r="G1312" s="3"/>
      <c r="H1312" s="3"/>
      <c r="J1312" s="3"/>
      <c r="K1312" s="3"/>
      <c r="M1312" s="4"/>
    </row>
    <row r="1313" spans="1:13" x14ac:dyDescent="0.45">
      <c r="A1313" s="2"/>
      <c r="D1313" s="2"/>
      <c r="G1313" s="3"/>
      <c r="H1313" s="3"/>
      <c r="J1313" s="3"/>
      <c r="K1313" s="3"/>
      <c r="M1313" s="4"/>
    </row>
    <row r="1314" spans="1:13" x14ac:dyDescent="0.45">
      <c r="A1314" s="2"/>
      <c r="D1314" s="2"/>
      <c r="G1314" s="3"/>
      <c r="H1314" s="3"/>
      <c r="J1314" s="3"/>
      <c r="K1314" s="3"/>
      <c r="M1314" s="4"/>
    </row>
    <row r="1315" spans="1:13" x14ac:dyDescent="0.45">
      <c r="A1315" s="2"/>
      <c r="D1315" s="2"/>
      <c r="G1315" s="3"/>
      <c r="H1315" s="3"/>
      <c r="J1315" s="3"/>
      <c r="K1315" s="3"/>
      <c r="M1315" s="4"/>
    </row>
    <row r="1316" spans="1:13" x14ac:dyDescent="0.45">
      <c r="A1316" s="2"/>
      <c r="D1316" s="2"/>
      <c r="G1316" s="3"/>
      <c r="H1316" s="3"/>
      <c r="J1316" s="3"/>
      <c r="K1316" s="3"/>
      <c r="M1316" s="4"/>
    </row>
    <row r="1317" spans="1:13" x14ac:dyDescent="0.45">
      <c r="A1317" s="2"/>
      <c r="D1317" s="2"/>
      <c r="G1317" s="3"/>
      <c r="H1317" s="3"/>
      <c r="J1317" s="3"/>
      <c r="K1317" s="3"/>
      <c r="M1317" s="4"/>
    </row>
    <row r="1318" spans="1:13" x14ac:dyDescent="0.45">
      <c r="A1318" s="2"/>
      <c r="D1318" s="2"/>
      <c r="G1318" s="3"/>
      <c r="H1318" s="3"/>
      <c r="J1318" s="3"/>
      <c r="K1318" s="3"/>
      <c r="M1318" s="4"/>
    </row>
    <row r="1319" spans="1:13" x14ac:dyDescent="0.45">
      <c r="A1319" s="2"/>
      <c r="D1319" s="2"/>
      <c r="G1319" s="3"/>
      <c r="H1319" s="3"/>
      <c r="J1319" s="3"/>
      <c r="K1319" s="3"/>
      <c r="M1319" s="4"/>
    </row>
    <row r="1320" spans="1:13" x14ac:dyDescent="0.45">
      <c r="A1320" s="2"/>
      <c r="D1320" s="2"/>
      <c r="G1320" s="3"/>
      <c r="H1320" s="3"/>
      <c r="J1320" s="3"/>
      <c r="K1320" s="3"/>
      <c r="M1320" s="4"/>
    </row>
    <row r="1321" spans="1:13" x14ac:dyDescent="0.45">
      <c r="A1321" s="2"/>
      <c r="D1321" s="2"/>
      <c r="G1321" s="3"/>
      <c r="H1321" s="3"/>
      <c r="J1321" s="3"/>
      <c r="K1321" s="3"/>
      <c r="M1321" s="4"/>
    </row>
    <row r="1322" spans="1:13" x14ac:dyDescent="0.45">
      <c r="A1322" s="2"/>
      <c r="D1322" s="2"/>
      <c r="G1322" s="3"/>
      <c r="H1322" s="3"/>
      <c r="J1322" s="3"/>
      <c r="K1322" s="3"/>
      <c r="M1322" s="4"/>
    </row>
    <row r="1323" spans="1:13" x14ac:dyDescent="0.45">
      <c r="A1323" s="2"/>
      <c r="D1323" s="2"/>
      <c r="G1323" s="3"/>
      <c r="H1323" s="3"/>
      <c r="J1323" s="3"/>
      <c r="K1323" s="3"/>
      <c r="M1323" s="4"/>
    </row>
    <row r="1324" spans="1:13" x14ac:dyDescent="0.45">
      <c r="A1324" s="2"/>
      <c r="D1324" s="2"/>
      <c r="G1324" s="3"/>
      <c r="H1324" s="3"/>
      <c r="J1324" s="3"/>
      <c r="K1324" s="3"/>
      <c r="M1324" s="4"/>
    </row>
    <row r="1325" spans="1:13" x14ac:dyDescent="0.45">
      <c r="A1325" s="2"/>
      <c r="D1325" s="2"/>
      <c r="G1325" s="3"/>
      <c r="H1325" s="3"/>
      <c r="J1325" s="3"/>
      <c r="K1325" s="3"/>
      <c r="M1325" s="4"/>
    </row>
    <row r="1326" spans="1:13" x14ac:dyDescent="0.45">
      <c r="A1326" s="2"/>
      <c r="D1326" s="2"/>
      <c r="G1326" s="3"/>
      <c r="H1326" s="3"/>
      <c r="J1326" s="3"/>
      <c r="K1326" s="3"/>
      <c r="M1326" s="4"/>
    </row>
    <row r="1327" spans="1:13" x14ac:dyDescent="0.45">
      <c r="A1327" s="2"/>
      <c r="D1327" s="2"/>
      <c r="G1327" s="3"/>
      <c r="H1327" s="3"/>
      <c r="J1327" s="3"/>
      <c r="K1327" s="3"/>
      <c r="M1327" s="4"/>
    </row>
    <row r="1328" spans="1:13" x14ac:dyDescent="0.45">
      <c r="A1328" s="2"/>
      <c r="D1328" s="2"/>
      <c r="G1328" s="3"/>
      <c r="H1328" s="3"/>
      <c r="J1328" s="3"/>
      <c r="K1328" s="3"/>
      <c r="M1328" s="4"/>
    </row>
    <row r="1329" spans="1:13" x14ac:dyDescent="0.45">
      <c r="A1329" s="2"/>
      <c r="D1329" s="2"/>
      <c r="G1329" s="3"/>
      <c r="H1329" s="3"/>
      <c r="J1329" s="3"/>
      <c r="K1329" s="3"/>
      <c r="M1329" s="4"/>
    </row>
    <row r="1330" spans="1:13" x14ac:dyDescent="0.45">
      <c r="A1330" s="2"/>
      <c r="D1330" s="2"/>
      <c r="G1330" s="3"/>
      <c r="H1330" s="3"/>
      <c r="J1330" s="3"/>
      <c r="K1330" s="3"/>
      <c r="M1330" s="4"/>
    </row>
    <row r="1331" spans="1:13" x14ac:dyDescent="0.45">
      <c r="A1331" s="2"/>
      <c r="D1331" s="2"/>
      <c r="G1331" s="3"/>
      <c r="H1331" s="3"/>
      <c r="J1331" s="3"/>
      <c r="K1331" s="3"/>
      <c r="M1331" s="4"/>
    </row>
    <row r="1332" spans="1:13" x14ac:dyDescent="0.45">
      <c r="A1332" s="2"/>
      <c r="D1332" s="2"/>
      <c r="G1332" s="3"/>
      <c r="H1332" s="3"/>
      <c r="J1332" s="3"/>
      <c r="K1332" s="3"/>
      <c r="M1332" s="4"/>
    </row>
    <row r="1333" spans="1:13" x14ac:dyDescent="0.45">
      <c r="A1333" s="2"/>
      <c r="D1333" s="2"/>
      <c r="G1333" s="3"/>
      <c r="H1333" s="3"/>
      <c r="J1333" s="3"/>
      <c r="K1333" s="3"/>
      <c r="M1333" s="4"/>
    </row>
    <row r="1334" spans="1:13" x14ac:dyDescent="0.45">
      <c r="A1334" s="2"/>
      <c r="D1334" s="2"/>
      <c r="G1334" s="3"/>
      <c r="H1334" s="3"/>
      <c r="J1334" s="3"/>
      <c r="K1334" s="3"/>
      <c r="M1334" s="4"/>
    </row>
    <row r="1335" spans="1:13" x14ac:dyDescent="0.45">
      <c r="A1335" s="2"/>
      <c r="D1335" s="2"/>
      <c r="G1335" s="3"/>
      <c r="H1335" s="3"/>
      <c r="J1335" s="3"/>
      <c r="K1335" s="3"/>
      <c r="M1335" s="4"/>
    </row>
    <row r="1336" spans="1:13" x14ac:dyDescent="0.45">
      <c r="A1336" s="2"/>
      <c r="D1336" s="2"/>
      <c r="G1336" s="3"/>
      <c r="H1336" s="3"/>
      <c r="J1336" s="3"/>
      <c r="K1336" s="3"/>
      <c r="M1336" s="4"/>
    </row>
    <row r="1337" spans="1:13" x14ac:dyDescent="0.45">
      <c r="A1337" s="2"/>
      <c r="D1337" s="2"/>
      <c r="G1337" s="3"/>
      <c r="H1337" s="3"/>
      <c r="J1337" s="3"/>
      <c r="K1337" s="3"/>
      <c r="M1337" s="4"/>
    </row>
    <row r="1338" spans="1:13" x14ac:dyDescent="0.45">
      <c r="A1338" s="2"/>
      <c r="D1338" s="2"/>
      <c r="G1338" s="3"/>
      <c r="H1338" s="3"/>
      <c r="J1338" s="3"/>
      <c r="K1338" s="3"/>
      <c r="M1338" s="4"/>
    </row>
    <row r="1339" spans="1:13" x14ac:dyDescent="0.45">
      <c r="A1339" s="2"/>
      <c r="D1339" s="2"/>
      <c r="G1339" s="3"/>
      <c r="H1339" s="3"/>
      <c r="J1339" s="3"/>
      <c r="K1339" s="3"/>
      <c r="M1339" s="4"/>
    </row>
    <row r="1340" spans="1:13" x14ac:dyDescent="0.45">
      <c r="A1340" s="2"/>
      <c r="D1340" s="2"/>
      <c r="G1340" s="3"/>
      <c r="H1340" s="3"/>
      <c r="J1340" s="3"/>
      <c r="K1340" s="3"/>
      <c r="M1340" s="4"/>
    </row>
    <row r="1341" spans="1:13" x14ac:dyDescent="0.45">
      <c r="A1341" s="2"/>
      <c r="D1341" s="2"/>
      <c r="G1341" s="3"/>
      <c r="H1341" s="3"/>
      <c r="J1341" s="3"/>
      <c r="K1341" s="3"/>
      <c r="M1341" s="4"/>
    </row>
    <row r="1342" spans="1:13" x14ac:dyDescent="0.45">
      <c r="A1342" s="2"/>
      <c r="D1342" s="2"/>
      <c r="G1342" s="3"/>
      <c r="H1342" s="3"/>
      <c r="J1342" s="3"/>
      <c r="K1342" s="3"/>
      <c r="M1342" s="4"/>
    </row>
    <row r="1343" spans="1:13" x14ac:dyDescent="0.45">
      <c r="A1343" s="2"/>
      <c r="D1343" s="2"/>
      <c r="G1343" s="3"/>
      <c r="H1343" s="3"/>
      <c r="J1343" s="3"/>
      <c r="K1343" s="3"/>
      <c r="M1343" s="4"/>
    </row>
    <row r="1344" spans="1:13" x14ac:dyDescent="0.45">
      <c r="A1344" s="2"/>
      <c r="D1344" s="2"/>
      <c r="G1344" s="3"/>
      <c r="H1344" s="3"/>
      <c r="J1344" s="3"/>
      <c r="K1344" s="3"/>
      <c r="M1344" s="4"/>
    </row>
    <row r="1345" spans="1:13" x14ac:dyDescent="0.45">
      <c r="A1345" s="2"/>
      <c r="D1345" s="2"/>
      <c r="G1345" s="3"/>
      <c r="H1345" s="3"/>
      <c r="J1345" s="3"/>
      <c r="K1345" s="3"/>
      <c r="M1345" s="4"/>
    </row>
    <row r="1346" spans="1:13" x14ac:dyDescent="0.45">
      <c r="A1346" s="2"/>
      <c r="D1346" s="2"/>
      <c r="G1346" s="3"/>
      <c r="H1346" s="3"/>
      <c r="J1346" s="3"/>
      <c r="K1346" s="3"/>
      <c r="M1346" s="4"/>
    </row>
    <row r="1347" spans="1:13" x14ac:dyDescent="0.45">
      <c r="A1347" s="2"/>
      <c r="D1347" s="2"/>
      <c r="G1347" s="3"/>
      <c r="H1347" s="3"/>
      <c r="J1347" s="3"/>
      <c r="K1347" s="3"/>
      <c r="M1347" s="4"/>
    </row>
    <row r="1348" spans="1:13" x14ac:dyDescent="0.45">
      <c r="A1348" s="2"/>
      <c r="D1348" s="2"/>
      <c r="G1348" s="3"/>
      <c r="H1348" s="3"/>
      <c r="J1348" s="3"/>
      <c r="K1348" s="3"/>
      <c r="M1348" s="4"/>
    </row>
    <row r="1349" spans="1:13" x14ac:dyDescent="0.45">
      <c r="A1349" s="2"/>
      <c r="D1349" s="2"/>
      <c r="G1349" s="3"/>
      <c r="H1349" s="3"/>
      <c r="J1349" s="3"/>
      <c r="K1349" s="3"/>
      <c r="M1349" s="4"/>
    </row>
    <row r="1350" spans="1:13" x14ac:dyDescent="0.45">
      <c r="A1350" s="2"/>
      <c r="D1350" s="2"/>
      <c r="G1350" s="3"/>
      <c r="H1350" s="3"/>
      <c r="J1350" s="3"/>
      <c r="K1350" s="3"/>
      <c r="M1350" s="4"/>
    </row>
    <row r="1351" spans="1:13" x14ac:dyDescent="0.45">
      <c r="A1351" s="2"/>
      <c r="D1351" s="2"/>
      <c r="G1351" s="3"/>
      <c r="H1351" s="3"/>
      <c r="J1351" s="3"/>
      <c r="K1351" s="3"/>
      <c r="M1351" s="4"/>
    </row>
    <row r="1352" spans="1:13" x14ac:dyDescent="0.45">
      <c r="A1352" s="2"/>
      <c r="D1352" s="2"/>
      <c r="G1352" s="3"/>
      <c r="H1352" s="3"/>
      <c r="J1352" s="3"/>
      <c r="K1352" s="3"/>
      <c r="M1352" s="4"/>
    </row>
    <row r="1353" spans="1:13" x14ac:dyDescent="0.45">
      <c r="A1353" s="2"/>
      <c r="D1353" s="2"/>
      <c r="G1353" s="3"/>
      <c r="H1353" s="3"/>
      <c r="J1353" s="3"/>
      <c r="K1353" s="3"/>
      <c r="M1353" s="4"/>
    </row>
    <row r="1354" spans="1:13" x14ac:dyDescent="0.45">
      <c r="A1354" s="2"/>
      <c r="D1354" s="2"/>
      <c r="G1354" s="3"/>
      <c r="H1354" s="3"/>
      <c r="J1354" s="3"/>
      <c r="K1354" s="3"/>
      <c r="M1354" s="4"/>
    </row>
    <row r="1355" spans="1:13" x14ac:dyDescent="0.45">
      <c r="A1355" s="2"/>
      <c r="D1355" s="2"/>
      <c r="G1355" s="3"/>
      <c r="H1355" s="3"/>
      <c r="J1355" s="3"/>
      <c r="K1355" s="3"/>
      <c r="M1355" s="4"/>
    </row>
    <row r="1356" spans="1:13" x14ac:dyDescent="0.45">
      <c r="A1356" s="2"/>
      <c r="D1356" s="2"/>
      <c r="G1356" s="3"/>
      <c r="H1356" s="3"/>
      <c r="J1356" s="3"/>
      <c r="K1356" s="3"/>
      <c r="M1356" s="4"/>
    </row>
    <row r="1357" spans="1:13" x14ac:dyDescent="0.45">
      <c r="A1357" s="2"/>
      <c r="D1357" s="2"/>
      <c r="G1357" s="3"/>
      <c r="H1357" s="3"/>
      <c r="J1357" s="3"/>
      <c r="K1357" s="3"/>
      <c r="M1357" s="4"/>
    </row>
    <row r="1358" spans="1:13" x14ac:dyDescent="0.45">
      <c r="A1358" s="2"/>
      <c r="D1358" s="2"/>
      <c r="G1358" s="3"/>
      <c r="H1358" s="3"/>
      <c r="J1358" s="3"/>
      <c r="K1358" s="3"/>
      <c r="M1358" s="4"/>
    </row>
    <row r="1359" spans="1:13" x14ac:dyDescent="0.45">
      <c r="A1359" s="2"/>
      <c r="D1359" s="2"/>
      <c r="G1359" s="3"/>
      <c r="H1359" s="3"/>
      <c r="J1359" s="3"/>
      <c r="K1359" s="3"/>
      <c r="M1359" s="4"/>
    </row>
    <row r="1360" spans="1:13" x14ac:dyDescent="0.45">
      <c r="A1360" s="2"/>
      <c r="D1360" s="2"/>
      <c r="G1360" s="3"/>
      <c r="H1360" s="3"/>
      <c r="J1360" s="3"/>
      <c r="K1360" s="3"/>
      <c r="M1360" s="4"/>
    </row>
    <row r="1361" spans="1:13" x14ac:dyDescent="0.45">
      <c r="A1361" s="2"/>
      <c r="D1361" s="2"/>
      <c r="G1361" s="3"/>
      <c r="H1361" s="3"/>
      <c r="J1361" s="3"/>
      <c r="K1361" s="3"/>
      <c r="M1361" s="4"/>
    </row>
    <row r="1362" spans="1:13" x14ac:dyDescent="0.45">
      <c r="A1362" s="2"/>
      <c r="D1362" s="2"/>
      <c r="G1362" s="3"/>
      <c r="H1362" s="3"/>
      <c r="J1362" s="3"/>
      <c r="K1362" s="3"/>
      <c r="M1362" s="4"/>
    </row>
    <row r="1363" spans="1:13" x14ac:dyDescent="0.45">
      <c r="A1363" s="2"/>
      <c r="D1363" s="2"/>
      <c r="G1363" s="3"/>
      <c r="H1363" s="3"/>
      <c r="J1363" s="3"/>
      <c r="K1363" s="3"/>
      <c r="M1363" s="4"/>
    </row>
    <row r="1364" spans="1:13" x14ac:dyDescent="0.45">
      <c r="A1364" s="2"/>
      <c r="D1364" s="2"/>
      <c r="G1364" s="3"/>
      <c r="H1364" s="3"/>
      <c r="J1364" s="3"/>
      <c r="K1364" s="3"/>
      <c r="M1364" s="4"/>
    </row>
    <row r="1365" spans="1:13" x14ac:dyDescent="0.45">
      <c r="A1365" s="2"/>
      <c r="D1365" s="2"/>
      <c r="G1365" s="3"/>
      <c r="H1365" s="3"/>
      <c r="J1365" s="3"/>
      <c r="K1365" s="3"/>
      <c r="M1365" s="4"/>
    </row>
    <row r="1366" spans="1:13" x14ac:dyDescent="0.45">
      <c r="A1366" s="2"/>
      <c r="D1366" s="2"/>
      <c r="G1366" s="3"/>
      <c r="H1366" s="3"/>
      <c r="J1366" s="3"/>
      <c r="K1366" s="3"/>
      <c r="M1366" s="4"/>
    </row>
    <row r="1367" spans="1:13" x14ac:dyDescent="0.45">
      <c r="A1367" s="2"/>
      <c r="D1367" s="2"/>
      <c r="G1367" s="3"/>
      <c r="H1367" s="3"/>
      <c r="J1367" s="3"/>
      <c r="K1367" s="3"/>
      <c r="M1367" s="4"/>
    </row>
    <row r="1368" spans="1:13" x14ac:dyDescent="0.45">
      <c r="A1368" s="2"/>
      <c r="D1368" s="2"/>
      <c r="G1368" s="3"/>
      <c r="H1368" s="3"/>
      <c r="J1368" s="3"/>
      <c r="K1368" s="3"/>
      <c r="M1368" s="4"/>
    </row>
    <row r="1369" spans="1:13" x14ac:dyDescent="0.45">
      <c r="A1369" s="2"/>
      <c r="D1369" s="2"/>
      <c r="G1369" s="3"/>
      <c r="H1369" s="3"/>
      <c r="J1369" s="3"/>
      <c r="K1369" s="3"/>
      <c r="M1369" s="4"/>
    </row>
    <row r="1370" spans="1:13" x14ac:dyDescent="0.45">
      <c r="A1370" s="2"/>
      <c r="D1370" s="2"/>
      <c r="G1370" s="3"/>
      <c r="H1370" s="3"/>
      <c r="J1370" s="3"/>
      <c r="K1370" s="3"/>
      <c r="M1370" s="4"/>
    </row>
    <row r="1371" spans="1:13" x14ac:dyDescent="0.45">
      <c r="A1371" s="2"/>
      <c r="D1371" s="2"/>
      <c r="G1371" s="3"/>
      <c r="H1371" s="3"/>
      <c r="J1371" s="3"/>
      <c r="K1371" s="3"/>
      <c r="M1371" s="4"/>
    </row>
    <row r="1372" spans="1:13" x14ac:dyDescent="0.45">
      <c r="A1372" s="2"/>
      <c r="D1372" s="2"/>
      <c r="G1372" s="3"/>
      <c r="H1372" s="3"/>
      <c r="J1372" s="3"/>
      <c r="K1372" s="3"/>
      <c r="M1372" s="4"/>
    </row>
    <row r="1373" spans="1:13" x14ac:dyDescent="0.45">
      <c r="A1373" s="2"/>
      <c r="D1373" s="2"/>
      <c r="G1373" s="3"/>
      <c r="H1373" s="3"/>
      <c r="J1373" s="3"/>
      <c r="K1373" s="3"/>
      <c r="M1373" s="4"/>
    </row>
    <row r="1374" spans="1:13" x14ac:dyDescent="0.45">
      <c r="A1374" s="2"/>
      <c r="D1374" s="2"/>
      <c r="G1374" s="3"/>
      <c r="H1374" s="3"/>
      <c r="J1374" s="3"/>
      <c r="K1374" s="3"/>
      <c r="M1374" s="4"/>
    </row>
    <row r="1375" spans="1:13" x14ac:dyDescent="0.45">
      <c r="A1375" s="2"/>
      <c r="D1375" s="2"/>
      <c r="G1375" s="3"/>
      <c r="H1375" s="3"/>
      <c r="J1375" s="3"/>
      <c r="K1375" s="3"/>
      <c r="M1375" s="4"/>
    </row>
    <row r="1376" spans="1:13" x14ac:dyDescent="0.45">
      <c r="A1376" s="2"/>
      <c r="D1376" s="2"/>
      <c r="G1376" s="3"/>
      <c r="H1376" s="3"/>
      <c r="J1376" s="3"/>
      <c r="K1376" s="3"/>
      <c r="M1376" s="4"/>
    </row>
    <row r="1377" spans="1:13" x14ac:dyDescent="0.45">
      <c r="A1377" s="2"/>
      <c r="D1377" s="2"/>
      <c r="G1377" s="3"/>
      <c r="H1377" s="3"/>
      <c r="J1377" s="3"/>
      <c r="K1377" s="3"/>
      <c r="M1377" s="4"/>
    </row>
    <row r="1378" spans="1:13" x14ac:dyDescent="0.45">
      <c r="A1378" s="2"/>
      <c r="D1378" s="2"/>
      <c r="G1378" s="3"/>
      <c r="H1378" s="3"/>
      <c r="J1378" s="3"/>
      <c r="K1378" s="3"/>
      <c r="M1378" s="4"/>
    </row>
    <row r="1379" spans="1:13" x14ac:dyDescent="0.45">
      <c r="A1379" s="2"/>
      <c r="D1379" s="2"/>
      <c r="G1379" s="3"/>
      <c r="H1379" s="3"/>
      <c r="J1379" s="3"/>
      <c r="K1379" s="3"/>
      <c r="M1379" s="4"/>
    </row>
    <row r="1380" spans="1:13" x14ac:dyDescent="0.45">
      <c r="A1380" s="2"/>
      <c r="D1380" s="2"/>
      <c r="G1380" s="3"/>
      <c r="H1380" s="3"/>
      <c r="J1380" s="3"/>
      <c r="K1380" s="3"/>
      <c r="M1380" s="4"/>
    </row>
    <row r="1381" spans="1:13" x14ac:dyDescent="0.45">
      <c r="A1381" s="2"/>
      <c r="D1381" s="2"/>
      <c r="G1381" s="3"/>
      <c r="H1381" s="3"/>
      <c r="J1381" s="3"/>
      <c r="K1381" s="3"/>
      <c r="M1381" s="4"/>
    </row>
    <row r="1382" spans="1:13" x14ac:dyDescent="0.45">
      <c r="A1382" s="2"/>
      <c r="D1382" s="2"/>
      <c r="G1382" s="3"/>
      <c r="H1382" s="3"/>
      <c r="J1382" s="3"/>
      <c r="K1382" s="3"/>
      <c r="M1382" s="4"/>
    </row>
    <row r="1383" spans="1:13" x14ac:dyDescent="0.45">
      <c r="A1383" s="2"/>
      <c r="D1383" s="2"/>
      <c r="G1383" s="3"/>
      <c r="H1383" s="3"/>
      <c r="J1383" s="3"/>
      <c r="K1383" s="3"/>
      <c r="M1383" s="4"/>
    </row>
    <row r="1384" spans="1:13" x14ac:dyDescent="0.45">
      <c r="A1384" s="2"/>
      <c r="D1384" s="2"/>
      <c r="G1384" s="3"/>
      <c r="H1384" s="3"/>
      <c r="J1384" s="3"/>
      <c r="K1384" s="3"/>
      <c r="M1384" s="4"/>
    </row>
    <row r="1385" spans="1:13" x14ac:dyDescent="0.45">
      <c r="A1385" s="2"/>
      <c r="D1385" s="2"/>
      <c r="G1385" s="3"/>
      <c r="H1385" s="3"/>
      <c r="J1385" s="3"/>
      <c r="K1385" s="3"/>
      <c r="M1385" s="4"/>
    </row>
    <row r="1386" spans="1:13" x14ac:dyDescent="0.45">
      <c r="A1386" s="2"/>
      <c r="D1386" s="2"/>
      <c r="G1386" s="3"/>
      <c r="H1386" s="3"/>
      <c r="J1386" s="3"/>
      <c r="K1386" s="3"/>
      <c r="M1386" s="4"/>
    </row>
    <row r="1387" spans="1:13" x14ac:dyDescent="0.45">
      <c r="A1387" s="2"/>
      <c r="D1387" s="2"/>
      <c r="G1387" s="3"/>
      <c r="H1387" s="3"/>
      <c r="J1387" s="3"/>
      <c r="K1387" s="3"/>
      <c r="M1387" s="4"/>
    </row>
    <row r="1388" spans="1:13" x14ac:dyDescent="0.45">
      <c r="A1388" s="2"/>
      <c r="D1388" s="2"/>
      <c r="G1388" s="3"/>
      <c r="H1388" s="3"/>
      <c r="J1388" s="3"/>
      <c r="K1388" s="3"/>
      <c r="M1388" s="4"/>
    </row>
    <row r="1389" spans="1:13" x14ac:dyDescent="0.45">
      <c r="A1389" s="2"/>
      <c r="D1389" s="2"/>
      <c r="G1389" s="3"/>
      <c r="H1389" s="3"/>
      <c r="J1389" s="3"/>
      <c r="K1389" s="3"/>
      <c r="M1389" s="4"/>
    </row>
    <row r="1390" spans="1:13" x14ac:dyDescent="0.45">
      <c r="A1390" s="2"/>
      <c r="D1390" s="2"/>
      <c r="G1390" s="3"/>
      <c r="H1390" s="3"/>
      <c r="J1390" s="3"/>
      <c r="K1390" s="3"/>
      <c r="M1390" s="4"/>
    </row>
    <row r="1391" spans="1:13" x14ac:dyDescent="0.45">
      <c r="A1391" s="2"/>
      <c r="D1391" s="2"/>
      <c r="G1391" s="3"/>
      <c r="H1391" s="3"/>
      <c r="J1391" s="3"/>
      <c r="K1391" s="3"/>
      <c r="M1391" s="4"/>
    </row>
    <row r="1392" spans="1:13" x14ac:dyDescent="0.45">
      <c r="A1392" s="2"/>
      <c r="D1392" s="2"/>
      <c r="G1392" s="3"/>
      <c r="H1392" s="3"/>
      <c r="J1392" s="3"/>
      <c r="K1392" s="3"/>
      <c r="M1392" s="4"/>
    </row>
    <row r="1393" spans="1:13" x14ac:dyDescent="0.45">
      <c r="A1393" s="2"/>
      <c r="D1393" s="2"/>
      <c r="G1393" s="3"/>
      <c r="H1393" s="3"/>
      <c r="J1393" s="3"/>
      <c r="K1393" s="3"/>
      <c r="M1393" s="4"/>
    </row>
    <row r="1394" spans="1:13" x14ac:dyDescent="0.45">
      <c r="A1394" s="2"/>
      <c r="D1394" s="2"/>
      <c r="G1394" s="3"/>
      <c r="H1394" s="3"/>
      <c r="J1394" s="3"/>
      <c r="K1394" s="3"/>
      <c r="M1394" s="4"/>
    </row>
    <row r="1395" spans="1:13" x14ac:dyDescent="0.45">
      <c r="A1395" s="2"/>
      <c r="D1395" s="2"/>
      <c r="G1395" s="3"/>
      <c r="H1395" s="3"/>
      <c r="J1395" s="3"/>
      <c r="K1395" s="3"/>
      <c r="M1395" s="4"/>
    </row>
    <row r="1396" spans="1:13" x14ac:dyDescent="0.45">
      <c r="A1396" s="2"/>
      <c r="D1396" s="2"/>
      <c r="G1396" s="3"/>
      <c r="H1396" s="3"/>
      <c r="J1396" s="3"/>
      <c r="K1396" s="3"/>
      <c r="M1396" s="4"/>
    </row>
    <row r="1397" spans="1:13" x14ac:dyDescent="0.45">
      <c r="A1397" s="2"/>
      <c r="D1397" s="2"/>
      <c r="G1397" s="3"/>
      <c r="H1397" s="3"/>
      <c r="J1397" s="3"/>
      <c r="K1397" s="3"/>
      <c r="M1397" s="4"/>
    </row>
    <row r="1398" spans="1:13" x14ac:dyDescent="0.45">
      <c r="A1398" s="2"/>
      <c r="D1398" s="2"/>
      <c r="G1398" s="3"/>
      <c r="H1398" s="3"/>
      <c r="J1398" s="3"/>
      <c r="K1398" s="3"/>
      <c r="M1398" s="4"/>
    </row>
    <row r="1399" spans="1:13" x14ac:dyDescent="0.45">
      <c r="A1399" s="2"/>
      <c r="D1399" s="2"/>
      <c r="G1399" s="3"/>
      <c r="H1399" s="3"/>
      <c r="J1399" s="3"/>
      <c r="K1399" s="3"/>
      <c r="M1399" s="4"/>
    </row>
    <row r="1400" spans="1:13" x14ac:dyDescent="0.45">
      <c r="A1400" s="2"/>
      <c r="D1400" s="2"/>
      <c r="G1400" s="3"/>
      <c r="H1400" s="3"/>
      <c r="J1400" s="3"/>
      <c r="K1400" s="3"/>
      <c r="M1400" s="4"/>
    </row>
    <row r="1401" spans="1:13" x14ac:dyDescent="0.45">
      <c r="A1401" s="2"/>
      <c r="D1401" s="2"/>
      <c r="G1401" s="3"/>
      <c r="H1401" s="3"/>
      <c r="J1401" s="3"/>
      <c r="K1401" s="3"/>
      <c r="M1401" s="4"/>
    </row>
    <row r="1402" spans="1:13" x14ac:dyDescent="0.45">
      <c r="A1402" s="2"/>
      <c r="D1402" s="2"/>
      <c r="G1402" s="3"/>
      <c r="H1402" s="3"/>
      <c r="J1402" s="3"/>
      <c r="K1402" s="3"/>
      <c r="M1402" s="4"/>
    </row>
    <row r="1403" spans="1:13" x14ac:dyDescent="0.45">
      <c r="A1403" s="2"/>
      <c r="D1403" s="2"/>
      <c r="G1403" s="3"/>
      <c r="H1403" s="3"/>
      <c r="J1403" s="3"/>
      <c r="K1403" s="3"/>
      <c r="M1403" s="4"/>
    </row>
    <row r="1404" spans="1:13" x14ac:dyDescent="0.45">
      <c r="A1404" s="2"/>
      <c r="D1404" s="2"/>
      <c r="G1404" s="3"/>
      <c r="H1404" s="3"/>
      <c r="J1404" s="3"/>
      <c r="K1404" s="3"/>
      <c r="M1404" s="4"/>
    </row>
    <row r="1405" spans="1:13" x14ac:dyDescent="0.45">
      <c r="A1405" s="2"/>
      <c r="D1405" s="2"/>
      <c r="G1405" s="3"/>
      <c r="H1405" s="3"/>
      <c r="J1405" s="3"/>
      <c r="K1405" s="3"/>
      <c r="M1405" s="4"/>
    </row>
    <row r="1406" spans="1:13" x14ac:dyDescent="0.45">
      <c r="A1406" s="2"/>
      <c r="D1406" s="2"/>
      <c r="G1406" s="3"/>
      <c r="H1406" s="3"/>
      <c r="J1406" s="3"/>
      <c r="K1406" s="3"/>
      <c r="M1406" s="4"/>
    </row>
    <row r="1407" spans="1:13" x14ac:dyDescent="0.45">
      <c r="A1407" s="2"/>
      <c r="D1407" s="2"/>
      <c r="G1407" s="3"/>
      <c r="H1407" s="3"/>
      <c r="J1407" s="3"/>
      <c r="K1407" s="3"/>
      <c r="M1407" s="4"/>
    </row>
    <row r="1408" spans="1:13" x14ac:dyDescent="0.45">
      <c r="A1408" s="2"/>
      <c r="D1408" s="2"/>
      <c r="G1408" s="3"/>
      <c r="H1408" s="3"/>
      <c r="J1408" s="3"/>
      <c r="K1408" s="3"/>
      <c r="M1408" s="4"/>
    </row>
    <row r="1409" spans="1:13" x14ac:dyDescent="0.45">
      <c r="A1409" s="2"/>
      <c r="D1409" s="2"/>
      <c r="G1409" s="3"/>
      <c r="H1409" s="3"/>
      <c r="J1409" s="3"/>
      <c r="K1409" s="3"/>
      <c r="M1409" s="4"/>
    </row>
    <row r="1410" spans="1:13" x14ac:dyDescent="0.45">
      <c r="A1410" s="2"/>
      <c r="D1410" s="2"/>
      <c r="G1410" s="3"/>
      <c r="H1410" s="3"/>
      <c r="J1410" s="3"/>
      <c r="K1410" s="3"/>
      <c r="M1410" s="4"/>
    </row>
    <row r="1411" spans="1:13" x14ac:dyDescent="0.45">
      <c r="A1411" s="2"/>
      <c r="D1411" s="2"/>
      <c r="G1411" s="3"/>
      <c r="H1411" s="3"/>
      <c r="J1411" s="3"/>
      <c r="K1411" s="3"/>
      <c r="M1411" s="4"/>
    </row>
    <row r="1412" spans="1:13" x14ac:dyDescent="0.45">
      <c r="A1412" s="2"/>
      <c r="D1412" s="2"/>
      <c r="G1412" s="3"/>
      <c r="H1412" s="3"/>
      <c r="J1412" s="3"/>
      <c r="K1412" s="3"/>
      <c r="M1412" s="4"/>
    </row>
    <row r="1413" spans="1:13" x14ac:dyDescent="0.45">
      <c r="A1413" s="2"/>
      <c r="D1413" s="2"/>
      <c r="G1413" s="3"/>
      <c r="H1413" s="3"/>
      <c r="J1413" s="3"/>
      <c r="K1413" s="3"/>
      <c r="M1413" s="4"/>
    </row>
    <row r="1414" spans="1:13" x14ac:dyDescent="0.45">
      <c r="A1414" s="2"/>
      <c r="D1414" s="2"/>
      <c r="G1414" s="3"/>
      <c r="H1414" s="3"/>
      <c r="J1414" s="3"/>
      <c r="K1414" s="3"/>
      <c r="M1414" s="4"/>
    </row>
    <row r="1415" spans="1:13" x14ac:dyDescent="0.45">
      <c r="A1415" s="2"/>
      <c r="D1415" s="2"/>
      <c r="G1415" s="3"/>
      <c r="H1415" s="3"/>
      <c r="J1415" s="3"/>
      <c r="K1415" s="3"/>
      <c r="M1415" s="4"/>
    </row>
    <row r="1416" spans="1:13" x14ac:dyDescent="0.45">
      <c r="A1416" s="2"/>
      <c r="D1416" s="2"/>
      <c r="G1416" s="3"/>
      <c r="H1416" s="3"/>
      <c r="J1416" s="3"/>
      <c r="K1416" s="3"/>
      <c r="M1416" s="4"/>
    </row>
    <row r="1417" spans="1:13" x14ac:dyDescent="0.45">
      <c r="A1417" s="2"/>
      <c r="D1417" s="2"/>
      <c r="G1417" s="3"/>
      <c r="H1417" s="3"/>
      <c r="J1417" s="3"/>
      <c r="K1417" s="3"/>
      <c r="M1417" s="4"/>
    </row>
    <row r="1418" spans="1:13" x14ac:dyDescent="0.45">
      <c r="A1418" s="2"/>
      <c r="D1418" s="2"/>
      <c r="G1418" s="3"/>
      <c r="H1418" s="3"/>
      <c r="J1418" s="3"/>
      <c r="K1418" s="3"/>
      <c r="M1418" s="4"/>
    </row>
    <row r="1419" spans="1:13" x14ac:dyDescent="0.45">
      <c r="A1419" s="2"/>
      <c r="D1419" s="2"/>
      <c r="G1419" s="3"/>
      <c r="H1419" s="3"/>
      <c r="J1419" s="3"/>
      <c r="K1419" s="3"/>
      <c r="M1419" s="4"/>
    </row>
    <row r="1420" spans="1:13" x14ac:dyDescent="0.45">
      <c r="A1420" s="2"/>
      <c r="D1420" s="2"/>
      <c r="G1420" s="3"/>
      <c r="H1420" s="3"/>
      <c r="J1420" s="3"/>
      <c r="K1420" s="3"/>
      <c r="M1420" s="4"/>
    </row>
    <row r="1421" spans="1:13" x14ac:dyDescent="0.45">
      <c r="A1421" s="2"/>
      <c r="D1421" s="2"/>
      <c r="G1421" s="3"/>
      <c r="H1421" s="3"/>
      <c r="J1421" s="3"/>
      <c r="K1421" s="3"/>
      <c r="M1421" s="4"/>
    </row>
    <row r="1422" spans="1:13" x14ac:dyDescent="0.45">
      <c r="A1422" s="2"/>
      <c r="D1422" s="2"/>
      <c r="G1422" s="3"/>
      <c r="H1422" s="3"/>
      <c r="J1422" s="3"/>
      <c r="K1422" s="3"/>
      <c r="M1422" s="4"/>
    </row>
    <row r="1423" spans="1:13" x14ac:dyDescent="0.45">
      <c r="A1423" s="2"/>
      <c r="D1423" s="2"/>
      <c r="G1423" s="3"/>
      <c r="H1423" s="3"/>
      <c r="J1423" s="3"/>
      <c r="K1423" s="3"/>
      <c r="M1423" s="4"/>
    </row>
    <row r="1424" spans="1:13" x14ac:dyDescent="0.45">
      <c r="A1424" s="2"/>
      <c r="D1424" s="2"/>
      <c r="G1424" s="3"/>
      <c r="H1424" s="3"/>
      <c r="J1424" s="3"/>
      <c r="K1424" s="3"/>
      <c r="M1424" s="4"/>
    </row>
    <row r="1425" spans="1:13" x14ac:dyDescent="0.45">
      <c r="A1425" s="2"/>
      <c r="D1425" s="2"/>
      <c r="G1425" s="3"/>
      <c r="H1425" s="3"/>
      <c r="J1425" s="3"/>
      <c r="K1425" s="3"/>
      <c r="M1425" s="4"/>
    </row>
    <row r="1426" spans="1:13" x14ac:dyDescent="0.45">
      <c r="A1426" s="2"/>
      <c r="D1426" s="2"/>
      <c r="G1426" s="3"/>
      <c r="H1426" s="3"/>
      <c r="J1426" s="3"/>
      <c r="K1426" s="3"/>
      <c r="M1426" s="4"/>
    </row>
    <row r="1427" spans="1:13" x14ac:dyDescent="0.45">
      <c r="A1427" s="2"/>
      <c r="D1427" s="2"/>
      <c r="G1427" s="3"/>
      <c r="H1427" s="3"/>
      <c r="J1427" s="3"/>
      <c r="K1427" s="3"/>
      <c r="M1427" s="4"/>
    </row>
    <row r="1428" spans="1:13" x14ac:dyDescent="0.45">
      <c r="A1428" s="2"/>
      <c r="D1428" s="2"/>
      <c r="G1428" s="3"/>
      <c r="H1428" s="3"/>
      <c r="J1428" s="3"/>
      <c r="K1428" s="3"/>
      <c r="M1428" s="4"/>
    </row>
    <row r="1429" spans="1:13" x14ac:dyDescent="0.45">
      <c r="A1429" s="2"/>
      <c r="D1429" s="2"/>
      <c r="G1429" s="3"/>
      <c r="H1429" s="3"/>
      <c r="J1429" s="3"/>
      <c r="K1429" s="3"/>
      <c r="M1429" s="4"/>
    </row>
    <row r="1430" spans="1:13" x14ac:dyDescent="0.45">
      <c r="A1430" s="2"/>
      <c r="D1430" s="2"/>
      <c r="G1430" s="3"/>
      <c r="H1430" s="3"/>
      <c r="J1430" s="3"/>
      <c r="K1430" s="3"/>
      <c r="M1430" s="4"/>
    </row>
    <row r="1431" spans="1:13" x14ac:dyDescent="0.45">
      <c r="A1431" s="2"/>
      <c r="D1431" s="2"/>
      <c r="G1431" s="3"/>
      <c r="H1431" s="3"/>
      <c r="J1431" s="3"/>
      <c r="K1431" s="3"/>
      <c r="M1431" s="4"/>
    </row>
    <row r="1432" spans="1:13" x14ac:dyDescent="0.45">
      <c r="A1432" s="2"/>
      <c r="D1432" s="2"/>
      <c r="G1432" s="3"/>
      <c r="H1432" s="3"/>
      <c r="J1432" s="3"/>
      <c r="K1432" s="3"/>
      <c r="M1432" s="4"/>
    </row>
    <row r="1433" spans="1:13" x14ac:dyDescent="0.45">
      <c r="A1433" s="2"/>
      <c r="D1433" s="2"/>
      <c r="G1433" s="3"/>
      <c r="H1433" s="3"/>
      <c r="J1433" s="3"/>
      <c r="K1433" s="3"/>
      <c r="M1433" s="4"/>
    </row>
    <row r="1434" spans="1:13" x14ac:dyDescent="0.45">
      <c r="A1434" s="2"/>
      <c r="D1434" s="2"/>
      <c r="G1434" s="3"/>
      <c r="H1434" s="3"/>
      <c r="J1434" s="3"/>
      <c r="K1434" s="3"/>
      <c r="M1434" s="4"/>
    </row>
    <row r="1435" spans="1:13" x14ac:dyDescent="0.45">
      <c r="A1435" s="2"/>
      <c r="D1435" s="2"/>
      <c r="G1435" s="3"/>
      <c r="H1435" s="3"/>
      <c r="J1435" s="3"/>
      <c r="K1435" s="3"/>
      <c r="M1435" s="4"/>
    </row>
    <row r="1436" spans="1:13" x14ac:dyDescent="0.45">
      <c r="A1436" s="2"/>
      <c r="D1436" s="2"/>
      <c r="G1436" s="3"/>
      <c r="H1436" s="3"/>
      <c r="J1436" s="3"/>
      <c r="K1436" s="3"/>
      <c r="M1436" s="4"/>
    </row>
    <row r="1437" spans="1:13" x14ac:dyDescent="0.45">
      <c r="A1437" s="2"/>
      <c r="D1437" s="2"/>
      <c r="G1437" s="3"/>
      <c r="H1437" s="3"/>
      <c r="J1437" s="3"/>
      <c r="K1437" s="3"/>
      <c r="M1437" s="4"/>
    </row>
    <row r="1438" spans="1:13" x14ac:dyDescent="0.45">
      <c r="A1438" s="2"/>
      <c r="D1438" s="2"/>
      <c r="G1438" s="3"/>
      <c r="H1438" s="3"/>
      <c r="J1438" s="3"/>
      <c r="K1438" s="3"/>
      <c r="M1438" s="4"/>
    </row>
    <row r="1439" spans="1:13" x14ac:dyDescent="0.45">
      <c r="A1439" s="2"/>
      <c r="D1439" s="2"/>
      <c r="G1439" s="3"/>
      <c r="H1439" s="3"/>
      <c r="J1439" s="3"/>
      <c r="K1439" s="3"/>
      <c r="M1439" s="4"/>
    </row>
    <row r="1440" spans="1:13" x14ac:dyDescent="0.45">
      <c r="A1440" s="2"/>
      <c r="D1440" s="2"/>
      <c r="G1440" s="3"/>
      <c r="H1440" s="3"/>
      <c r="J1440" s="3"/>
      <c r="K1440" s="3"/>
      <c r="M1440" s="4"/>
    </row>
    <row r="1441" spans="1:13" x14ac:dyDescent="0.45">
      <c r="A1441" s="2"/>
      <c r="D1441" s="2"/>
      <c r="G1441" s="3"/>
      <c r="H1441" s="3"/>
      <c r="J1441" s="3"/>
      <c r="K1441" s="3"/>
      <c r="M1441" s="4"/>
    </row>
    <row r="1442" spans="1:13" x14ac:dyDescent="0.45">
      <c r="A1442" s="2"/>
      <c r="D1442" s="2"/>
      <c r="G1442" s="3"/>
      <c r="H1442" s="3"/>
      <c r="J1442" s="3"/>
      <c r="K1442" s="3"/>
      <c r="M1442" s="4"/>
    </row>
    <row r="1443" spans="1:13" x14ac:dyDescent="0.45">
      <c r="A1443" s="2"/>
      <c r="D1443" s="2"/>
      <c r="G1443" s="3"/>
      <c r="H1443" s="3"/>
      <c r="J1443" s="3"/>
      <c r="K1443" s="3"/>
      <c r="M1443" s="4"/>
    </row>
    <row r="1444" spans="1:13" x14ac:dyDescent="0.45">
      <c r="A1444" s="2"/>
      <c r="D1444" s="2"/>
      <c r="G1444" s="3"/>
      <c r="H1444" s="3"/>
      <c r="J1444" s="3"/>
      <c r="K1444" s="3"/>
      <c r="M1444" s="4"/>
    </row>
    <row r="1445" spans="1:13" x14ac:dyDescent="0.45">
      <c r="A1445" s="2"/>
      <c r="D1445" s="2"/>
      <c r="G1445" s="3"/>
      <c r="H1445" s="3"/>
      <c r="J1445" s="3"/>
      <c r="K1445" s="3"/>
      <c r="M1445" s="4"/>
    </row>
    <row r="1446" spans="1:13" x14ac:dyDescent="0.45">
      <c r="A1446" s="2"/>
      <c r="D1446" s="2"/>
      <c r="G1446" s="3"/>
      <c r="H1446" s="3"/>
      <c r="J1446" s="3"/>
      <c r="K1446" s="3"/>
      <c r="M1446" s="4"/>
    </row>
    <row r="1447" spans="1:13" x14ac:dyDescent="0.45">
      <c r="A1447" s="2"/>
      <c r="D1447" s="2"/>
      <c r="G1447" s="3"/>
      <c r="H1447" s="3"/>
      <c r="J1447" s="3"/>
      <c r="K1447" s="3"/>
      <c r="M1447" s="4"/>
    </row>
    <row r="1448" spans="1:13" x14ac:dyDescent="0.45">
      <c r="A1448" s="2"/>
      <c r="D1448" s="2"/>
      <c r="G1448" s="3"/>
      <c r="H1448" s="3"/>
      <c r="J1448" s="3"/>
      <c r="K1448" s="3"/>
      <c r="M1448" s="4"/>
    </row>
    <row r="1449" spans="1:13" x14ac:dyDescent="0.45">
      <c r="A1449" s="2"/>
      <c r="D1449" s="2"/>
      <c r="G1449" s="3"/>
      <c r="H1449" s="3"/>
      <c r="J1449" s="3"/>
      <c r="K1449" s="3"/>
      <c r="M1449" s="4"/>
    </row>
    <row r="1450" spans="1:13" x14ac:dyDescent="0.45">
      <c r="A1450" s="2"/>
      <c r="D1450" s="2"/>
      <c r="G1450" s="3"/>
      <c r="H1450" s="3"/>
      <c r="J1450" s="3"/>
      <c r="K1450" s="3"/>
      <c r="M1450" s="4"/>
    </row>
    <row r="1451" spans="1:13" x14ac:dyDescent="0.45">
      <c r="A1451" s="2"/>
      <c r="D1451" s="2"/>
      <c r="G1451" s="3"/>
      <c r="H1451" s="3"/>
      <c r="J1451" s="3"/>
      <c r="K1451" s="3"/>
      <c r="M1451" s="4"/>
    </row>
    <row r="1452" spans="1:13" x14ac:dyDescent="0.45">
      <c r="A1452" s="2"/>
      <c r="D1452" s="2"/>
      <c r="G1452" s="3"/>
      <c r="H1452" s="3"/>
      <c r="J1452" s="3"/>
      <c r="K1452" s="3"/>
      <c r="M1452" s="4"/>
    </row>
    <row r="1453" spans="1:13" x14ac:dyDescent="0.45">
      <c r="A1453" s="2"/>
      <c r="D1453" s="2"/>
      <c r="G1453" s="3"/>
      <c r="H1453" s="3"/>
      <c r="J1453" s="3"/>
      <c r="K1453" s="3"/>
      <c r="M1453" s="4"/>
    </row>
    <row r="1454" spans="1:13" x14ac:dyDescent="0.45">
      <c r="A1454" s="2"/>
      <c r="D1454" s="2"/>
      <c r="G1454" s="3"/>
      <c r="H1454" s="3"/>
      <c r="J1454" s="3"/>
      <c r="K1454" s="3"/>
      <c r="M1454" s="4"/>
    </row>
    <row r="1455" spans="1:13" x14ac:dyDescent="0.45">
      <c r="A1455" s="2"/>
      <c r="D1455" s="2"/>
      <c r="G1455" s="3"/>
      <c r="H1455" s="3"/>
      <c r="J1455" s="3"/>
      <c r="K1455" s="3"/>
      <c r="M1455" s="4"/>
    </row>
    <row r="1456" spans="1:13" x14ac:dyDescent="0.45">
      <c r="A1456" s="2"/>
      <c r="D1456" s="2"/>
      <c r="G1456" s="3"/>
      <c r="H1456" s="3"/>
      <c r="J1456" s="3"/>
      <c r="K1456" s="3"/>
      <c r="M1456" s="4"/>
    </row>
    <row r="1457" spans="1:13" x14ac:dyDescent="0.45">
      <c r="A1457" s="2"/>
      <c r="D1457" s="2"/>
      <c r="G1457" s="3"/>
      <c r="H1457" s="3"/>
      <c r="J1457" s="3"/>
      <c r="K1457" s="3"/>
      <c r="M1457" s="4"/>
    </row>
    <row r="1458" spans="1:13" x14ac:dyDescent="0.45">
      <c r="A1458" s="2"/>
      <c r="D1458" s="2"/>
      <c r="G1458" s="3"/>
      <c r="H1458" s="3"/>
      <c r="J1458" s="3"/>
      <c r="K1458" s="3"/>
      <c r="M1458" s="4"/>
    </row>
    <row r="1459" spans="1:13" x14ac:dyDescent="0.45">
      <c r="A1459" s="2"/>
      <c r="D1459" s="2"/>
      <c r="G1459" s="3"/>
      <c r="H1459" s="3"/>
      <c r="J1459" s="3"/>
      <c r="K1459" s="3"/>
      <c r="M1459" s="4"/>
    </row>
    <row r="1460" spans="1:13" x14ac:dyDescent="0.45">
      <c r="A1460" s="2"/>
      <c r="D1460" s="2"/>
      <c r="G1460" s="3"/>
      <c r="H1460" s="3"/>
      <c r="J1460" s="3"/>
      <c r="K1460" s="3"/>
      <c r="M1460" s="4"/>
    </row>
    <row r="1461" spans="1:13" x14ac:dyDescent="0.45">
      <c r="A1461" s="2"/>
      <c r="D1461" s="2"/>
      <c r="G1461" s="3"/>
      <c r="H1461" s="3"/>
      <c r="J1461" s="3"/>
      <c r="K1461" s="3"/>
      <c r="M1461" s="4"/>
    </row>
    <row r="1462" spans="1:13" x14ac:dyDescent="0.45">
      <c r="A1462" s="2"/>
      <c r="D1462" s="2"/>
      <c r="G1462" s="3"/>
      <c r="H1462" s="3"/>
      <c r="J1462" s="3"/>
      <c r="K1462" s="3"/>
      <c r="M1462" s="4"/>
    </row>
    <row r="1463" spans="1:13" x14ac:dyDescent="0.45">
      <c r="A1463" s="2"/>
      <c r="D1463" s="2"/>
      <c r="G1463" s="3"/>
      <c r="H1463" s="3"/>
      <c r="J1463" s="3"/>
      <c r="K1463" s="3"/>
      <c r="M1463" s="4"/>
    </row>
    <row r="1464" spans="1:13" x14ac:dyDescent="0.45">
      <c r="A1464" s="2"/>
      <c r="D1464" s="2"/>
      <c r="G1464" s="3"/>
      <c r="H1464" s="3"/>
      <c r="J1464" s="3"/>
      <c r="K1464" s="3"/>
      <c r="M1464" s="4"/>
    </row>
    <row r="1465" spans="1:13" x14ac:dyDescent="0.45">
      <c r="A1465" s="2"/>
      <c r="D1465" s="2"/>
      <c r="G1465" s="3"/>
      <c r="H1465" s="3"/>
      <c r="J1465" s="3"/>
      <c r="K1465" s="3"/>
      <c r="M1465" s="4"/>
    </row>
    <row r="1466" spans="1:13" x14ac:dyDescent="0.45">
      <c r="A1466" s="2"/>
      <c r="D1466" s="2"/>
      <c r="G1466" s="3"/>
      <c r="H1466" s="3"/>
      <c r="J1466" s="3"/>
      <c r="K1466" s="3"/>
      <c r="M1466" s="4"/>
    </row>
    <row r="1467" spans="1:13" x14ac:dyDescent="0.45">
      <c r="A1467" s="2"/>
      <c r="D1467" s="2"/>
      <c r="G1467" s="3"/>
      <c r="H1467" s="3"/>
      <c r="J1467" s="3"/>
      <c r="K1467" s="3"/>
      <c r="M1467" s="4"/>
    </row>
    <row r="1468" spans="1:13" x14ac:dyDescent="0.45">
      <c r="A1468" s="2"/>
      <c r="D1468" s="2"/>
      <c r="G1468" s="3"/>
      <c r="H1468" s="3"/>
      <c r="J1468" s="3"/>
      <c r="K1468" s="3"/>
      <c r="M1468" s="4"/>
    </row>
    <row r="1469" spans="1:13" x14ac:dyDescent="0.45">
      <c r="A1469" s="2"/>
      <c r="D1469" s="2"/>
      <c r="G1469" s="3"/>
      <c r="H1469" s="3"/>
      <c r="J1469" s="3"/>
      <c r="K1469" s="3"/>
      <c r="M1469" s="4"/>
    </row>
    <row r="1470" spans="1:13" x14ac:dyDescent="0.45">
      <c r="A1470" s="2"/>
      <c r="D1470" s="2"/>
      <c r="G1470" s="3"/>
      <c r="H1470" s="3"/>
      <c r="J1470" s="3"/>
      <c r="K1470" s="3"/>
      <c r="M1470" s="4"/>
    </row>
    <row r="1471" spans="1:13" x14ac:dyDescent="0.45">
      <c r="A1471" s="2"/>
      <c r="D1471" s="2"/>
      <c r="G1471" s="3"/>
      <c r="H1471" s="3"/>
      <c r="J1471" s="3"/>
      <c r="K1471" s="3"/>
      <c r="M1471" s="4"/>
    </row>
    <row r="1472" spans="1:13" x14ac:dyDescent="0.45">
      <c r="A1472" s="2"/>
      <c r="D1472" s="2"/>
      <c r="G1472" s="3"/>
      <c r="H1472" s="3"/>
      <c r="J1472" s="3"/>
      <c r="K1472" s="3"/>
      <c r="M1472" s="4"/>
    </row>
    <row r="1473" spans="1:13" x14ac:dyDescent="0.45">
      <c r="A1473" s="2"/>
      <c r="D1473" s="2"/>
      <c r="G1473" s="3"/>
      <c r="H1473" s="3"/>
      <c r="J1473" s="3"/>
      <c r="K1473" s="3"/>
      <c r="M1473" s="4"/>
    </row>
    <row r="1474" spans="1:13" x14ac:dyDescent="0.45">
      <c r="A1474" s="2"/>
      <c r="D1474" s="2"/>
      <c r="G1474" s="3"/>
      <c r="H1474" s="3"/>
      <c r="J1474" s="3"/>
      <c r="K1474" s="3"/>
      <c r="M1474" s="4"/>
    </row>
    <row r="1475" spans="1:13" x14ac:dyDescent="0.45">
      <c r="A1475" s="2"/>
      <c r="D1475" s="2"/>
      <c r="G1475" s="3"/>
      <c r="H1475" s="3"/>
      <c r="J1475" s="3"/>
      <c r="K1475" s="3"/>
      <c r="M1475" s="4"/>
    </row>
    <row r="1476" spans="1:13" x14ac:dyDescent="0.45">
      <c r="A1476" s="2"/>
      <c r="D1476" s="2"/>
      <c r="G1476" s="3"/>
      <c r="H1476" s="3"/>
      <c r="J1476" s="3"/>
      <c r="K1476" s="3"/>
      <c r="M1476" s="4"/>
    </row>
    <row r="1477" spans="1:13" x14ac:dyDescent="0.45">
      <c r="A1477" s="2"/>
      <c r="D1477" s="2"/>
      <c r="G1477" s="3"/>
      <c r="H1477" s="3"/>
      <c r="J1477" s="3"/>
      <c r="K1477" s="3"/>
      <c r="M1477" s="4"/>
    </row>
    <row r="1478" spans="1:13" x14ac:dyDescent="0.45">
      <c r="A1478" s="2"/>
      <c r="D1478" s="2"/>
      <c r="G1478" s="3"/>
      <c r="H1478" s="3"/>
      <c r="J1478" s="3"/>
      <c r="K1478" s="3"/>
      <c r="M1478" s="4"/>
    </row>
    <row r="1479" spans="1:13" x14ac:dyDescent="0.45">
      <c r="A1479" s="2"/>
      <c r="D1479" s="2"/>
      <c r="G1479" s="3"/>
      <c r="H1479" s="3"/>
      <c r="J1479" s="3"/>
      <c r="K1479" s="3"/>
      <c r="M1479" s="4"/>
    </row>
    <row r="1480" spans="1:13" x14ac:dyDescent="0.45">
      <c r="A1480" s="2"/>
      <c r="D1480" s="2"/>
      <c r="G1480" s="3"/>
      <c r="H1480" s="3"/>
      <c r="J1480" s="3"/>
      <c r="K1480" s="3"/>
      <c r="M1480" s="4"/>
    </row>
    <row r="1481" spans="1:13" x14ac:dyDescent="0.45">
      <c r="A1481" s="2"/>
      <c r="D1481" s="2"/>
      <c r="G1481" s="3"/>
      <c r="H1481" s="3"/>
      <c r="J1481" s="3"/>
      <c r="K1481" s="3"/>
      <c r="M1481" s="4"/>
    </row>
    <row r="1482" spans="1:13" x14ac:dyDescent="0.45">
      <c r="A1482" s="2"/>
      <c r="D1482" s="2"/>
      <c r="G1482" s="3"/>
      <c r="H1482" s="3"/>
      <c r="J1482" s="3"/>
      <c r="K1482" s="3"/>
      <c r="M1482" s="4"/>
    </row>
    <row r="1483" spans="1:13" x14ac:dyDescent="0.45">
      <c r="A1483" s="2"/>
      <c r="D1483" s="2"/>
      <c r="G1483" s="3"/>
      <c r="H1483" s="3"/>
      <c r="J1483" s="3"/>
      <c r="K1483" s="3"/>
      <c r="M1483" s="4"/>
    </row>
    <row r="1484" spans="1:13" x14ac:dyDescent="0.45">
      <c r="A1484" s="2"/>
      <c r="D1484" s="2"/>
      <c r="G1484" s="3"/>
      <c r="H1484" s="3"/>
      <c r="J1484" s="3"/>
      <c r="K1484" s="3"/>
      <c r="M1484" s="4"/>
    </row>
    <row r="1485" spans="1:13" x14ac:dyDescent="0.45">
      <c r="A1485" s="2"/>
      <c r="D1485" s="2"/>
      <c r="G1485" s="3"/>
      <c r="H1485" s="3"/>
      <c r="J1485" s="3"/>
      <c r="K1485" s="3"/>
      <c r="M1485" s="4"/>
    </row>
    <row r="1486" spans="1:13" x14ac:dyDescent="0.45">
      <c r="A1486" s="2"/>
      <c r="D1486" s="2"/>
      <c r="G1486" s="3"/>
      <c r="H1486" s="3"/>
      <c r="J1486" s="3"/>
      <c r="K1486" s="3"/>
      <c r="M1486" s="4"/>
    </row>
    <row r="1487" spans="1:13" x14ac:dyDescent="0.45">
      <c r="A1487" s="2"/>
      <c r="D1487" s="2"/>
      <c r="G1487" s="3"/>
      <c r="H1487" s="3"/>
      <c r="J1487" s="3"/>
      <c r="K1487" s="3"/>
      <c r="M1487" s="4"/>
    </row>
    <row r="1488" spans="1:13" x14ac:dyDescent="0.45">
      <c r="A1488" s="2"/>
      <c r="D1488" s="2"/>
      <c r="G1488" s="3"/>
      <c r="H1488" s="3"/>
      <c r="J1488" s="3"/>
      <c r="K1488" s="3"/>
      <c r="M1488" s="4"/>
    </row>
    <row r="1489" spans="1:13" x14ac:dyDescent="0.45">
      <c r="A1489" s="2"/>
      <c r="D1489" s="2"/>
      <c r="G1489" s="3"/>
      <c r="H1489" s="3"/>
      <c r="J1489" s="3"/>
      <c r="K1489" s="3"/>
      <c r="M1489" s="4"/>
    </row>
    <row r="1490" spans="1:13" x14ac:dyDescent="0.45">
      <c r="A1490" s="2"/>
      <c r="D1490" s="2"/>
      <c r="G1490" s="3"/>
      <c r="H1490" s="3"/>
      <c r="J1490" s="3"/>
      <c r="K1490" s="3"/>
      <c r="M1490" s="4"/>
    </row>
    <row r="1491" spans="1:13" x14ac:dyDescent="0.45">
      <c r="A1491" s="2"/>
      <c r="D1491" s="2"/>
      <c r="G1491" s="3"/>
      <c r="H1491" s="3"/>
      <c r="J1491" s="3"/>
      <c r="K1491" s="3"/>
      <c r="M1491" s="4"/>
    </row>
    <row r="1492" spans="1:13" x14ac:dyDescent="0.45">
      <c r="A1492" s="2"/>
      <c r="D1492" s="2"/>
      <c r="G1492" s="3"/>
      <c r="H1492" s="3"/>
      <c r="J1492" s="3"/>
      <c r="K1492" s="3"/>
      <c r="M1492" s="4"/>
    </row>
    <row r="1493" spans="1:13" x14ac:dyDescent="0.45">
      <c r="A1493" s="2"/>
      <c r="D1493" s="2"/>
      <c r="G1493" s="3"/>
      <c r="H1493" s="3"/>
      <c r="J1493" s="3"/>
      <c r="K1493" s="3"/>
      <c r="M1493" s="4"/>
    </row>
    <row r="1494" spans="1:13" x14ac:dyDescent="0.45">
      <c r="A1494" s="2"/>
      <c r="D1494" s="2"/>
      <c r="G1494" s="3"/>
      <c r="H1494" s="3"/>
      <c r="J1494" s="3"/>
      <c r="K1494" s="3"/>
      <c r="M1494" s="4"/>
    </row>
    <row r="1495" spans="1:13" x14ac:dyDescent="0.45">
      <c r="A1495" s="2"/>
      <c r="D1495" s="2"/>
      <c r="G1495" s="3"/>
      <c r="H1495" s="3"/>
      <c r="J1495" s="3"/>
      <c r="K1495" s="3"/>
      <c r="M1495" s="4"/>
    </row>
    <row r="1496" spans="1:13" x14ac:dyDescent="0.45">
      <c r="A1496" s="2"/>
      <c r="D1496" s="2"/>
      <c r="G1496" s="3"/>
      <c r="H1496" s="3"/>
      <c r="J1496" s="3"/>
      <c r="K1496" s="3"/>
      <c r="M1496" s="4"/>
    </row>
    <row r="1497" spans="1:13" x14ac:dyDescent="0.45">
      <c r="A1497" s="2"/>
      <c r="D1497" s="2"/>
      <c r="G1497" s="3"/>
      <c r="H1497" s="3"/>
      <c r="J1497" s="3"/>
      <c r="K1497" s="3"/>
      <c r="M1497" s="4"/>
    </row>
    <row r="1498" spans="1:13" x14ac:dyDescent="0.45">
      <c r="A1498" s="2"/>
      <c r="D1498" s="2"/>
      <c r="G1498" s="3"/>
      <c r="H1498" s="3"/>
      <c r="J1498" s="3"/>
      <c r="K1498" s="3"/>
      <c r="M1498" s="4"/>
    </row>
    <row r="1499" spans="1:13" x14ac:dyDescent="0.45">
      <c r="A1499" s="2"/>
      <c r="D1499" s="2"/>
      <c r="G1499" s="3"/>
      <c r="H1499" s="3"/>
      <c r="J1499" s="5"/>
      <c r="K1499" s="3"/>
      <c r="M1499" s="4"/>
    </row>
    <row r="1500" spans="1:13" x14ac:dyDescent="0.45">
      <c r="A1500" s="2"/>
      <c r="D1500" s="2"/>
      <c r="G1500" s="3"/>
      <c r="H1500" s="3"/>
      <c r="J1500" s="5"/>
      <c r="K1500" s="3"/>
      <c r="M1500" s="4"/>
    </row>
    <row r="1501" spans="1:13" x14ac:dyDescent="0.45">
      <c r="A1501" s="2"/>
      <c r="D1501" s="2"/>
      <c r="G1501" s="3"/>
      <c r="H1501" s="3"/>
      <c r="J1501" s="5"/>
      <c r="K1501" s="3"/>
      <c r="M1501" s="4"/>
    </row>
    <row r="1502" spans="1:13" x14ac:dyDescent="0.45">
      <c r="A1502" s="2"/>
      <c r="D1502" s="2"/>
      <c r="G1502" s="3"/>
      <c r="H1502" s="3"/>
      <c r="J1502" s="5"/>
      <c r="K1502" s="3"/>
      <c r="M1502" s="4"/>
    </row>
    <row r="1503" spans="1:13" x14ac:dyDescent="0.45">
      <c r="A1503" s="2"/>
      <c r="D1503" s="2"/>
      <c r="G1503" s="3"/>
      <c r="H1503" s="3"/>
      <c r="J1503" s="5"/>
      <c r="K1503" s="3"/>
      <c r="M1503" s="4"/>
    </row>
    <row r="1504" spans="1:13" x14ac:dyDescent="0.45">
      <c r="A1504" s="2"/>
      <c r="D1504" s="2"/>
      <c r="G1504" s="3"/>
      <c r="H1504" s="3"/>
      <c r="J1504" s="5"/>
      <c r="K1504" s="3"/>
      <c r="M1504" s="4"/>
    </row>
    <row r="1505" spans="1:13" x14ac:dyDescent="0.45">
      <c r="A1505" s="2"/>
      <c r="D1505" s="2"/>
      <c r="G1505" s="3"/>
      <c r="H1505" s="3"/>
      <c r="J1505" s="5"/>
      <c r="K1505" s="3"/>
      <c r="M1505" s="4"/>
    </row>
    <row r="1506" spans="1:13" x14ac:dyDescent="0.45">
      <c r="A1506" s="2"/>
      <c r="D1506" s="2"/>
      <c r="G1506" s="3"/>
      <c r="H1506" s="3"/>
      <c r="J1506" s="5"/>
      <c r="K1506" s="3"/>
      <c r="M1506" s="4"/>
    </row>
    <row r="1507" spans="1:13" x14ac:dyDescent="0.45">
      <c r="A1507" s="2"/>
      <c r="D1507" s="2"/>
      <c r="G1507" s="3"/>
      <c r="H1507" s="3"/>
      <c r="J1507" s="5"/>
      <c r="K1507" s="3"/>
      <c r="M1507" s="4"/>
    </row>
    <row r="1508" spans="1:13" x14ac:dyDescent="0.45">
      <c r="A1508" s="2"/>
      <c r="D1508" s="2"/>
      <c r="G1508" s="3"/>
      <c r="H1508" s="3"/>
      <c r="J1508" s="5"/>
      <c r="K1508" s="3"/>
      <c r="M1508" s="4"/>
    </row>
    <row r="1509" spans="1:13" x14ac:dyDescent="0.45">
      <c r="A1509" s="2"/>
      <c r="D1509" s="2"/>
      <c r="G1509" s="3"/>
      <c r="H1509" s="3"/>
      <c r="J1509" s="5"/>
      <c r="K1509" s="3"/>
      <c r="M1509" s="4"/>
    </row>
    <row r="1510" spans="1:13" x14ac:dyDescent="0.45">
      <c r="A1510" s="2"/>
      <c r="D1510" s="2"/>
      <c r="G1510" s="3"/>
      <c r="H1510" s="3"/>
      <c r="J1510" s="5"/>
      <c r="K1510" s="3"/>
      <c r="M1510" s="4"/>
    </row>
    <row r="1511" spans="1:13" x14ac:dyDescent="0.45">
      <c r="A1511" s="2"/>
      <c r="D1511" s="2"/>
      <c r="G1511" s="3"/>
      <c r="H1511" s="3"/>
      <c r="J1511" s="5"/>
      <c r="K1511" s="3"/>
      <c r="M1511" s="4"/>
    </row>
    <row r="1512" spans="1:13" x14ac:dyDescent="0.45">
      <c r="A1512" s="2"/>
      <c r="D1512" s="2"/>
      <c r="G1512" s="3"/>
      <c r="H1512" s="3"/>
      <c r="J1512" s="5"/>
      <c r="K1512" s="3"/>
      <c r="M1512" s="4"/>
    </row>
    <row r="1513" spans="1:13" x14ac:dyDescent="0.45">
      <c r="A1513" s="2"/>
      <c r="D1513" s="2"/>
      <c r="G1513" s="3"/>
      <c r="H1513" s="3"/>
      <c r="J1513" s="5"/>
      <c r="K1513" s="3"/>
      <c r="M1513" s="4"/>
    </row>
    <row r="1514" spans="1:13" x14ac:dyDescent="0.45">
      <c r="A1514" s="2"/>
      <c r="D1514" s="2"/>
      <c r="G1514" s="3"/>
      <c r="H1514" s="3"/>
      <c r="J1514" s="5"/>
      <c r="K1514" s="3"/>
      <c r="M1514" s="4"/>
    </row>
    <row r="1515" spans="1:13" x14ac:dyDescent="0.45">
      <c r="A1515" s="2"/>
      <c r="D1515" s="2"/>
      <c r="G1515" s="3"/>
      <c r="H1515" s="3"/>
      <c r="J1515" s="5"/>
      <c r="K1515" s="3"/>
      <c r="M1515" s="4"/>
    </row>
    <row r="1516" spans="1:13" x14ac:dyDescent="0.45">
      <c r="A1516" s="2"/>
      <c r="D1516" s="2"/>
      <c r="G1516" s="3"/>
      <c r="H1516" s="3"/>
      <c r="J1516" s="5"/>
      <c r="K1516" s="3"/>
      <c r="M1516" s="4"/>
    </row>
    <row r="1517" spans="1:13" x14ac:dyDescent="0.45">
      <c r="A1517" s="2"/>
      <c r="D1517" s="2"/>
      <c r="G1517" s="3"/>
      <c r="H1517" s="3"/>
      <c r="J1517" s="5"/>
      <c r="K1517" s="3"/>
      <c r="M1517" s="4"/>
    </row>
    <row r="1518" spans="1:13" x14ac:dyDescent="0.45">
      <c r="A1518" s="2"/>
      <c r="D1518" s="2"/>
      <c r="G1518" s="3"/>
      <c r="H1518" s="3"/>
      <c r="J1518" s="5"/>
      <c r="K1518" s="3"/>
      <c r="M1518" s="4"/>
    </row>
    <row r="1519" spans="1:13" x14ac:dyDescent="0.45">
      <c r="A1519" s="2"/>
      <c r="D1519" s="2"/>
      <c r="G1519" s="3"/>
      <c r="H1519" s="3"/>
      <c r="J1519" s="5"/>
      <c r="K1519" s="3"/>
      <c r="M1519" s="4"/>
    </row>
    <row r="1520" spans="1:13" x14ac:dyDescent="0.45">
      <c r="A1520" s="2"/>
      <c r="D1520" s="2"/>
      <c r="G1520" s="3"/>
      <c r="H1520" s="3"/>
      <c r="J1520" s="5"/>
      <c r="K1520" s="3"/>
      <c r="M1520" s="4"/>
    </row>
    <row r="1521" spans="1:13" x14ac:dyDescent="0.45">
      <c r="A1521" s="2"/>
      <c r="D1521" s="2"/>
      <c r="G1521" s="3"/>
      <c r="H1521" s="3"/>
      <c r="J1521" s="5"/>
      <c r="K1521" s="3"/>
      <c r="M1521" s="4"/>
    </row>
    <row r="1522" spans="1:13" x14ac:dyDescent="0.45">
      <c r="A1522" s="2"/>
      <c r="D1522" s="2"/>
      <c r="G1522" s="3"/>
      <c r="H1522" s="3"/>
      <c r="J1522" s="5"/>
      <c r="K1522" s="3"/>
      <c r="M1522" s="4"/>
    </row>
    <row r="1523" spans="1:13" x14ac:dyDescent="0.45">
      <c r="A1523" s="2"/>
      <c r="D1523" s="2"/>
      <c r="G1523" s="3"/>
      <c r="H1523" s="3"/>
      <c r="J1523" s="5"/>
      <c r="K1523" s="3"/>
      <c r="M1523" s="4"/>
    </row>
    <row r="1524" spans="1:13" x14ac:dyDescent="0.45">
      <c r="A1524" s="2"/>
      <c r="D1524" s="2"/>
      <c r="G1524" s="3"/>
      <c r="H1524" s="3"/>
      <c r="J1524" s="5"/>
      <c r="K1524" s="3"/>
      <c r="M1524" s="4"/>
    </row>
    <row r="1525" spans="1:13" x14ac:dyDescent="0.45">
      <c r="A1525" s="2"/>
      <c r="D1525" s="2"/>
      <c r="G1525" s="3"/>
      <c r="H1525" s="3"/>
      <c r="J1525" s="5"/>
      <c r="K1525" s="3"/>
      <c r="M1525" s="4"/>
    </row>
    <row r="1526" spans="1:13" x14ac:dyDescent="0.45">
      <c r="A1526" s="2"/>
      <c r="D1526" s="2"/>
      <c r="G1526" s="3"/>
      <c r="H1526" s="3"/>
      <c r="J1526" s="5"/>
      <c r="K1526" s="3"/>
      <c r="M1526" s="4"/>
    </row>
    <row r="1527" spans="1:13" x14ac:dyDescent="0.45">
      <c r="A1527" s="2"/>
      <c r="D1527" s="2"/>
      <c r="G1527" s="3"/>
      <c r="H1527" s="3"/>
      <c r="J1527" s="5"/>
      <c r="K1527" s="3"/>
      <c r="M1527" s="4"/>
    </row>
    <row r="1528" spans="1:13" x14ac:dyDescent="0.45">
      <c r="A1528" s="2"/>
      <c r="D1528" s="2"/>
      <c r="G1528" s="3"/>
      <c r="H1528" s="3"/>
      <c r="J1528" s="5"/>
      <c r="K1528" s="3"/>
      <c r="M1528" s="4"/>
    </row>
    <row r="1529" spans="1:13" x14ac:dyDescent="0.45">
      <c r="A1529" s="2"/>
      <c r="D1529" s="2"/>
      <c r="G1529" s="3"/>
      <c r="H1529" s="3"/>
      <c r="J1529" s="5"/>
      <c r="K1529" s="3"/>
      <c r="M1529" s="4"/>
    </row>
    <row r="1530" spans="1:13" x14ac:dyDescent="0.45">
      <c r="A1530" s="2"/>
      <c r="D1530" s="2"/>
      <c r="G1530" s="3"/>
      <c r="H1530" s="3"/>
      <c r="J1530" s="5"/>
      <c r="K1530" s="3"/>
      <c r="M1530" s="4"/>
    </row>
    <row r="1531" spans="1:13" x14ac:dyDescent="0.45">
      <c r="A1531" s="2"/>
      <c r="D1531" s="2"/>
      <c r="G1531" s="3"/>
      <c r="H1531" s="3"/>
      <c r="J1531" s="5"/>
      <c r="K1531" s="3"/>
      <c r="M1531" s="4"/>
    </row>
    <row r="1532" spans="1:13" x14ac:dyDescent="0.45">
      <c r="A1532" s="2"/>
      <c r="D1532" s="2"/>
      <c r="G1532" s="3"/>
      <c r="H1532" s="3"/>
      <c r="J1532" s="5"/>
      <c r="K1532" s="3"/>
      <c r="M1532" s="4"/>
    </row>
    <row r="1533" spans="1:13" x14ac:dyDescent="0.45">
      <c r="A1533" s="2"/>
      <c r="D1533" s="2"/>
      <c r="G1533" s="3"/>
      <c r="H1533" s="3"/>
      <c r="J1533" s="5"/>
      <c r="K1533" s="3"/>
      <c r="M1533" s="4"/>
    </row>
    <row r="1534" spans="1:13" x14ac:dyDescent="0.45">
      <c r="A1534" s="2"/>
      <c r="D1534" s="2"/>
      <c r="G1534" s="3"/>
      <c r="H1534" s="3"/>
      <c r="J1534" s="5"/>
      <c r="K1534" s="3"/>
      <c r="M1534" s="4"/>
    </row>
    <row r="1535" spans="1:13" x14ac:dyDescent="0.45">
      <c r="A1535" s="2"/>
      <c r="D1535" s="2"/>
      <c r="G1535" s="3"/>
      <c r="H1535" s="3"/>
      <c r="J1535" s="5"/>
      <c r="K1535" s="3"/>
      <c r="M1535" s="4"/>
    </row>
    <row r="1536" spans="1:13" x14ac:dyDescent="0.45">
      <c r="A1536" s="2"/>
      <c r="D1536" s="2"/>
      <c r="G1536" s="3"/>
      <c r="H1536" s="3"/>
      <c r="J1536" s="5"/>
      <c r="K1536" s="3"/>
      <c r="M1536" s="4"/>
    </row>
    <row r="1537" spans="1:13" x14ac:dyDescent="0.45">
      <c r="A1537" s="2"/>
      <c r="D1537" s="2"/>
      <c r="G1537" s="3"/>
      <c r="H1537" s="3"/>
      <c r="J1537" s="5"/>
      <c r="K1537" s="3"/>
      <c r="M1537" s="4"/>
    </row>
    <row r="1538" spans="1:13" x14ac:dyDescent="0.45">
      <c r="A1538" s="2"/>
      <c r="D1538" s="2"/>
      <c r="G1538" s="3"/>
      <c r="H1538" s="3"/>
      <c r="J1538" s="5"/>
      <c r="K1538" s="3"/>
      <c r="M1538" s="4"/>
    </row>
    <row r="1539" spans="1:13" x14ac:dyDescent="0.45">
      <c r="A1539" s="2"/>
      <c r="D1539" s="2"/>
      <c r="G1539" s="3"/>
      <c r="H1539" s="3"/>
      <c r="J1539" s="5"/>
      <c r="K1539" s="3"/>
      <c r="M1539" s="4"/>
    </row>
    <row r="1540" spans="1:13" x14ac:dyDescent="0.45">
      <c r="A1540" s="2"/>
      <c r="D1540" s="2"/>
      <c r="G1540" s="3"/>
      <c r="H1540" s="3"/>
      <c r="J1540" s="5"/>
      <c r="K1540" s="3"/>
      <c r="M1540" s="4"/>
    </row>
    <row r="1541" spans="1:13" x14ac:dyDescent="0.45">
      <c r="A1541" s="2"/>
      <c r="D1541" s="2"/>
      <c r="G1541" s="3"/>
      <c r="H1541" s="3"/>
      <c r="J1541" s="5"/>
      <c r="K1541" s="3"/>
      <c r="M1541" s="4"/>
    </row>
    <row r="1542" spans="1:13" x14ac:dyDescent="0.45">
      <c r="A1542" s="2"/>
      <c r="D1542" s="2"/>
      <c r="G1542" s="3"/>
      <c r="H1542" s="3"/>
      <c r="J1542" s="5"/>
      <c r="K1542" s="3"/>
      <c r="M1542" s="4"/>
    </row>
    <row r="1543" spans="1:13" x14ac:dyDescent="0.45">
      <c r="A1543" s="2"/>
      <c r="D1543" s="2"/>
      <c r="G1543" s="3"/>
      <c r="H1543" s="3"/>
      <c r="J1543" s="5"/>
      <c r="K1543" s="3"/>
      <c r="M1543" s="4"/>
    </row>
    <row r="1544" spans="1:13" x14ac:dyDescent="0.45">
      <c r="A1544" s="2"/>
      <c r="D1544" s="2"/>
      <c r="G1544" s="3"/>
      <c r="H1544" s="3"/>
      <c r="J1544" s="5"/>
      <c r="K1544" s="3"/>
      <c r="M1544" s="4"/>
    </row>
    <row r="1545" spans="1:13" x14ac:dyDescent="0.45">
      <c r="A1545" s="2"/>
      <c r="D1545" s="2"/>
      <c r="G1545" s="3"/>
      <c r="H1545" s="3"/>
      <c r="J1545" s="5"/>
      <c r="K1545" s="3"/>
      <c r="M1545" s="4"/>
    </row>
    <row r="1546" spans="1:13" x14ac:dyDescent="0.45">
      <c r="A1546" s="2"/>
      <c r="D1546" s="2"/>
      <c r="G1546" s="3"/>
      <c r="H1546" s="3"/>
      <c r="J1546" s="5"/>
      <c r="K1546" s="3"/>
      <c r="M1546" s="4"/>
    </row>
    <row r="1547" spans="1:13" x14ac:dyDescent="0.45">
      <c r="A1547" s="2"/>
      <c r="D1547" s="2"/>
      <c r="G1547" s="3"/>
      <c r="H1547" s="3"/>
      <c r="J1547" s="5"/>
      <c r="K1547" s="3"/>
      <c r="M1547" s="4"/>
    </row>
    <row r="1548" spans="1:13" x14ac:dyDescent="0.45">
      <c r="A1548" s="2"/>
      <c r="D1548" s="2"/>
      <c r="G1548" s="3"/>
      <c r="H1548" s="3"/>
      <c r="J1548" s="5"/>
      <c r="K1548" s="3"/>
      <c r="M1548" s="4"/>
    </row>
    <row r="1549" spans="1:13" x14ac:dyDescent="0.45">
      <c r="A1549" s="2"/>
      <c r="D1549" s="2"/>
      <c r="G1549" s="3"/>
      <c r="H1549" s="3"/>
      <c r="J1549" s="5"/>
      <c r="K1549" s="3"/>
      <c r="M1549" s="4"/>
    </row>
    <row r="1550" spans="1:13" x14ac:dyDescent="0.45">
      <c r="A1550" s="2"/>
      <c r="D1550" s="2"/>
      <c r="G1550" s="3"/>
      <c r="H1550" s="3"/>
      <c r="J1550" s="5"/>
      <c r="K1550" s="3"/>
      <c r="M1550" s="4"/>
    </row>
    <row r="1551" spans="1:13" x14ac:dyDescent="0.45">
      <c r="A1551" s="2"/>
      <c r="D1551" s="2"/>
      <c r="G1551" s="3"/>
      <c r="H1551" s="3"/>
      <c r="J1551" s="5"/>
      <c r="K1551" s="3"/>
      <c r="M1551" s="4"/>
    </row>
    <row r="1552" spans="1:13" x14ac:dyDescent="0.45">
      <c r="A1552" s="2"/>
      <c r="D1552" s="2"/>
      <c r="G1552" s="3"/>
      <c r="H1552" s="3"/>
      <c r="J1552" s="5"/>
      <c r="K1552" s="3"/>
      <c r="M1552" s="4"/>
    </row>
    <row r="1553" spans="1:13" x14ac:dyDescent="0.45">
      <c r="A1553" s="2"/>
      <c r="D1553" s="2"/>
      <c r="G1553" s="3"/>
      <c r="H1553" s="3"/>
      <c r="J1553" s="5"/>
      <c r="K1553" s="3"/>
      <c r="M1553" s="4"/>
    </row>
    <row r="1554" spans="1:13" x14ac:dyDescent="0.45">
      <c r="A1554" s="2"/>
      <c r="D1554" s="2"/>
      <c r="G1554" s="3"/>
      <c r="H1554" s="3"/>
      <c r="J1554" s="5"/>
      <c r="K1554" s="3"/>
      <c r="M1554" s="4"/>
    </row>
    <row r="1555" spans="1:13" x14ac:dyDescent="0.45">
      <c r="A1555" s="2"/>
      <c r="D1555" s="2"/>
      <c r="G1555" s="3"/>
      <c r="H1555" s="3"/>
      <c r="J1555" s="5"/>
      <c r="K1555" s="3"/>
      <c r="M1555" s="4"/>
    </row>
    <row r="1556" spans="1:13" x14ac:dyDescent="0.45">
      <c r="A1556" s="2"/>
      <c r="D1556" s="2"/>
      <c r="G1556" s="3"/>
      <c r="H1556" s="3"/>
      <c r="J1556" s="5"/>
      <c r="K1556" s="3"/>
      <c r="M1556" s="4"/>
    </row>
    <row r="1557" spans="1:13" x14ac:dyDescent="0.45">
      <c r="A1557" s="2"/>
      <c r="D1557" s="2"/>
      <c r="G1557" s="3"/>
      <c r="H1557" s="3"/>
      <c r="J1557" s="5"/>
      <c r="K1557" s="3"/>
      <c r="M1557" s="4"/>
    </row>
    <row r="1558" spans="1:13" x14ac:dyDescent="0.45">
      <c r="A1558" s="2"/>
      <c r="D1558" s="2"/>
      <c r="G1558" s="3"/>
      <c r="H1558" s="3"/>
      <c r="J1558" s="5"/>
      <c r="K1558" s="3"/>
      <c r="M1558" s="4"/>
    </row>
    <row r="1559" spans="1:13" x14ac:dyDescent="0.45">
      <c r="A1559" s="2"/>
      <c r="D1559" s="2"/>
      <c r="G1559" s="3"/>
      <c r="H1559" s="3"/>
      <c r="J1559" s="5"/>
      <c r="K1559" s="3"/>
      <c r="M1559" s="4"/>
    </row>
    <row r="1560" spans="1:13" x14ac:dyDescent="0.45">
      <c r="A1560" s="2"/>
      <c r="D1560" s="2"/>
      <c r="G1560" s="3"/>
      <c r="H1560" s="3"/>
      <c r="J1560" s="5"/>
      <c r="K1560" s="3"/>
      <c r="M1560" s="4"/>
    </row>
    <row r="1561" spans="1:13" x14ac:dyDescent="0.45">
      <c r="A1561" s="2"/>
      <c r="D1561" s="2"/>
      <c r="G1561" s="3"/>
      <c r="H1561" s="3"/>
      <c r="J1561" s="5"/>
      <c r="K1561" s="3"/>
      <c r="M1561" s="4"/>
    </row>
    <row r="1562" spans="1:13" x14ac:dyDescent="0.45">
      <c r="A1562" s="2"/>
      <c r="D1562" s="2"/>
      <c r="G1562" s="3"/>
      <c r="H1562" s="3"/>
      <c r="J1562" s="5"/>
      <c r="K1562" s="3"/>
      <c r="M1562" s="4"/>
    </row>
    <row r="1563" spans="1:13" x14ac:dyDescent="0.45">
      <c r="A1563" s="2"/>
      <c r="D1563" s="2"/>
      <c r="G1563" s="3"/>
      <c r="H1563" s="3"/>
      <c r="J1563" s="5"/>
      <c r="K1563" s="3"/>
      <c r="M1563" s="4"/>
    </row>
    <row r="1564" spans="1:13" x14ac:dyDescent="0.45">
      <c r="A1564" s="2"/>
      <c r="D1564" s="2"/>
      <c r="G1564" s="3"/>
      <c r="H1564" s="3"/>
      <c r="J1564" s="5"/>
      <c r="K1564" s="3"/>
      <c r="M1564" s="4"/>
    </row>
    <row r="1565" spans="1:13" x14ac:dyDescent="0.45">
      <c r="A1565" s="2"/>
      <c r="D1565" s="2"/>
      <c r="G1565" s="3"/>
      <c r="H1565" s="3"/>
      <c r="J1565" s="5"/>
      <c r="K1565" s="3"/>
      <c r="M1565" s="4"/>
    </row>
    <row r="1566" spans="1:13" x14ac:dyDescent="0.45">
      <c r="A1566" s="2"/>
      <c r="D1566" s="2"/>
      <c r="G1566" s="3"/>
      <c r="H1566" s="3"/>
      <c r="J1566" s="5"/>
      <c r="K1566" s="3"/>
      <c r="M1566" s="4"/>
    </row>
    <row r="1567" spans="1:13" x14ac:dyDescent="0.45">
      <c r="A1567" s="2"/>
      <c r="D1567" s="2"/>
      <c r="G1567" s="3"/>
      <c r="H1567" s="3"/>
      <c r="J1567" s="5"/>
      <c r="K1567" s="3"/>
      <c r="M1567" s="4"/>
    </row>
    <row r="1568" spans="1:13" x14ac:dyDescent="0.45">
      <c r="A1568" s="2"/>
      <c r="D1568" s="2"/>
      <c r="G1568" s="3"/>
      <c r="H1568" s="3"/>
      <c r="J1568" s="5"/>
      <c r="K1568" s="3"/>
      <c r="M1568" s="4"/>
    </row>
    <row r="1569" spans="1:13" x14ac:dyDescent="0.45">
      <c r="A1569" s="2"/>
      <c r="D1569" s="2"/>
      <c r="G1569" s="3"/>
      <c r="H1569" s="3"/>
      <c r="J1569" s="5"/>
      <c r="K1569" s="3"/>
      <c r="M1569" s="4"/>
    </row>
    <row r="1570" spans="1:13" x14ac:dyDescent="0.45">
      <c r="A1570" s="2"/>
      <c r="D1570" s="2"/>
      <c r="G1570" s="3"/>
      <c r="H1570" s="3"/>
      <c r="J1570" s="5"/>
      <c r="K1570" s="3"/>
      <c r="M1570" s="4"/>
    </row>
    <row r="1571" spans="1:13" x14ac:dyDescent="0.45">
      <c r="A1571" s="2"/>
      <c r="D1571" s="2"/>
      <c r="E1571" s="3"/>
      <c r="G1571" s="3"/>
      <c r="H1571" s="3"/>
      <c r="J1571" s="5"/>
      <c r="K1571" s="3"/>
      <c r="M1571" s="4"/>
    </row>
    <row r="1572" spans="1:13" x14ac:dyDescent="0.45">
      <c r="A1572" s="2"/>
      <c r="D1572" s="2"/>
      <c r="E1572" s="3"/>
      <c r="G1572" s="3"/>
      <c r="H1572" s="3"/>
      <c r="J1572" s="5"/>
      <c r="K1572" s="3"/>
      <c r="M1572" s="4"/>
    </row>
    <row r="1573" spans="1:13" x14ac:dyDescent="0.45">
      <c r="A1573" s="2"/>
      <c r="D1573" s="2"/>
      <c r="E1573" s="3"/>
      <c r="G1573" s="3"/>
      <c r="H1573" s="3"/>
      <c r="J1573" s="5"/>
      <c r="K1573" s="3"/>
      <c r="M1573" s="4"/>
    </row>
    <row r="1574" spans="1:13" x14ac:dyDescent="0.45">
      <c r="A1574" s="2"/>
      <c r="D1574" s="2"/>
      <c r="E1574" s="3"/>
      <c r="G1574" s="3"/>
      <c r="H1574" s="3"/>
      <c r="J1574" s="5"/>
      <c r="K1574" s="3"/>
      <c r="M1574" s="4"/>
    </row>
    <row r="1575" spans="1:13" x14ac:dyDescent="0.45">
      <c r="A1575" s="2"/>
      <c r="D1575" s="2"/>
      <c r="E1575" s="3"/>
      <c r="G1575" s="3"/>
      <c r="H1575" s="3"/>
      <c r="J1575" s="5"/>
      <c r="K1575" s="3"/>
      <c r="M1575" s="4"/>
    </row>
    <row r="1576" spans="1:13" x14ac:dyDescent="0.45">
      <c r="A1576" s="2"/>
      <c r="D1576" s="2"/>
      <c r="E1576" s="3"/>
      <c r="G1576" s="3"/>
      <c r="H1576" s="3"/>
      <c r="J1576" s="5"/>
      <c r="K1576" s="3"/>
      <c r="M1576" s="4"/>
    </row>
    <row r="1577" spans="1:13" x14ac:dyDescent="0.45">
      <c r="A1577" s="2"/>
      <c r="D1577" s="2"/>
      <c r="E1577" s="3"/>
      <c r="G1577" s="3"/>
      <c r="H1577" s="3"/>
      <c r="J1577" s="5"/>
      <c r="K1577" s="3"/>
      <c r="M1577" s="4"/>
    </row>
    <row r="1578" spans="1:13" x14ac:dyDescent="0.45">
      <c r="A1578" s="2"/>
      <c r="D1578" s="2"/>
      <c r="E1578" s="3"/>
      <c r="G1578" s="3"/>
      <c r="H1578" s="3"/>
      <c r="J1578" s="5"/>
      <c r="K1578" s="3"/>
      <c r="M1578" s="4"/>
    </row>
    <row r="1579" spans="1:13" x14ac:dyDescent="0.45">
      <c r="A1579" s="2"/>
      <c r="D1579" s="2"/>
      <c r="E1579" s="3"/>
      <c r="G1579" s="3"/>
      <c r="H1579" s="3"/>
      <c r="J1579" s="5"/>
      <c r="K1579" s="3"/>
      <c r="M1579" s="4"/>
    </row>
    <row r="1580" spans="1:13" x14ac:dyDescent="0.45">
      <c r="A1580" s="2"/>
      <c r="D1580" s="2"/>
      <c r="E1580" s="3"/>
      <c r="G1580" s="3"/>
      <c r="H1580" s="3"/>
      <c r="J1580" s="5"/>
      <c r="K1580" s="3"/>
      <c r="M1580" s="4"/>
    </row>
    <row r="1581" spans="1:13" x14ac:dyDescent="0.45">
      <c r="A1581" s="2"/>
      <c r="D1581" s="2"/>
      <c r="E1581" s="3"/>
      <c r="G1581" s="3"/>
      <c r="H1581" s="3"/>
      <c r="J1581" s="5"/>
      <c r="K1581" s="3"/>
      <c r="M1581" s="4"/>
    </row>
    <row r="1582" spans="1:13" x14ac:dyDescent="0.45">
      <c r="A1582" s="2"/>
      <c r="D1582" s="2"/>
      <c r="E1582" s="3"/>
      <c r="G1582" s="3"/>
      <c r="H1582" s="3"/>
      <c r="J1582" s="5"/>
      <c r="K1582" s="3"/>
      <c r="M1582" s="4"/>
    </row>
    <row r="1583" spans="1:13" x14ac:dyDescent="0.45">
      <c r="A1583" s="2"/>
      <c r="D1583" s="2"/>
      <c r="E1583" s="3"/>
      <c r="G1583" s="3"/>
      <c r="H1583" s="3"/>
      <c r="J1583" s="5"/>
      <c r="K1583" s="3"/>
      <c r="M1583" s="4"/>
    </row>
    <row r="1584" spans="1:13" x14ac:dyDescent="0.45">
      <c r="A1584" s="2"/>
      <c r="D1584" s="2"/>
      <c r="E1584" s="3"/>
      <c r="G1584" s="3"/>
      <c r="H1584" s="3"/>
      <c r="J1584" s="5"/>
      <c r="K1584" s="3"/>
      <c r="M1584" s="4"/>
    </row>
    <row r="1585" spans="1:13" x14ac:dyDescent="0.45">
      <c r="A1585" s="2"/>
      <c r="D1585" s="2"/>
      <c r="E1585" s="3"/>
      <c r="G1585" s="3"/>
      <c r="H1585" s="3"/>
      <c r="J1585" s="5"/>
      <c r="K1585" s="3"/>
      <c r="M1585" s="4"/>
    </row>
    <row r="1586" spans="1:13" x14ac:dyDescent="0.45">
      <c r="A1586" s="2"/>
      <c r="D1586" s="2"/>
      <c r="E1586" s="3"/>
      <c r="G1586" s="3"/>
      <c r="H1586" s="3"/>
      <c r="J1586" s="5"/>
      <c r="K1586" s="3"/>
      <c r="M1586" s="4"/>
    </row>
    <row r="1587" spans="1:13" x14ac:dyDescent="0.45">
      <c r="A1587" s="2"/>
      <c r="D1587" s="2"/>
      <c r="E1587" s="3"/>
      <c r="G1587" s="3"/>
      <c r="H1587" s="3"/>
      <c r="J1587" s="5"/>
      <c r="K1587" s="3"/>
      <c r="M1587" s="4"/>
    </row>
    <row r="1588" spans="1:13" x14ac:dyDescent="0.45">
      <c r="A1588" s="2"/>
      <c r="D1588" s="2"/>
      <c r="E1588" s="3"/>
      <c r="G1588" s="3"/>
      <c r="H1588" s="3"/>
      <c r="J1588" s="5"/>
      <c r="K1588" s="3"/>
      <c r="M1588" s="4"/>
    </row>
    <row r="1589" spans="1:13" x14ac:dyDescent="0.45">
      <c r="A1589" s="2"/>
      <c r="D1589" s="2"/>
      <c r="E1589" s="3"/>
      <c r="G1589" s="3"/>
      <c r="H1589" s="3"/>
      <c r="J1589" s="5"/>
      <c r="K1589" s="3"/>
      <c r="M1589" s="4"/>
    </row>
    <row r="1590" spans="1:13" x14ac:dyDescent="0.45">
      <c r="A1590" s="2"/>
      <c r="D1590" s="2"/>
      <c r="E1590" s="3"/>
      <c r="G1590" s="3"/>
      <c r="H1590" s="3"/>
      <c r="J1590" s="5"/>
      <c r="K1590" s="3"/>
      <c r="M1590" s="4"/>
    </row>
    <row r="1591" spans="1:13" x14ac:dyDescent="0.45">
      <c r="A1591" s="2"/>
      <c r="D1591" s="2"/>
      <c r="E1591" s="3"/>
      <c r="G1591" s="3"/>
      <c r="H1591" s="3"/>
      <c r="J1591" s="5"/>
      <c r="K1591" s="3"/>
      <c r="M1591" s="4"/>
    </row>
    <row r="1592" spans="1:13" x14ac:dyDescent="0.45">
      <c r="A1592" s="2"/>
      <c r="D1592" s="2"/>
      <c r="E1592" s="3"/>
      <c r="G1592" s="3"/>
      <c r="H1592" s="3"/>
      <c r="J1592" s="5"/>
      <c r="K1592" s="3"/>
      <c r="M1592" s="4"/>
    </row>
    <row r="1593" spans="1:13" x14ac:dyDescent="0.45">
      <c r="A1593" s="2"/>
      <c r="D1593" s="2"/>
      <c r="E1593" s="3"/>
      <c r="G1593" s="3"/>
      <c r="H1593" s="3"/>
      <c r="J1593" s="5"/>
      <c r="K1593" s="3"/>
      <c r="M1593" s="4"/>
    </row>
    <row r="1594" spans="1:13" x14ac:dyDescent="0.45">
      <c r="A1594" s="2"/>
      <c r="D1594" s="2"/>
      <c r="E1594" s="3"/>
      <c r="G1594" s="3"/>
      <c r="H1594" s="3"/>
      <c r="J1594" s="5"/>
      <c r="K1594" s="3"/>
      <c r="M1594" s="4"/>
    </row>
    <row r="1595" spans="1:13" x14ac:dyDescent="0.45">
      <c r="A1595" s="2"/>
      <c r="D1595" s="2"/>
      <c r="E1595" s="3"/>
      <c r="G1595" s="3"/>
      <c r="H1595" s="3"/>
      <c r="J1595" s="5"/>
      <c r="K1595" s="3"/>
      <c r="M1595" s="4"/>
    </row>
    <row r="1596" spans="1:13" x14ac:dyDescent="0.45">
      <c r="A1596" s="2"/>
      <c r="D1596" s="2"/>
      <c r="E1596" s="3"/>
      <c r="G1596" s="3"/>
      <c r="H1596" s="3"/>
      <c r="J1596" s="5"/>
      <c r="K1596" s="3"/>
      <c r="M1596" s="4"/>
    </row>
    <row r="1597" spans="1:13" x14ac:dyDescent="0.45">
      <c r="A1597" s="2"/>
      <c r="D1597" s="2"/>
      <c r="E1597" s="3"/>
      <c r="G1597" s="3"/>
      <c r="H1597" s="3"/>
      <c r="J1597" s="5"/>
      <c r="K1597" s="3"/>
      <c r="M1597" s="4"/>
    </row>
    <row r="1598" spans="1:13" x14ac:dyDescent="0.45">
      <c r="A1598" s="2"/>
      <c r="D1598" s="2"/>
      <c r="E1598" s="3"/>
      <c r="G1598" s="3"/>
      <c r="H1598" s="3"/>
      <c r="J1598" s="5"/>
      <c r="K1598" s="3"/>
      <c r="M1598" s="4"/>
    </row>
    <row r="1599" spans="1:13" x14ac:dyDescent="0.45">
      <c r="A1599" s="2"/>
      <c r="D1599" s="2"/>
      <c r="E1599" s="3"/>
      <c r="G1599" s="3"/>
      <c r="H1599" s="3"/>
      <c r="J1599" s="5"/>
      <c r="K1599" s="3"/>
      <c r="M1599" s="4"/>
    </row>
    <row r="1600" spans="1:13" x14ac:dyDescent="0.45">
      <c r="A1600" s="2"/>
      <c r="D1600" s="2"/>
      <c r="E1600" s="3"/>
      <c r="G1600" s="3"/>
      <c r="H1600" s="3"/>
      <c r="J1600" s="5"/>
      <c r="K1600" s="3"/>
      <c r="M1600" s="4"/>
    </row>
    <row r="1601" spans="1:13" x14ac:dyDescent="0.45">
      <c r="A1601" s="2"/>
      <c r="D1601" s="2"/>
      <c r="E1601" s="3"/>
      <c r="G1601" s="3"/>
      <c r="H1601" s="3"/>
      <c r="J1601" s="5"/>
      <c r="K1601" s="3"/>
      <c r="M1601" s="4"/>
    </row>
    <row r="1602" spans="1:13" x14ac:dyDescent="0.45">
      <c r="A1602" s="2"/>
      <c r="D1602" s="2"/>
      <c r="E1602" s="3"/>
      <c r="G1602" s="3"/>
      <c r="H1602" s="3"/>
      <c r="J1602" s="5"/>
      <c r="K1602" s="3"/>
      <c r="M1602" s="4"/>
    </row>
    <row r="1603" spans="1:13" x14ac:dyDescent="0.45">
      <c r="A1603" s="2"/>
      <c r="D1603" s="2"/>
      <c r="E1603" s="3"/>
      <c r="G1603" s="3"/>
      <c r="H1603" s="3"/>
      <c r="J1603" s="5"/>
      <c r="K1603" s="3"/>
      <c r="M1603" s="4"/>
    </row>
    <row r="1604" spans="1:13" x14ac:dyDescent="0.45">
      <c r="A1604" s="2"/>
      <c r="D1604" s="2"/>
      <c r="E1604" s="3"/>
      <c r="G1604" s="3"/>
      <c r="H1604" s="3"/>
      <c r="J1604" s="5"/>
      <c r="K1604" s="3"/>
      <c r="M1604" s="4"/>
    </row>
    <row r="1605" spans="1:13" x14ac:dyDescent="0.45">
      <c r="A1605" s="2"/>
      <c r="D1605" s="2"/>
      <c r="E1605" s="3"/>
      <c r="G1605" s="3"/>
      <c r="H1605" s="3"/>
      <c r="J1605" s="5"/>
      <c r="K1605" s="3"/>
      <c r="M1605" s="4"/>
    </row>
    <row r="1606" spans="1:13" x14ac:dyDescent="0.45">
      <c r="A1606" s="2"/>
      <c r="D1606" s="2"/>
      <c r="E1606" s="3"/>
      <c r="G1606" s="3"/>
      <c r="H1606" s="3"/>
      <c r="J1606" s="5"/>
      <c r="K1606" s="3"/>
      <c r="M1606" s="4"/>
    </row>
    <row r="1607" spans="1:13" x14ac:dyDescent="0.45">
      <c r="A1607" s="2"/>
      <c r="D1607" s="2"/>
      <c r="E1607" s="3"/>
      <c r="G1607" s="3"/>
      <c r="H1607" s="3"/>
      <c r="J1607" s="5"/>
      <c r="K1607" s="3"/>
      <c r="M1607" s="4"/>
    </row>
    <row r="1608" spans="1:13" x14ac:dyDescent="0.45">
      <c r="A1608" s="2"/>
      <c r="D1608" s="2"/>
      <c r="E1608" s="3"/>
      <c r="G1608" s="3"/>
      <c r="H1608" s="3"/>
      <c r="J1608" s="5"/>
      <c r="K1608" s="3"/>
      <c r="M1608" s="4"/>
    </row>
    <row r="1609" spans="1:13" x14ac:dyDescent="0.45">
      <c r="A1609" s="2"/>
      <c r="D1609" s="2"/>
      <c r="E1609" s="3"/>
      <c r="G1609" s="3"/>
      <c r="H1609" s="3"/>
      <c r="J1609" s="5"/>
      <c r="K1609" s="3"/>
      <c r="M1609" s="4"/>
    </row>
    <row r="1610" spans="1:13" x14ac:dyDescent="0.45">
      <c r="A1610" s="2"/>
      <c r="D1610" s="2"/>
      <c r="E1610" s="3"/>
      <c r="G1610" s="3"/>
      <c r="H1610" s="3"/>
      <c r="J1610" s="5"/>
      <c r="K1610" s="3"/>
      <c r="M1610" s="4"/>
    </row>
    <row r="1611" spans="1:13" x14ac:dyDescent="0.45">
      <c r="A1611" s="2"/>
      <c r="D1611" s="2"/>
      <c r="E1611" s="3"/>
      <c r="G1611" s="3"/>
      <c r="H1611" s="3"/>
      <c r="J1611" s="5"/>
      <c r="K1611" s="3"/>
      <c r="M1611" s="4"/>
    </row>
    <row r="1612" spans="1:13" x14ac:dyDescent="0.45">
      <c r="A1612" s="2"/>
      <c r="D1612" s="2"/>
      <c r="E1612" s="3"/>
      <c r="G1612" s="3"/>
      <c r="H1612" s="3"/>
      <c r="J1612" s="5"/>
      <c r="K1612" s="3"/>
      <c r="M1612" s="4"/>
    </row>
    <row r="1613" spans="1:13" x14ac:dyDescent="0.45">
      <c r="A1613" s="2"/>
      <c r="D1613" s="2"/>
      <c r="E1613" s="3"/>
      <c r="G1613" s="3"/>
      <c r="H1613" s="3"/>
      <c r="J1613" s="5"/>
      <c r="K1613" s="3"/>
      <c r="M1613" s="4"/>
    </row>
    <row r="1614" spans="1:13" x14ac:dyDescent="0.45">
      <c r="A1614" s="2"/>
      <c r="D1614" s="2"/>
      <c r="E1614" s="3"/>
      <c r="G1614" s="3"/>
      <c r="H1614" s="3"/>
      <c r="J1614" s="5"/>
      <c r="K1614" s="3"/>
      <c r="M1614" s="4"/>
    </row>
    <row r="1615" spans="1:13" x14ac:dyDescent="0.45">
      <c r="A1615" s="2"/>
      <c r="D1615" s="2"/>
      <c r="E1615" s="3"/>
      <c r="G1615" s="3"/>
      <c r="H1615" s="3"/>
      <c r="J1615" s="5"/>
      <c r="K1615" s="3"/>
      <c r="M1615" s="4"/>
    </row>
    <row r="1616" spans="1:13" x14ac:dyDescent="0.45">
      <c r="A1616" s="2"/>
      <c r="D1616" s="2"/>
      <c r="E1616" s="3"/>
      <c r="G1616" s="3"/>
      <c r="H1616" s="3"/>
      <c r="J1616" s="5"/>
      <c r="K1616" s="3"/>
      <c r="M1616" s="4"/>
    </row>
    <row r="1617" spans="1:13" x14ac:dyDescent="0.45">
      <c r="A1617" s="2"/>
      <c r="D1617" s="2"/>
      <c r="E1617" s="3"/>
      <c r="G1617" s="3"/>
      <c r="H1617" s="3"/>
      <c r="J1617" s="5"/>
      <c r="K1617" s="3"/>
      <c r="M1617" s="4"/>
    </row>
    <row r="1618" spans="1:13" x14ac:dyDescent="0.45">
      <c r="A1618" s="2"/>
      <c r="D1618" s="2"/>
      <c r="E1618" s="3"/>
      <c r="G1618" s="3"/>
      <c r="H1618" s="3"/>
      <c r="J1618" s="5"/>
      <c r="K1618" s="3"/>
      <c r="M1618" s="4"/>
    </row>
    <row r="1619" spans="1:13" x14ac:dyDescent="0.45">
      <c r="A1619" s="2"/>
      <c r="D1619" s="2"/>
      <c r="E1619" s="3"/>
      <c r="G1619" s="3"/>
      <c r="H1619" s="3"/>
      <c r="J1619" s="5"/>
      <c r="K1619" s="3"/>
      <c r="M1619" s="4"/>
    </row>
  </sheetData>
  <mergeCells count="4">
    <mergeCell ref="A1:B1"/>
    <mergeCell ref="D1:E1"/>
    <mergeCell ref="P28:T28"/>
    <mergeCell ref="P29:T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D5BA-4E4A-4C57-8BD2-AF4FE56017E3}">
  <dimension ref="B2:N22"/>
  <sheetViews>
    <sheetView showGridLines="0" topLeftCell="B1" workbookViewId="0">
      <selection activeCell="N2" sqref="N2"/>
    </sheetView>
  </sheetViews>
  <sheetFormatPr defaultRowHeight="14.25" x14ac:dyDescent="0.45"/>
  <cols>
    <col min="2" max="2" width="16.33203125" bestFit="1" customWidth="1"/>
    <col min="3" max="3" width="11" bestFit="1" customWidth="1"/>
    <col min="4" max="4" width="10.86328125" bestFit="1" customWidth="1"/>
    <col min="5" max="5" width="12.796875" bestFit="1" customWidth="1"/>
    <col min="6" max="6" width="14.06640625" bestFit="1" customWidth="1"/>
    <col min="9" max="9" width="18.796875" bestFit="1" customWidth="1"/>
    <col min="12" max="12" width="14.53125" bestFit="1" customWidth="1"/>
    <col min="14" max="14" width="34.73046875" bestFit="1" customWidth="1"/>
  </cols>
  <sheetData>
    <row r="2" spans="2:14" x14ac:dyDescent="0.45">
      <c r="D2" s="17" t="s">
        <v>16</v>
      </c>
      <c r="E2" s="17"/>
      <c r="F2" s="17" t="s">
        <v>17</v>
      </c>
      <c r="G2" s="17"/>
      <c r="H2" s="17" t="s">
        <v>18</v>
      </c>
      <c r="I2" s="17"/>
      <c r="J2" s="17" t="s">
        <v>17</v>
      </c>
      <c r="K2" s="17"/>
      <c r="L2" s="17" t="s">
        <v>19</v>
      </c>
      <c r="M2" s="17"/>
      <c r="N2" s="17" t="s">
        <v>37</v>
      </c>
    </row>
    <row r="3" spans="2:14" x14ac:dyDescent="0.45">
      <c r="B3" s="2">
        <v>45943</v>
      </c>
      <c r="D3">
        <v>250</v>
      </c>
      <c r="E3" t="s">
        <v>28</v>
      </c>
      <c r="F3" s="18">
        <v>2104.25</v>
      </c>
      <c r="H3" s="19">
        <f t="shared" ref="H3:H8" si="0">+(F3/J3)*D3</f>
        <v>493.19129986406034</v>
      </c>
      <c r="I3" t="s">
        <v>29</v>
      </c>
      <c r="J3" s="18">
        <v>1066.6500000000001</v>
      </c>
      <c r="L3" s="20">
        <f>+ 1 - ((F3/J3)/N3)</f>
        <v>1.345101935150006E-2</v>
      </c>
      <c r="N3" s="21">
        <f>+'Bajaj Finserv'!J3/'Bajaj Finserv'!G3</f>
        <v>1.9996627011458268</v>
      </c>
    </row>
    <row r="4" spans="2:14" x14ac:dyDescent="0.45">
      <c r="B4" s="2">
        <f>+B3+7</f>
        <v>45950</v>
      </c>
      <c r="D4">
        <v>50</v>
      </c>
      <c r="E4" t="s">
        <v>28</v>
      </c>
      <c r="F4" s="18">
        <v>2070</v>
      </c>
      <c r="H4" s="19">
        <f t="shared" si="0"/>
        <v>97.032766136970878</v>
      </c>
      <c r="I4" t="s">
        <v>29</v>
      </c>
      <c r="J4" s="18">
        <v>1066.6500000000001</v>
      </c>
      <c r="L4" s="20">
        <f t="shared" ref="L4:L8" si="1">+ 1 - ((F4/J4)/N4)</f>
        <v>2.9508665822789659E-2</v>
      </c>
      <c r="N4" s="21">
        <v>1.9996627011458268</v>
      </c>
    </row>
    <row r="5" spans="2:14" x14ac:dyDescent="0.45">
      <c r="B5" s="2">
        <f>+B4+7</f>
        <v>45957</v>
      </c>
      <c r="D5">
        <v>50</v>
      </c>
      <c r="E5" t="s">
        <v>28</v>
      </c>
      <c r="F5" s="18">
        <v>2027</v>
      </c>
      <c r="H5" s="19">
        <f t="shared" si="0"/>
        <v>95.017109642338156</v>
      </c>
      <c r="I5" t="s">
        <v>29</v>
      </c>
      <c r="J5" s="18">
        <v>1066.6500000000001</v>
      </c>
      <c r="L5" s="20">
        <f t="shared" si="1"/>
        <v>4.9668630735649644E-2</v>
      </c>
      <c r="N5" s="21">
        <v>1.9996627011458268</v>
      </c>
    </row>
    <row r="6" spans="2:14" x14ac:dyDescent="0.45">
      <c r="B6" s="2">
        <f>+B5+7</f>
        <v>45964</v>
      </c>
      <c r="D6">
        <v>50</v>
      </c>
      <c r="E6" t="s">
        <v>28</v>
      </c>
      <c r="F6" s="18">
        <v>1984</v>
      </c>
      <c r="H6" s="19">
        <f t="shared" si="0"/>
        <v>93.001453147705433</v>
      </c>
      <c r="I6" t="s">
        <v>29</v>
      </c>
      <c r="J6" s="18">
        <v>1066.6500000000001</v>
      </c>
      <c r="L6" s="20">
        <f t="shared" si="1"/>
        <v>6.9828595648509517E-2</v>
      </c>
      <c r="N6" s="21">
        <v>1.9996627011458268</v>
      </c>
    </row>
    <row r="7" spans="2:14" x14ac:dyDescent="0.45">
      <c r="B7" s="2">
        <f>+B6+7</f>
        <v>45971</v>
      </c>
      <c r="D7">
        <v>50</v>
      </c>
      <c r="E7" t="s">
        <v>28</v>
      </c>
      <c r="F7" s="18">
        <v>1940</v>
      </c>
      <c r="H7" s="19">
        <f t="shared" si="0"/>
        <v>90.938920920639376</v>
      </c>
      <c r="I7" t="s">
        <v>29</v>
      </c>
      <c r="J7" s="18">
        <v>1066.6500000000001</v>
      </c>
      <c r="L7" s="20">
        <f t="shared" si="1"/>
        <v>9.0457396954691793E-2</v>
      </c>
      <c r="N7" s="21">
        <v>1.9996627011458268</v>
      </c>
    </row>
    <row r="8" spans="2:14" ht="14.65" thickBot="1" x14ac:dyDescent="0.5">
      <c r="B8" s="22">
        <f>+B7+7</f>
        <v>45978</v>
      </c>
      <c r="C8" s="23"/>
      <c r="D8" s="23">
        <v>50</v>
      </c>
      <c r="E8" s="23" t="s">
        <v>28</v>
      </c>
      <c r="F8" s="24">
        <v>1899</v>
      </c>
      <c r="G8" s="23"/>
      <c r="H8" s="25">
        <f t="shared" si="0"/>
        <v>89.017015890873282</v>
      </c>
      <c r="I8" s="23" t="s">
        <v>29</v>
      </c>
      <c r="J8" s="24">
        <v>1066.6500000000001</v>
      </c>
      <c r="K8" s="23"/>
      <c r="L8" s="26">
        <f t="shared" si="1"/>
        <v>0.10967968908090708</v>
      </c>
      <c r="M8" s="23"/>
      <c r="N8" s="27">
        <v>1.9996627011458268</v>
      </c>
    </row>
    <row r="9" spans="2:14" x14ac:dyDescent="0.45">
      <c r="B9" s="17" t="s">
        <v>20</v>
      </c>
      <c r="C9" s="17"/>
      <c r="D9" s="17">
        <f>+SUM(D3:D8)</f>
        <v>500</v>
      </c>
      <c r="E9" s="17"/>
      <c r="F9" s="28">
        <f>+SUMPRODUCT(D3:D8,F3:F8)/D9</f>
        <v>2044.125</v>
      </c>
      <c r="G9" s="17"/>
      <c r="H9" s="29">
        <f>+SUM(H3:H8)</f>
        <v>958.19856560258745</v>
      </c>
      <c r="I9" s="17"/>
      <c r="J9" s="28">
        <f>+SUMPRODUCT(H3:H8,J3:J8)/H9</f>
        <v>1066.6500000000001</v>
      </c>
      <c r="K9" s="17"/>
      <c r="L9" s="17"/>
    </row>
    <row r="10" spans="2:14" x14ac:dyDescent="0.45">
      <c r="B10" s="17"/>
      <c r="C10" s="17"/>
      <c r="D10" s="17"/>
      <c r="E10" s="17"/>
      <c r="F10" s="28"/>
      <c r="G10" s="17"/>
      <c r="H10" s="17"/>
      <c r="I10" s="17"/>
      <c r="J10" s="28"/>
      <c r="K10" s="17"/>
      <c r="L10" s="17"/>
    </row>
    <row r="11" spans="2:14" x14ac:dyDescent="0.45">
      <c r="B11" s="17"/>
      <c r="C11" s="17"/>
      <c r="D11" s="17"/>
      <c r="E11" s="17"/>
      <c r="F11" s="28"/>
      <c r="G11" s="17"/>
      <c r="H11" s="17"/>
      <c r="I11" s="17"/>
      <c r="J11" s="28"/>
      <c r="K11" s="17"/>
      <c r="L11" s="17"/>
    </row>
    <row r="12" spans="2:14" x14ac:dyDescent="0.45">
      <c r="B12" s="17" t="s">
        <v>21</v>
      </c>
      <c r="C12" s="30">
        <f>+(F8-F9)*D9</f>
        <v>-72562.5</v>
      </c>
      <c r="D12" s="17"/>
      <c r="E12" s="17"/>
      <c r="F12" s="28"/>
      <c r="G12" s="17"/>
      <c r="H12" s="17"/>
      <c r="I12" s="17"/>
      <c r="J12" s="28"/>
      <c r="K12" s="17"/>
      <c r="L12" s="17"/>
    </row>
    <row r="13" spans="2:14" x14ac:dyDescent="0.45">
      <c r="B13" s="17" t="s">
        <v>22</v>
      </c>
      <c r="C13" s="31">
        <f>+(J9-J8)*H9</f>
        <v>0</v>
      </c>
      <c r="D13" s="17"/>
      <c r="E13" s="17"/>
      <c r="F13" s="28"/>
      <c r="G13" s="17"/>
      <c r="H13" s="17"/>
      <c r="I13" s="17"/>
      <c r="J13" s="28"/>
      <c r="K13" s="17"/>
      <c r="L13" s="17"/>
    </row>
    <row r="14" spans="2:14" x14ac:dyDescent="0.45">
      <c r="B14" s="17" t="s">
        <v>23</v>
      </c>
      <c r="C14" s="30">
        <f>+C12+C13</f>
        <v>-72562.5</v>
      </c>
      <c r="D14" s="17"/>
      <c r="E14" s="17"/>
      <c r="F14" s="28"/>
      <c r="G14" s="17"/>
      <c r="H14" s="17"/>
      <c r="I14" s="17"/>
      <c r="J14" s="28"/>
      <c r="K14" s="17"/>
      <c r="L14" s="17"/>
    </row>
    <row r="15" spans="2:14" x14ac:dyDescent="0.45">
      <c r="L15" s="17"/>
      <c r="M15" s="28"/>
    </row>
    <row r="19" spans="2:6" x14ac:dyDescent="0.45">
      <c r="D19" t="s">
        <v>24</v>
      </c>
      <c r="E19" t="s">
        <v>25</v>
      </c>
      <c r="F19" s="17" t="s">
        <v>26</v>
      </c>
    </row>
    <row r="20" spans="2:6" x14ac:dyDescent="0.45">
      <c r="B20" t="s">
        <v>26</v>
      </c>
      <c r="D20" s="32">
        <f>+D9*F9</f>
        <v>1022062.5</v>
      </c>
      <c r="E20" s="32"/>
      <c r="F20" s="33">
        <f>+D20+E20</f>
        <v>1022062.5</v>
      </c>
    </row>
    <row r="22" spans="2:6" x14ac:dyDescent="0.45">
      <c r="B22" s="17" t="s">
        <v>27</v>
      </c>
      <c r="F22" s="34">
        <f>+C14/F20</f>
        <v>-7.0996147495872311E-2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3E92-2AE9-4087-AF1D-4DA88FB2FAC0}">
  <dimension ref="A2:N38"/>
  <sheetViews>
    <sheetView showGridLines="0" workbookViewId="0">
      <selection activeCell="G24" sqref="G24"/>
    </sheetView>
  </sheetViews>
  <sheetFormatPr defaultRowHeight="14.25" x14ac:dyDescent="0.45"/>
  <cols>
    <col min="1" max="1" width="9.06640625" style="1"/>
    <col min="2" max="2" width="16.33203125" style="1" bestFit="1" customWidth="1"/>
    <col min="3" max="3" width="11" style="1" bestFit="1" customWidth="1"/>
    <col min="4" max="4" width="10.265625" style="1" bestFit="1" customWidth="1"/>
    <col min="5" max="5" width="12.796875" style="1" bestFit="1" customWidth="1"/>
    <col min="6" max="6" width="14.06640625" style="1" bestFit="1" customWidth="1"/>
    <col min="7" max="7" width="9.06640625" style="1"/>
    <col min="8" max="8" width="11.86328125" style="1" customWidth="1"/>
    <col min="9" max="9" width="18.796875" style="1" bestFit="1" customWidth="1"/>
    <col min="10" max="10" width="14.06640625" style="1" customWidth="1"/>
    <col min="11" max="11" width="9.06640625" style="1"/>
    <col min="12" max="12" width="15.06640625" style="1" customWidth="1"/>
    <col min="13" max="13" width="9.06640625" style="1"/>
    <col min="14" max="14" width="35.796875" style="1" customWidth="1"/>
    <col min="15" max="16384" width="9.06640625" style="1"/>
  </cols>
  <sheetData>
    <row r="2" spans="1:14" x14ac:dyDescent="0.45">
      <c r="A2" s="1" t="s">
        <v>30</v>
      </c>
      <c r="D2" s="13" t="s">
        <v>16</v>
      </c>
      <c r="E2" s="13"/>
      <c r="F2" s="13" t="s">
        <v>17</v>
      </c>
      <c r="G2" s="13"/>
      <c r="H2" s="13" t="s">
        <v>18</v>
      </c>
      <c r="I2" s="13"/>
      <c r="J2" s="13" t="s">
        <v>17</v>
      </c>
      <c r="K2" s="13"/>
      <c r="L2" s="13" t="s">
        <v>19</v>
      </c>
      <c r="M2" s="13"/>
      <c r="N2" s="17" t="s">
        <v>37</v>
      </c>
    </row>
    <row r="3" spans="1:14" x14ac:dyDescent="0.45">
      <c r="B3" s="2">
        <v>45943</v>
      </c>
      <c r="D3" s="1">
        <v>250</v>
      </c>
      <c r="E3" s="1" t="s">
        <v>28</v>
      </c>
      <c r="F3" s="3">
        <v>2104.25</v>
      </c>
      <c r="H3" s="49">
        <f t="shared" ref="H3:H8" si="0">+(F3/J3)*D3</f>
        <v>493.19129986406034</v>
      </c>
      <c r="I3" s="1" t="s">
        <v>29</v>
      </c>
      <c r="J3" s="3">
        <v>1066.6500000000001</v>
      </c>
      <c r="L3" s="38">
        <f>+ 1 - ((F3/J3)/N3)</f>
        <v>1.345101935150006E-2</v>
      </c>
      <c r="N3" s="50">
        <f>+'Bajaj Finserv'!J3/'Bajaj Finserv'!G3</f>
        <v>1.9996627011458268</v>
      </c>
    </row>
    <row r="4" spans="1:14" x14ac:dyDescent="0.45">
      <c r="B4" s="2">
        <f>+B3+7</f>
        <v>45950</v>
      </c>
      <c r="D4" s="1">
        <v>50</v>
      </c>
      <c r="E4" s="1" t="s">
        <v>28</v>
      </c>
      <c r="F4" s="3">
        <v>2070</v>
      </c>
      <c r="H4" s="49">
        <f t="shared" si="0"/>
        <v>97.032766136970878</v>
      </c>
      <c r="I4" s="1" t="s">
        <v>29</v>
      </c>
      <c r="J4" s="3">
        <v>1066.6500000000001</v>
      </c>
      <c r="L4" s="38">
        <f t="shared" ref="L4:L8" si="1">+ 1 - ((F4/J4)/N4)</f>
        <v>2.9508665822789659E-2</v>
      </c>
      <c r="N4" s="50">
        <v>1.9996627011458268</v>
      </c>
    </row>
    <row r="5" spans="1:14" x14ac:dyDescent="0.45">
      <c r="B5" s="2">
        <f>+B4+7</f>
        <v>45957</v>
      </c>
      <c r="D5" s="1">
        <v>50</v>
      </c>
      <c r="E5" s="1" t="s">
        <v>28</v>
      </c>
      <c r="F5" s="3">
        <v>2027</v>
      </c>
      <c r="H5" s="49">
        <f t="shared" si="0"/>
        <v>95.017109642338156</v>
      </c>
      <c r="I5" s="1" t="s">
        <v>29</v>
      </c>
      <c r="J5" s="3">
        <v>1066.6500000000001</v>
      </c>
      <c r="L5" s="38">
        <f t="shared" si="1"/>
        <v>4.9668630735649644E-2</v>
      </c>
      <c r="N5" s="50">
        <v>1.9996627011458268</v>
      </c>
    </row>
    <row r="6" spans="1:14" x14ac:dyDescent="0.45">
      <c r="B6" s="2">
        <f>+B5+7</f>
        <v>45964</v>
      </c>
      <c r="D6" s="1">
        <v>50</v>
      </c>
      <c r="E6" s="1" t="s">
        <v>28</v>
      </c>
      <c r="F6" s="3">
        <v>1984</v>
      </c>
      <c r="H6" s="49">
        <f t="shared" si="0"/>
        <v>93.001453147705433</v>
      </c>
      <c r="I6" s="1" t="s">
        <v>29</v>
      </c>
      <c r="J6" s="3">
        <v>1066.6500000000001</v>
      </c>
      <c r="L6" s="38">
        <f t="shared" si="1"/>
        <v>6.9828595648509517E-2</v>
      </c>
      <c r="N6" s="50">
        <v>1.9996627011458268</v>
      </c>
    </row>
    <row r="7" spans="1:14" x14ac:dyDescent="0.45">
      <c r="B7" s="2">
        <f>+B6+7</f>
        <v>45971</v>
      </c>
      <c r="D7" s="1">
        <v>50</v>
      </c>
      <c r="E7" s="1" t="s">
        <v>28</v>
      </c>
      <c r="F7" s="3">
        <v>1940</v>
      </c>
      <c r="H7" s="49">
        <f t="shared" si="0"/>
        <v>90.938920920639376</v>
      </c>
      <c r="I7" s="1" t="s">
        <v>29</v>
      </c>
      <c r="J7" s="3">
        <v>1066.6500000000001</v>
      </c>
      <c r="L7" s="38">
        <f t="shared" si="1"/>
        <v>9.0457396954691793E-2</v>
      </c>
      <c r="N7" s="50">
        <v>1.9996627011458268</v>
      </c>
    </row>
    <row r="8" spans="1:14" ht="14.65" thickBot="1" x14ac:dyDescent="0.5">
      <c r="B8" s="22">
        <f>+B7+7</f>
        <v>45978</v>
      </c>
      <c r="C8" s="6"/>
      <c r="D8" s="6">
        <v>50</v>
      </c>
      <c r="E8" s="6" t="s">
        <v>28</v>
      </c>
      <c r="F8" s="41">
        <v>1899</v>
      </c>
      <c r="G8" s="6"/>
      <c r="H8" s="51">
        <f t="shared" si="0"/>
        <v>89.017015890873282</v>
      </c>
      <c r="I8" s="6" t="s">
        <v>29</v>
      </c>
      <c r="J8" s="41">
        <v>1066.6500000000001</v>
      </c>
      <c r="K8" s="6"/>
      <c r="L8" s="42">
        <f t="shared" si="1"/>
        <v>0.10967968908090708</v>
      </c>
      <c r="M8" s="6"/>
      <c r="N8" s="52">
        <v>1.9996627011458268</v>
      </c>
    </row>
    <row r="9" spans="1:14" x14ac:dyDescent="0.45">
      <c r="B9" s="13" t="s">
        <v>20</v>
      </c>
      <c r="C9" s="13"/>
      <c r="D9" s="13">
        <f>+SUM(D3:D8)</f>
        <v>500</v>
      </c>
      <c r="E9" s="13"/>
      <c r="F9" s="35">
        <f>+SUMPRODUCT(D3:D8,F3:F8)/D9</f>
        <v>2044.125</v>
      </c>
      <c r="G9" s="13"/>
      <c r="H9" s="36">
        <f>+SUM(H3:H8)</f>
        <v>958.19856560258745</v>
      </c>
      <c r="I9" s="13"/>
      <c r="J9" s="35">
        <f>+SUMPRODUCT(H3:H8,J3:J8)/H9</f>
        <v>1066.6500000000001</v>
      </c>
      <c r="K9" s="13"/>
      <c r="L9" s="13"/>
    </row>
    <row r="10" spans="1:14" x14ac:dyDescent="0.45">
      <c r="B10" s="13"/>
      <c r="C10" s="13"/>
      <c r="D10" s="13"/>
      <c r="E10" s="13"/>
      <c r="F10" s="35"/>
      <c r="G10" s="13"/>
      <c r="H10" s="13"/>
      <c r="I10" s="13"/>
      <c r="J10" s="35"/>
      <c r="K10" s="13"/>
      <c r="L10" s="13"/>
    </row>
    <row r="11" spans="1:14" x14ac:dyDescent="0.45">
      <c r="B11" s="13"/>
      <c r="C11" s="13"/>
      <c r="D11" s="13"/>
      <c r="E11" s="13"/>
      <c r="F11" s="35"/>
      <c r="G11" s="13"/>
      <c r="H11" s="13"/>
      <c r="I11" s="13"/>
      <c r="J11" s="35"/>
      <c r="K11" s="13"/>
      <c r="L11" s="13"/>
    </row>
    <row r="12" spans="1:14" x14ac:dyDescent="0.45">
      <c r="B12" s="13"/>
      <c r="C12" s="13"/>
      <c r="D12" s="13" t="s">
        <v>31</v>
      </c>
      <c r="E12" s="13"/>
      <c r="F12" s="13" t="s">
        <v>17</v>
      </c>
      <c r="G12" s="13"/>
      <c r="H12" s="13" t="s">
        <v>18</v>
      </c>
      <c r="I12" s="13"/>
      <c r="J12" s="13" t="s">
        <v>17</v>
      </c>
      <c r="K12" s="13"/>
      <c r="L12" s="13" t="s">
        <v>19</v>
      </c>
      <c r="M12" s="13"/>
      <c r="N12" s="17" t="s">
        <v>37</v>
      </c>
    </row>
    <row r="13" spans="1:14" x14ac:dyDescent="0.45">
      <c r="B13" s="2">
        <v>45984</v>
      </c>
      <c r="D13" s="37">
        <v>-50</v>
      </c>
      <c r="E13" s="1" t="s">
        <v>28</v>
      </c>
      <c r="F13" s="3">
        <v>2240</v>
      </c>
      <c r="H13" s="37">
        <f>+(D13/$D$9)*$H$9</f>
        <v>-95.819856560258756</v>
      </c>
      <c r="I13" s="1" t="s">
        <v>29</v>
      </c>
      <c r="J13" s="3">
        <v>1066.6500000000001</v>
      </c>
      <c r="L13" s="38">
        <f t="shared" ref="L13:L18" si="2">+ 1 - ((F13/J13)/N13)</f>
        <v>-5.0193521042005251E-2</v>
      </c>
      <c r="N13" s="50">
        <v>1.9996627011458268</v>
      </c>
    </row>
    <row r="14" spans="1:14" x14ac:dyDescent="0.45">
      <c r="B14" s="2">
        <f>+B13+7</f>
        <v>45991</v>
      </c>
      <c r="C14" s="13"/>
      <c r="D14" s="37">
        <v>-50</v>
      </c>
      <c r="E14" s="1" t="s">
        <v>28</v>
      </c>
      <c r="F14" s="3">
        <v>2303</v>
      </c>
      <c r="H14" s="37">
        <f t="shared" ref="H14:H18" si="3">+(D14/$D$9)*$H$9</f>
        <v>-95.819856560258756</v>
      </c>
      <c r="I14" s="1" t="s">
        <v>29</v>
      </c>
      <c r="J14" s="3">
        <v>1066.6500000000001</v>
      </c>
      <c r="L14" s="38">
        <f t="shared" si="2"/>
        <v>-7.9730213821311846E-2</v>
      </c>
      <c r="N14" s="50">
        <v>1.9996627011458268</v>
      </c>
    </row>
    <row r="15" spans="1:14" x14ac:dyDescent="0.45">
      <c r="B15" s="2">
        <f>+B14+7</f>
        <v>45998</v>
      </c>
      <c r="C15" s="13"/>
      <c r="D15" s="37">
        <v>-50</v>
      </c>
      <c r="E15" s="1" t="s">
        <v>28</v>
      </c>
      <c r="F15" s="3">
        <v>2367</v>
      </c>
      <c r="H15" s="37">
        <f t="shared" si="3"/>
        <v>-95.819856560258756</v>
      </c>
      <c r="I15" s="1" t="s">
        <v>29</v>
      </c>
      <c r="J15" s="3">
        <v>1066.6500000000001</v>
      </c>
      <c r="L15" s="38">
        <f t="shared" si="2"/>
        <v>-0.10973574299394051</v>
      </c>
      <c r="N15" s="50">
        <v>1.9996627011458268</v>
      </c>
    </row>
    <row r="16" spans="1:14" x14ac:dyDescent="0.45">
      <c r="B16" s="2">
        <f>+B15+7</f>
        <v>46005</v>
      </c>
      <c r="C16" s="13"/>
      <c r="D16" s="37">
        <v>-100</v>
      </c>
      <c r="E16" s="1" t="s">
        <v>28</v>
      </c>
      <c r="F16" s="3">
        <v>2431</v>
      </c>
      <c r="H16" s="37">
        <f t="shared" si="3"/>
        <v>-191.63971312051751</v>
      </c>
      <c r="I16" s="1" t="s">
        <v>29</v>
      </c>
      <c r="J16" s="3">
        <v>1066.6500000000001</v>
      </c>
      <c r="L16" s="38">
        <f t="shared" si="2"/>
        <v>-0.13974127216656917</v>
      </c>
      <c r="N16" s="50">
        <v>1.9996627011458268</v>
      </c>
    </row>
    <row r="17" spans="2:14" x14ac:dyDescent="0.45">
      <c r="B17" s="2">
        <f>+B16+7</f>
        <v>46012</v>
      </c>
      <c r="C17" s="13"/>
      <c r="D17" s="37">
        <v>-100</v>
      </c>
      <c r="E17" s="1" t="s">
        <v>28</v>
      </c>
      <c r="F17" s="3">
        <v>2496</v>
      </c>
      <c r="H17" s="37">
        <f t="shared" si="3"/>
        <v>-191.63971312051751</v>
      </c>
      <c r="I17" s="1" t="s">
        <v>29</v>
      </c>
      <c r="J17" s="3">
        <v>1066.6500000000001</v>
      </c>
      <c r="L17" s="38">
        <f t="shared" si="2"/>
        <v>-0.17021563773252013</v>
      </c>
      <c r="N17" s="50">
        <v>1.9996627011458268</v>
      </c>
    </row>
    <row r="18" spans="2:14" ht="14.65" thickBot="1" x14ac:dyDescent="0.5">
      <c r="B18" s="22">
        <f>+B17+7</f>
        <v>46019</v>
      </c>
      <c r="C18" s="39"/>
      <c r="D18" s="40">
        <v>-150</v>
      </c>
      <c r="E18" s="6" t="s">
        <v>28</v>
      </c>
      <c r="F18" s="41">
        <v>2560</v>
      </c>
      <c r="G18" s="6"/>
      <c r="H18" s="40">
        <f t="shared" si="3"/>
        <v>-287.45956968077621</v>
      </c>
      <c r="I18" s="6" t="s">
        <v>29</v>
      </c>
      <c r="J18" s="41">
        <v>1066.6500000000001</v>
      </c>
      <c r="K18" s="6"/>
      <c r="L18" s="42">
        <f t="shared" si="2"/>
        <v>-0.20022116690514902</v>
      </c>
      <c r="M18" s="6"/>
      <c r="N18" s="52">
        <v>1.9996627011458268</v>
      </c>
    </row>
    <row r="19" spans="2:14" x14ac:dyDescent="0.45">
      <c r="B19" s="13" t="s">
        <v>20</v>
      </c>
      <c r="C19" s="13"/>
      <c r="D19" s="13">
        <f>+SUM(D13:D18)</f>
        <v>-500</v>
      </c>
      <c r="E19" s="13"/>
      <c r="F19" s="35">
        <f>+SUMPRODUCT(D13:D18,F13:F18)/D19</f>
        <v>2444.4</v>
      </c>
      <c r="G19" s="13"/>
      <c r="H19" s="36">
        <f>+SUM(H13:H18)</f>
        <v>-958.19856560258745</v>
      </c>
      <c r="I19" s="13"/>
      <c r="J19" s="35">
        <f>+SUMPRODUCT(H13:H18,J13:J18)/H19</f>
        <v>1066.6500000000003</v>
      </c>
      <c r="K19" s="13"/>
      <c r="L19" s="13"/>
    </row>
    <row r="20" spans="2:14" x14ac:dyDescent="0.45">
      <c r="B20" s="13"/>
      <c r="C20" s="13"/>
      <c r="D20" s="13"/>
      <c r="E20" s="13"/>
      <c r="F20" s="35"/>
      <c r="G20" s="13"/>
      <c r="H20" s="13"/>
      <c r="I20" s="13"/>
      <c r="J20" s="35"/>
      <c r="K20" s="13"/>
      <c r="L20" s="13"/>
    </row>
    <row r="21" spans="2:14" x14ac:dyDescent="0.45">
      <c r="B21" s="13"/>
      <c r="C21" s="13"/>
      <c r="D21" s="13"/>
      <c r="E21" s="13"/>
      <c r="F21" s="43"/>
      <c r="G21" s="13"/>
      <c r="H21" s="13"/>
      <c r="I21" s="13"/>
      <c r="J21" s="35"/>
      <c r="K21" s="13"/>
      <c r="L21" s="13"/>
    </row>
    <row r="22" spans="2:14" x14ac:dyDescent="0.45">
      <c r="B22" s="13"/>
      <c r="C22" s="13"/>
      <c r="D22" s="13"/>
      <c r="E22" s="13"/>
      <c r="F22" s="43"/>
      <c r="G22" s="13"/>
      <c r="H22" s="13"/>
      <c r="I22" s="13"/>
      <c r="J22" s="35"/>
      <c r="K22" s="13"/>
      <c r="L22" s="13"/>
    </row>
    <row r="23" spans="2:14" x14ac:dyDescent="0.45">
      <c r="B23" s="13"/>
      <c r="C23" s="13"/>
      <c r="D23" s="13"/>
      <c r="E23" s="13"/>
      <c r="F23" s="43"/>
      <c r="G23" s="13"/>
      <c r="H23" s="13"/>
      <c r="I23" s="13"/>
      <c r="J23" s="35"/>
      <c r="K23" s="13"/>
      <c r="L23" s="13"/>
    </row>
    <row r="24" spans="2:14" x14ac:dyDescent="0.45">
      <c r="B24" s="13"/>
      <c r="C24" s="13"/>
      <c r="D24" s="13"/>
      <c r="E24" s="13"/>
      <c r="F24" s="43"/>
      <c r="G24" s="13"/>
      <c r="H24" s="13"/>
      <c r="I24" s="13"/>
      <c r="J24" s="35"/>
      <c r="K24" s="13"/>
      <c r="L24" s="13"/>
    </row>
    <row r="25" spans="2:14" x14ac:dyDescent="0.45">
      <c r="B25" s="13"/>
      <c r="C25" s="13"/>
      <c r="D25" s="13"/>
      <c r="E25" s="13"/>
      <c r="F25" s="43"/>
      <c r="G25" s="13"/>
      <c r="H25" s="13"/>
      <c r="I25" s="13"/>
      <c r="J25" s="35"/>
      <c r="K25" s="13"/>
      <c r="L25" s="13"/>
    </row>
    <row r="26" spans="2:14" x14ac:dyDescent="0.45">
      <c r="B26" s="13"/>
      <c r="C26" s="13"/>
      <c r="D26" s="13"/>
      <c r="E26" s="13"/>
      <c r="F26" s="43"/>
      <c r="G26" s="13"/>
      <c r="H26" s="13"/>
      <c r="I26" s="13"/>
      <c r="J26" s="35"/>
      <c r="K26" s="13"/>
      <c r="L26" s="13"/>
    </row>
    <row r="27" spans="2:14" x14ac:dyDescent="0.45">
      <c r="B27" s="13"/>
      <c r="C27" s="13"/>
      <c r="D27" s="13"/>
      <c r="E27" s="13"/>
      <c r="F27" s="35"/>
      <c r="G27" s="13"/>
      <c r="H27" s="13"/>
      <c r="I27" s="13"/>
      <c r="J27" s="35"/>
      <c r="K27" s="13"/>
      <c r="L27" s="13"/>
    </row>
    <row r="28" spans="2:14" x14ac:dyDescent="0.45">
      <c r="B28" s="13" t="s">
        <v>32</v>
      </c>
      <c r="C28" s="44">
        <f>+-(D9*F9)-(D19*F19)</f>
        <v>200137.5</v>
      </c>
      <c r="D28" s="13"/>
      <c r="E28" s="13"/>
      <c r="F28" s="35"/>
      <c r="G28" s="13"/>
      <c r="H28" s="13"/>
      <c r="I28" s="13"/>
      <c r="J28" s="35"/>
      <c r="K28" s="13"/>
      <c r="L28" s="13"/>
    </row>
    <row r="29" spans="2:14" x14ac:dyDescent="0.45">
      <c r="B29" s="13" t="s">
        <v>33</v>
      </c>
      <c r="C29" s="45">
        <f>+(H9*J9)+(H19*J19)</f>
        <v>0</v>
      </c>
      <c r="D29" s="13"/>
      <c r="E29" s="13"/>
      <c r="F29" s="35"/>
      <c r="G29" s="13"/>
      <c r="H29" s="13"/>
      <c r="I29" s="13"/>
      <c r="J29" s="35"/>
      <c r="K29" s="13"/>
      <c r="L29" s="13"/>
    </row>
    <row r="30" spans="2:14" x14ac:dyDescent="0.45">
      <c r="B30" s="13" t="s">
        <v>23</v>
      </c>
      <c r="C30" s="44">
        <f>+C28+C29</f>
        <v>200137.5</v>
      </c>
      <c r="D30" s="13"/>
      <c r="E30" s="13"/>
      <c r="F30" s="35"/>
      <c r="G30" s="13"/>
      <c r="H30" s="13"/>
      <c r="I30" s="13"/>
      <c r="J30" s="35"/>
      <c r="K30" s="13"/>
      <c r="L30" s="13"/>
    </row>
    <row r="31" spans="2:14" x14ac:dyDescent="0.45">
      <c r="L31" s="13"/>
      <c r="M31" s="35"/>
    </row>
    <row r="35" spans="2:6" x14ac:dyDescent="0.45">
      <c r="D35" s="1" t="s">
        <v>34</v>
      </c>
      <c r="E35" s="1" t="s">
        <v>35</v>
      </c>
      <c r="F35" s="13" t="s">
        <v>26</v>
      </c>
    </row>
    <row r="36" spans="2:6" x14ac:dyDescent="0.45">
      <c r="B36" s="1" t="s">
        <v>26</v>
      </c>
      <c r="D36" s="46">
        <f>+D9*F9</f>
        <v>1022062.5</v>
      </c>
      <c r="E36" s="46"/>
      <c r="F36" s="47">
        <f>+D36+E36</f>
        <v>1022062.5</v>
      </c>
    </row>
    <row r="38" spans="2:6" x14ac:dyDescent="0.45">
      <c r="B38" s="13" t="s">
        <v>27</v>
      </c>
      <c r="F38" s="48">
        <f>+C30/F36</f>
        <v>0.19581728123280132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Bajaj Finserv</vt:lpstr>
      <vt:lpstr>Entry Simulation</vt:lpstr>
      <vt:lpstr>Exit Simulation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Ronit Kothari</cp:lastModifiedBy>
  <dcterms:created xsi:type="dcterms:W3CDTF">2025-10-09T10:54:41Z</dcterms:created>
  <dcterms:modified xsi:type="dcterms:W3CDTF">2026-03-06T10:05:41Z</dcterms:modified>
</cp:coreProperties>
</file>
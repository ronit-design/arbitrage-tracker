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d5ddfe8477b10/Personal/Investing/Aarvi/Arbitrage/"/>
    </mc:Choice>
  </mc:AlternateContent>
  <xr:revisionPtr revIDLastSave="174" documentId="8_{FB46F7C0-BC26-4060-BE76-8EB9F258D1EA}" xr6:coauthVersionLast="47" xr6:coauthVersionMax="47" xr10:uidLastSave="{EE66CBB2-F34B-4AA3-86AC-2692D91A3D44}"/>
  <bookViews>
    <workbookView xWindow="-98" yWindow="-98" windowWidth="21795" windowHeight="12975" activeTab="1" xr2:uid="{A8F3D41B-605B-47FA-BD23-E0325DEC4187}"/>
  </bookViews>
  <sheets>
    <sheet name="Kama Holdings" sheetId="1" r:id="rId1"/>
    <sheet name="Entry Simulation" sheetId="2" r:id="rId2"/>
    <sheet name="Exit Sim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L3" i="2" s="1"/>
  <c r="C28" i="3"/>
  <c r="H18" i="3"/>
  <c r="H17" i="3"/>
  <c r="H16" i="3"/>
  <c r="H15" i="3"/>
  <c r="H14" i="3"/>
  <c r="H13" i="3"/>
  <c r="H19" i="3"/>
  <c r="N6" i="3"/>
  <c r="N7" i="3" s="1"/>
  <c r="N5" i="3"/>
  <c r="N4" i="3"/>
  <c r="N3" i="3"/>
  <c r="N13" i="3"/>
  <c r="N14" i="3"/>
  <c r="L13" i="3"/>
  <c r="H3" i="3"/>
  <c r="L3" i="3"/>
  <c r="H4" i="3"/>
  <c r="L4" i="3"/>
  <c r="H5" i="3"/>
  <c r="L5" i="3"/>
  <c r="H6" i="3"/>
  <c r="H7" i="3"/>
  <c r="H8" i="3"/>
  <c r="D19" i="3"/>
  <c r="F19" i="3" s="1"/>
  <c r="B14" i="3"/>
  <c r="B15" i="3" s="1"/>
  <c r="B16" i="3" s="1"/>
  <c r="B17" i="3" s="1"/>
  <c r="B18" i="3" s="1"/>
  <c r="D9" i="3"/>
  <c r="B4" i="3"/>
  <c r="B5" i="3" s="1"/>
  <c r="B6" i="3" s="1"/>
  <c r="B7" i="3" s="1"/>
  <c r="B8" i="3" s="1"/>
  <c r="N4" i="2"/>
  <c r="N5" i="2" s="1"/>
  <c r="F9" i="2"/>
  <c r="C12" i="2" s="1"/>
  <c r="D9" i="2"/>
  <c r="H8" i="2"/>
  <c r="H7" i="2"/>
  <c r="H6" i="2"/>
  <c r="H5" i="2"/>
  <c r="L4" i="2"/>
  <c r="H4" i="2"/>
  <c r="B4" i="2"/>
  <c r="B5" i="2" s="1"/>
  <c r="B6" i="2" s="1"/>
  <c r="B7" i="2" s="1"/>
  <c r="B8" i="2" s="1"/>
  <c r="H3" i="2"/>
  <c r="H611" i="1"/>
  <c r="H610" i="1"/>
  <c r="H609" i="1"/>
  <c r="H589" i="1"/>
  <c r="H588" i="1"/>
  <c r="H587" i="1"/>
  <c r="H567" i="1"/>
  <c r="H566" i="1"/>
  <c r="H565" i="1"/>
  <c r="H545" i="1"/>
  <c r="H544" i="1"/>
  <c r="H543" i="1"/>
  <c r="H523" i="1"/>
  <c r="H522" i="1"/>
  <c r="H521" i="1"/>
  <c r="H501" i="1"/>
  <c r="H500" i="1"/>
  <c r="H499" i="1"/>
  <c r="H497" i="1"/>
  <c r="K777" i="1"/>
  <c r="K4" i="1"/>
  <c r="K3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498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K1244" i="1"/>
  <c r="M1244" i="1" s="1"/>
  <c r="K1243" i="1"/>
  <c r="K1242" i="1"/>
  <c r="M1242" i="1" s="1"/>
  <c r="K1241" i="1"/>
  <c r="K1240" i="1"/>
  <c r="M1240" i="1" s="1"/>
  <c r="K1239" i="1"/>
  <c r="K1238" i="1"/>
  <c r="K1237" i="1"/>
  <c r="K1236" i="1"/>
  <c r="M1236" i="1" s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M1222" i="1" s="1"/>
  <c r="K1221" i="1"/>
  <c r="K1220" i="1"/>
  <c r="K1219" i="1"/>
  <c r="K1218" i="1"/>
  <c r="M1218" i="1" s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M1200" i="1" s="1"/>
  <c r="K1199" i="1"/>
  <c r="K1198" i="1"/>
  <c r="M1198" i="1" s="1"/>
  <c r="K1197" i="1"/>
  <c r="K1196" i="1"/>
  <c r="M1196" i="1" s="1"/>
  <c r="K1195" i="1"/>
  <c r="K1194" i="1"/>
  <c r="K1193" i="1"/>
  <c r="K1192" i="1"/>
  <c r="M1192" i="1" s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M1134" i="1" s="1"/>
  <c r="K1133" i="1"/>
  <c r="K1132" i="1"/>
  <c r="M1132" i="1" s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M1112" i="1" s="1"/>
  <c r="K1111" i="1"/>
  <c r="K1110" i="1"/>
  <c r="M1110" i="1" s="1"/>
  <c r="K1109" i="1"/>
  <c r="K1108" i="1"/>
  <c r="K1107" i="1"/>
  <c r="K1106" i="1"/>
  <c r="K1105" i="1"/>
  <c r="K1104" i="1"/>
  <c r="M1104" i="1" s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M1090" i="1" s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M1068" i="1" s="1"/>
  <c r="K1067" i="1"/>
  <c r="K1066" i="1"/>
  <c r="M1066" i="1" s="1"/>
  <c r="K1065" i="1"/>
  <c r="K1064" i="1"/>
  <c r="M1064" i="1" s="1"/>
  <c r="K1063" i="1"/>
  <c r="K1062" i="1"/>
  <c r="K1061" i="1"/>
  <c r="K1060" i="1"/>
  <c r="M1060" i="1" s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M1024" i="1" s="1"/>
  <c r="K1023" i="1"/>
  <c r="K1022" i="1"/>
  <c r="M1022" i="1" s="1"/>
  <c r="K1021" i="1"/>
  <c r="K1020" i="1"/>
  <c r="M1020" i="1" s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M1002" i="1" s="1"/>
  <c r="K1001" i="1"/>
  <c r="K1000" i="1"/>
  <c r="M1000" i="1" s="1"/>
  <c r="K999" i="1"/>
  <c r="K998" i="1"/>
  <c r="M998" i="1" s="1"/>
  <c r="K997" i="1"/>
  <c r="M997" i="1" s="1"/>
  <c r="K996" i="1"/>
  <c r="K995" i="1"/>
  <c r="K994" i="1"/>
  <c r="M994" i="1" s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M958" i="1" s="1"/>
  <c r="K957" i="1"/>
  <c r="K956" i="1"/>
  <c r="K955" i="1"/>
  <c r="K954" i="1"/>
  <c r="M954" i="1" s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M936" i="1" s="1"/>
  <c r="K935" i="1"/>
  <c r="K934" i="1"/>
  <c r="M934" i="1" s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M912" i="1" s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M890" i="1" s="1"/>
  <c r="K889" i="1"/>
  <c r="K888" i="1"/>
  <c r="M888" i="1" s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M866" i="1" s="1"/>
  <c r="K865" i="1"/>
  <c r="K864" i="1"/>
  <c r="K863" i="1"/>
  <c r="K862" i="1"/>
  <c r="M862" i="1" s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M848" i="1" s="1"/>
  <c r="K847" i="1"/>
  <c r="K846" i="1"/>
  <c r="M846" i="1" s="1"/>
  <c r="K845" i="1"/>
  <c r="K844" i="1"/>
  <c r="M844" i="1" s="1"/>
  <c r="K843" i="1"/>
  <c r="K842" i="1"/>
  <c r="K841" i="1"/>
  <c r="K840" i="1"/>
  <c r="M840" i="1" s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M760" i="1" s="1"/>
  <c r="K759" i="1"/>
  <c r="K758" i="1"/>
  <c r="M758" i="1" s="1"/>
  <c r="K757" i="1"/>
  <c r="M757" i="1" s="1"/>
  <c r="K756" i="1"/>
  <c r="M756" i="1" s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M738" i="1" s="1"/>
  <c r="K737" i="1"/>
  <c r="K736" i="1"/>
  <c r="M736" i="1" s="1"/>
  <c r="K735" i="1"/>
  <c r="M735" i="1" s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M716" i="1" s="1"/>
  <c r="K715" i="1"/>
  <c r="K714" i="1"/>
  <c r="K713" i="1"/>
  <c r="K712" i="1"/>
  <c r="M712" i="1" s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M694" i="1" s="1"/>
  <c r="K693" i="1"/>
  <c r="K692" i="1"/>
  <c r="M692" i="1" s="1"/>
  <c r="K691" i="1"/>
  <c r="M691" i="1" s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M672" i="1" s="1"/>
  <c r="K671" i="1"/>
  <c r="K670" i="1"/>
  <c r="M670" i="1" s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M650" i="1" s="1"/>
  <c r="K649" i="1"/>
  <c r="K648" i="1"/>
  <c r="M648" i="1" s="1"/>
  <c r="K647" i="1"/>
  <c r="M647" i="1" s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M624" i="1" s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M496" i="1" s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M474" i="1" s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M452" i="1" s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M386" i="1" s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M33" i="1" s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N6" i="2" l="1"/>
  <c r="L5" i="2"/>
  <c r="N8" i="3"/>
  <c r="L8" i="3" s="1"/>
  <c r="L7" i="3"/>
  <c r="L6" i="3"/>
  <c r="N15" i="3"/>
  <c r="L14" i="3"/>
  <c r="H9" i="3"/>
  <c r="F9" i="3"/>
  <c r="D36" i="3" s="1"/>
  <c r="D20" i="2"/>
  <c r="N7" i="2"/>
  <c r="L6" i="2"/>
  <c r="H9" i="2"/>
  <c r="M4" i="1"/>
  <c r="M1241" i="1"/>
  <c r="M601" i="1"/>
  <c r="M1220" i="1"/>
  <c r="M602" i="1"/>
  <c r="M779" i="1"/>
  <c r="M780" i="1"/>
  <c r="M802" i="1"/>
  <c r="M868" i="1"/>
  <c r="M782" i="1"/>
  <c r="M804" i="1"/>
  <c r="M870" i="1"/>
  <c r="M558" i="1"/>
  <c r="M536" i="1"/>
  <c r="M470" i="1"/>
  <c r="M668" i="1"/>
  <c r="M360" i="1"/>
  <c r="M382" i="1"/>
  <c r="M228" i="1"/>
  <c r="M3" i="1"/>
  <c r="S31" i="1" s="1"/>
  <c r="T31" i="1" s="1"/>
  <c r="M933" i="1"/>
  <c r="M1065" i="1"/>
  <c r="M1131" i="1"/>
  <c r="M598" i="1"/>
  <c r="M514" i="1"/>
  <c r="M515" i="1"/>
  <c r="M559" i="1"/>
  <c r="M516" i="1"/>
  <c r="M538" i="1"/>
  <c r="M560" i="1"/>
  <c r="M582" i="1"/>
  <c r="M604" i="1"/>
  <c r="M626" i="1"/>
  <c r="M518" i="1"/>
  <c r="M540" i="1"/>
  <c r="M584" i="1"/>
  <c r="M606" i="1"/>
  <c r="M628" i="1"/>
  <c r="M427" i="1"/>
  <c r="M449" i="1"/>
  <c r="M493" i="1"/>
  <c r="M399" i="1"/>
  <c r="M400" i="1"/>
  <c r="M444" i="1"/>
  <c r="M466" i="1"/>
  <c r="M488" i="1"/>
  <c r="M402" i="1"/>
  <c r="M426" i="1"/>
  <c r="M448" i="1"/>
  <c r="M492" i="1"/>
  <c r="M406" i="1"/>
  <c r="M428" i="1"/>
  <c r="M450" i="1"/>
  <c r="M472" i="1"/>
  <c r="M494" i="1"/>
  <c r="M334" i="1"/>
  <c r="M293" i="1"/>
  <c r="M9" i="1"/>
  <c r="M75" i="1"/>
  <c r="M119" i="1"/>
  <c r="M207" i="1"/>
  <c r="M295" i="1"/>
  <c r="M317" i="1"/>
  <c r="M339" i="1"/>
  <c r="M361" i="1"/>
  <c r="M10" i="1"/>
  <c r="M54" i="1"/>
  <c r="M76" i="1"/>
  <c r="M98" i="1"/>
  <c r="M120" i="1"/>
  <c r="M164" i="1"/>
  <c r="M208" i="1"/>
  <c r="M230" i="1"/>
  <c r="M274" i="1"/>
  <c r="M296" i="1"/>
  <c r="M318" i="1"/>
  <c r="M340" i="1"/>
  <c r="M362" i="1"/>
  <c r="M92" i="1"/>
  <c r="M336" i="1"/>
  <c r="M294" i="1"/>
  <c r="M97" i="1"/>
  <c r="M11" i="1"/>
  <c r="M55" i="1"/>
  <c r="M77" i="1"/>
  <c r="M99" i="1"/>
  <c r="M121" i="1"/>
  <c r="M12" i="1"/>
  <c r="M34" i="1"/>
  <c r="M56" i="1"/>
  <c r="M100" i="1"/>
  <c r="M122" i="1"/>
  <c r="M144" i="1"/>
  <c r="M166" i="1"/>
  <c r="M188" i="1"/>
  <c r="M210" i="1"/>
  <c r="M232" i="1"/>
  <c r="M254" i="1"/>
  <c r="M276" i="1"/>
  <c r="M298" i="1"/>
  <c r="M320" i="1"/>
  <c r="M342" i="1"/>
  <c r="M364" i="1"/>
  <c r="M245" i="1"/>
  <c r="M26" i="1"/>
  <c r="M48" i="1"/>
  <c r="M70" i="1"/>
  <c r="M114" i="1"/>
  <c r="M44" i="1"/>
  <c r="M1037" i="1"/>
  <c r="M1082" i="1"/>
  <c r="M775" i="1"/>
  <c r="M1018" i="1"/>
  <c r="M975" i="1"/>
  <c r="M976" i="1"/>
  <c r="M999" i="1"/>
  <c r="M978" i="1"/>
  <c r="M136" i="1"/>
  <c r="M158" i="1"/>
  <c r="M180" i="1"/>
  <c r="M202" i="1"/>
  <c r="M224" i="1"/>
  <c r="M246" i="1"/>
  <c r="M268" i="1"/>
  <c r="M290" i="1"/>
  <c r="M312" i="1"/>
  <c r="M356" i="1"/>
  <c r="M378" i="1"/>
  <c r="M422" i="1"/>
  <c r="M510" i="1"/>
  <c r="M532" i="1"/>
  <c r="M554" i="1"/>
  <c r="M576" i="1"/>
  <c r="M620" i="1"/>
  <c r="M642" i="1"/>
  <c r="M664" i="1"/>
  <c r="M686" i="1"/>
  <c r="M708" i="1"/>
  <c r="M730" i="1"/>
  <c r="M752" i="1"/>
  <c r="M774" i="1"/>
  <c r="M884" i="1"/>
  <c r="M906" i="1"/>
  <c r="M928" i="1"/>
  <c r="M950" i="1"/>
  <c r="M972" i="1"/>
  <c r="M1016" i="1"/>
  <c r="M1038" i="1"/>
  <c r="M577" i="1"/>
  <c r="M72" i="1"/>
  <c r="M138" i="1"/>
  <c r="M248" i="1"/>
  <c r="M578" i="1"/>
  <c r="M644" i="1"/>
  <c r="M776" i="1"/>
  <c r="M73" i="1"/>
  <c r="M403" i="1"/>
  <c r="M557" i="1"/>
  <c r="M645" i="1"/>
  <c r="M953" i="1"/>
  <c r="M8" i="1"/>
  <c r="M30" i="1"/>
  <c r="M52" i="1"/>
  <c r="M74" i="1"/>
  <c r="M96" i="1"/>
  <c r="M118" i="1"/>
  <c r="M140" i="1"/>
  <c r="M162" i="1"/>
  <c r="M184" i="1"/>
  <c r="M206" i="1"/>
  <c r="M250" i="1"/>
  <c r="M272" i="1"/>
  <c r="M316" i="1"/>
  <c r="M338" i="1"/>
  <c r="M404" i="1"/>
  <c r="M580" i="1"/>
  <c r="M646" i="1"/>
  <c r="M690" i="1"/>
  <c r="M734" i="1"/>
  <c r="M910" i="1"/>
  <c r="M932" i="1"/>
  <c r="M911" i="1"/>
  <c r="M955" i="1"/>
  <c r="M977" i="1"/>
  <c r="M956" i="1"/>
  <c r="M1214" i="1"/>
  <c r="M1170" i="1"/>
  <c r="M1152" i="1"/>
  <c r="M1174" i="1"/>
  <c r="M1175" i="1"/>
  <c r="M1154" i="1"/>
  <c r="M1176" i="1"/>
  <c r="M1156" i="1"/>
  <c r="M1178" i="1"/>
  <c r="M1126" i="1"/>
  <c r="M1148" i="1"/>
  <c r="M1108" i="1"/>
  <c r="M1130" i="1"/>
  <c r="M1042" i="1"/>
  <c r="M1086" i="1"/>
  <c r="M1087" i="1"/>
  <c r="M1044" i="1"/>
  <c r="M1088" i="1"/>
  <c r="M980" i="1"/>
  <c r="M796" i="1"/>
  <c r="M818" i="1"/>
  <c r="M821" i="1"/>
  <c r="M778" i="1"/>
  <c r="M800" i="1"/>
  <c r="M822" i="1"/>
  <c r="M801" i="1"/>
  <c r="M823" i="1"/>
  <c r="M824" i="1"/>
  <c r="M826" i="1"/>
  <c r="M251" i="1"/>
  <c r="M32" i="1"/>
  <c r="M142" i="1"/>
  <c r="M186" i="1"/>
  <c r="M252" i="1"/>
  <c r="M384" i="1"/>
  <c r="M714" i="1"/>
  <c r="M63" i="1"/>
  <c r="M151" i="1"/>
  <c r="M217" i="1"/>
  <c r="M349" i="1"/>
  <c r="M481" i="1"/>
  <c r="M503" i="1"/>
  <c r="M679" i="1"/>
  <c r="M701" i="1"/>
  <c r="M723" i="1"/>
  <c r="M877" i="1"/>
  <c r="M1185" i="1"/>
  <c r="M174" i="1"/>
  <c r="M218" i="1"/>
  <c r="M306" i="1"/>
  <c r="M328" i="1"/>
  <c r="M680" i="1"/>
  <c r="M724" i="1"/>
  <c r="M812" i="1"/>
  <c r="M966" i="1"/>
  <c r="M1231" i="1"/>
  <c r="M327" i="1"/>
  <c r="M657" i="1"/>
  <c r="M21" i="1"/>
  <c r="M87" i="1"/>
  <c r="M109" i="1"/>
  <c r="M153" i="1"/>
  <c r="M175" i="1"/>
  <c r="M329" i="1"/>
  <c r="M373" i="1"/>
  <c r="M527" i="1"/>
  <c r="M549" i="1"/>
  <c r="M571" i="1"/>
  <c r="M593" i="1"/>
  <c r="M659" i="1"/>
  <c r="M725" i="1"/>
  <c r="M813" i="1"/>
  <c r="M857" i="1"/>
  <c r="M879" i="1"/>
  <c r="M901" i="1"/>
  <c r="M923" i="1"/>
  <c r="M1011" i="1"/>
  <c r="M1033" i="1"/>
  <c r="M1143" i="1"/>
  <c r="M1165" i="1"/>
  <c r="M1209" i="1"/>
  <c r="M22" i="1"/>
  <c r="M176" i="1"/>
  <c r="M23" i="1"/>
  <c r="M45" i="1"/>
  <c r="M67" i="1"/>
  <c r="M89" i="1"/>
  <c r="M111" i="1"/>
  <c r="M133" i="1"/>
  <c r="M199" i="1"/>
  <c r="M221" i="1"/>
  <c r="M331" i="1"/>
  <c r="M375" i="1"/>
  <c r="M441" i="1"/>
  <c r="M507" i="1"/>
  <c r="M551" i="1"/>
  <c r="M595" i="1"/>
  <c r="M683" i="1"/>
  <c r="M727" i="1"/>
  <c r="M771" i="1"/>
  <c r="M859" i="1"/>
  <c r="M925" i="1"/>
  <c r="M969" i="1"/>
  <c r="M1013" i="1"/>
  <c r="M1101" i="1"/>
  <c r="M1189" i="1"/>
  <c r="M198" i="1"/>
  <c r="M220" i="1"/>
  <c r="M242" i="1"/>
  <c r="M264" i="1"/>
  <c r="M374" i="1"/>
  <c r="M484" i="1"/>
  <c r="M528" i="1"/>
  <c r="M594" i="1"/>
  <c r="M616" i="1"/>
  <c r="M704" i="1"/>
  <c r="M726" i="1"/>
  <c r="M880" i="1"/>
  <c r="M924" i="1"/>
  <c r="M968" i="1"/>
  <c r="M1012" i="1"/>
  <c r="M1210" i="1"/>
  <c r="M243" i="1"/>
  <c r="M353" i="1"/>
  <c r="M419" i="1"/>
  <c r="M463" i="1"/>
  <c r="M485" i="1"/>
  <c r="M529" i="1"/>
  <c r="M573" i="1"/>
  <c r="M705" i="1"/>
  <c r="M749" i="1"/>
  <c r="M815" i="1"/>
  <c r="M903" i="1"/>
  <c r="M947" i="1"/>
  <c r="M991" i="1"/>
  <c r="M1057" i="1"/>
  <c r="M1167" i="1"/>
  <c r="M1233" i="1"/>
  <c r="M58" i="1"/>
  <c r="M103" i="1"/>
  <c r="M301" i="1"/>
  <c r="M1203" i="1"/>
  <c r="M322" i="1"/>
  <c r="M520" i="1"/>
  <c r="M37" i="1"/>
  <c r="M59" i="1"/>
  <c r="M81" i="1"/>
  <c r="M125" i="1"/>
  <c r="M147" i="1"/>
  <c r="M213" i="1"/>
  <c r="M235" i="1"/>
  <c r="M257" i="1"/>
  <c r="M279" i="1"/>
  <c r="M323" i="1"/>
  <c r="M345" i="1"/>
  <c r="M389" i="1"/>
  <c r="M411" i="1"/>
  <c r="M433" i="1"/>
  <c r="M455" i="1"/>
  <c r="M521" i="1"/>
  <c r="M543" i="1"/>
  <c r="M587" i="1"/>
  <c r="M609" i="1"/>
  <c r="M631" i="1"/>
  <c r="M653" i="1"/>
  <c r="M675" i="1"/>
  <c r="M719" i="1"/>
  <c r="M741" i="1"/>
  <c r="M807" i="1"/>
  <c r="M829" i="1"/>
  <c r="M851" i="1"/>
  <c r="M917" i="1"/>
  <c r="M939" i="1"/>
  <c r="M983" i="1"/>
  <c r="M1005" i="1"/>
  <c r="M1027" i="1"/>
  <c r="M1049" i="1"/>
  <c r="M1071" i="1"/>
  <c r="M1093" i="1"/>
  <c r="M1115" i="1"/>
  <c r="M1137" i="1"/>
  <c r="M1159" i="1"/>
  <c r="M1181" i="1"/>
  <c r="M1225" i="1"/>
  <c r="M62" i="1"/>
  <c r="M150" i="1"/>
  <c r="M304" i="1"/>
  <c r="M876" i="1"/>
  <c r="M1140" i="1"/>
  <c r="M13" i="1"/>
  <c r="M35" i="1"/>
  <c r="M57" i="1"/>
  <c r="M79" i="1"/>
  <c r="M101" i="1"/>
  <c r="M123" i="1"/>
  <c r="M145" i="1"/>
  <c r="M167" i="1"/>
  <c r="M189" i="1"/>
  <c r="M211" i="1"/>
  <c r="M233" i="1"/>
  <c r="M255" i="1"/>
  <c r="M277" i="1"/>
  <c r="M299" i="1"/>
  <c r="M321" i="1"/>
  <c r="M343" i="1"/>
  <c r="M365" i="1"/>
  <c r="M387" i="1"/>
  <c r="M409" i="1"/>
  <c r="M431" i="1"/>
  <c r="M453" i="1"/>
  <c r="M475" i="1"/>
  <c r="M497" i="1"/>
  <c r="M519" i="1"/>
  <c r="M418" i="1"/>
  <c r="M541" i="1"/>
  <c r="M563" i="1"/>
  <c r="M585" i="1"/>
  <c r="M607" i="1"/>
  <c r="M629" i="1"/>
  <c r="M651" i="1"/>
  <c r="M673" i="1"/>
  <c r="M695" i="1"/>
  <c r="M717" i="1"/>
  <c r="M739" i="1"/>
  <c r="M761" i="1"/>
  <c r="M783" i="1"/>
  <c r="M805" i="1"/>
  <c r="M827" i="1"/>
  <c r="M849" i="1"/>
  <c r="M871" i="1"/>
  <c r="M893" i="1"/>
  <c r="M915" i="1"/>
  <c r="M937" i="1"/>
  <c r="M959" i="1"/>
  <c r="M981" i="1"/>
  <c r="M1003" i="1"/>
  <c r="M1025" i="1"/>
  <c r="M1047" i="1"/>
  <c r="M1069" i="1"/>
  <c r="M1091" i="1"/>
  <c r="M1113" i="1"/>
  <c r="M1135" i="1"/>
  <c r="M1157" i="1"/>
  <c r="M1179" i="1"/>
  <c r="M1201" i="1"/>
  <c r="M1223" i="1"/>
  <c r="M46" i="1"/>
  <c r="M68" i="1"/>
  <c r="M90" i="1"/>
  <c r="M112" i="1"/>
  <c r="M134" i="1"/>
  <c r="M178" i="1"/>
  <c r="M200" i="1"/>
  <c r="M222" i="1"/>
  <c r="M288" i="1"/>
  <c r="M310" i="1"/>
  <c r="M332" i="1"/>
  <c r="M354" i="1"/>
  <c r="M376" i="1"/>
  <c r="M398" i="1"/>
  <c r="M420" i="1"/>
  <c r="M442" i="1"/>
  <c r="M530" i="1"/>
  <c r="M552" i="1"/>
  <c r="M574" i="1"/>
  <c r="M596" i="1"/>
  <c r="M618" i="1"/>
  <c r="M662" i="1"/>
  <c r="M684" i="1"/>
  <c r="M706" i="1"/>
  <c r="M750" i="1"/>
  <c r="M772" i="1"/>
  <c r="M794" i="1"/>
  <c r="M816" i="1"/>
  <c r="M860" i="1"/>
  <c r="M882" i="1"/>
  <c r="M904" i="1"/>
  <c r="M926" i="1"/>
  <c r="M948" i="1"/>
  <c r="M1014" i="1"/>
  <c r="M1058" i="1"/>
  <c r="M1080" i="1"/>
  <c r="M1102" i="1"/>
  <c r="M1146" i="1"/>
  <c r="M1168" i="1"/>
  <c r="M1234" i="1"/>
  <c r="M14" i="1"/>
  <c r="M223" i="1"/>
  <c r="M421" i="1"/>
  <c r="M597" i="1"/>
  <c r="M619" i="1"/>
  <c r="M993" i="1"/>
  <c r="M1015" i="1"/>
  <c r="M93" i="1"/>
  <c r="M137" i="1"/>
  <c r="M247" i="1"/>
  <c r="M401" i="1"/>
  <c r="M445" i="1"/>
  <c r="M489" i="1"/>
  <c r="M599" i="1"/>
  <c r="M643" i="1"/>
  <c r="M687" i="1"/>
  <c r="M797" i="1"/>
  <c r="M1039" i="1"/>
  <c r="M1105" i="1"/>
  <c r="M1171" i="1"/>
  <c r="M1215" i="1"/>
  <c r="M94" i="1"/>
  <c r="M160" i="1"/>
  <c r="M468" i="1"/>
  <c r="M666" i="1"/>
  <c r="M798" i="1"/>
  <c r="M886" i="1"/>
  <c r="M974" i="1"/>
  <c r="M1040" i="1"/>
  <c r="M1128" i="1"/>
  <c r="M139" i="1"/>
  <c r="M425" i="1"/>
  <c r="M579" i="1"/>
  <c r="M623" i="1"/>
  <c r="M755" i="1"/>
  <c r="M1217" i="1"/>
  <c r="M209" i="1"/>
  <c r="M5" i="1"/>
  <c r="M115" i="1"/>
  <c r="M335" i="1"/>
  <c r="M379" i="1"/>
  <c r="M467" i="1"/>
  <c r="M885" i="1"/>
  <c r="M973" i="1"/>
  <c r="M1061" i="1"/>
  <c r="M1127" i="1"/>
  <c r="M1193" i="1"/>
  <c r="M6" i="1"/>
  <c r="M182" i="1"/>
  <c r="M270" i="1"/>
  <c r="M446" i="1"/>
  <c r="M534" i="1"/>
  <c r="M732" i="1"/>
  <c r="M820" i="1"/>
  <c r="M1062" i="1"/>
  <c r="M1106" i="1"/>
  <c r="M117" i="1"/>
  <c r="M249" i="1"/>
  <c r="M381" i="1"/>
  <c r="M1129" i="1"/>
  <c r="M36" i="1"/>
  <c r="M80" i="1"/>
  <c r="M102" i="1"/>
  <c r="M124" i="1"/>
  <c r="M146" i="1"/>
  <c r="M168" i="1"/>
  <c r="M190" i="1"/>
  <c r="M212" i="1"/>
  <c r="M234" i="1"/>
  <c r="M256" i="1"/>
  <c r="M278" i="1"/>
  <c r="M300" i="1"/>
  <c r="M344" i="1"/>
  <c r="M366" i="1"/>
  <c r="M388" i="1"/>
  <c r="M410" i="1"/>
  <c r="M432" i="1"/>
  <c r="M454" i="1"/>
  <c r="M476" i="1"/>
  <c r="M498" i="1"/>
  <c r="M542" i="1"/>
  <c r="M564" i="1"/>
  <c r="M586" i="1"/>
  <c r="M608" i="1"/>
  <c r="M630" i="1"/>
  <c r="M652" i="1"/>
  <c r="M674" i="1"/>
  <c r="M696" i="1"/>
  <c r="M718" i="1"/>
  <c r="M740" i="1"/>
  <c r="M762" i="1"/>
  <c r="M784" i="1"/>
  <c r="M806" i="1"/>
  <c r="M828" i="1"/>
  <c r="M850" i="1"/>
  <c r="M872" i="1"/>
  <c r="M894" i="1"/>
  <c r="M916" i="1"/>
  <c r="M938" i="1"/>
  <c r="M960" i="1"/>
  <c r="M982" i="1"/>
  <c r="M1004" i="1"/>
  <c r="M1026" i="1"/>
  <c r="M1048" i="1"/>
  <c r="M1070" i="1"/>
  <c r="M1092" i="1"/>
  <c r="M1114" i="1"/>
  <c r="M1136" i="1"/>
  <c r="M1158" i="1"/>
  <c r="M1180" i="1"/>
  <c r="M1202" i="1"/>
  <c r="M1224" i="1"/>
  <c r="M499" i="1"/>
  <c r="M785" i="1"/>
  <c r="M873" i="1"/>
  <c r="M895" i="1"/>
  <c r="M16" i="1"/>
  <c r="M38" i="1"/>
  <c r="M60" i="1"/>
  <c r="M82" i="1"/>
  <c r="M104" i="1"/>
  <c r="M126" i="1"/>
  <c r="M148" i="1"/>
  <c r="M170" i="1"/>
  <c r="M192" i="1"/>
  <c r="M214" i="1"/>
  <c r="M236" i="1"/>
  <c r="M258" i="1"/>
  <c r="M280" i="1"/>
  <c r="M302" i="1"/>
  <c r="M324" i="1"/>
  <c r="M346" i="1"/>
  <c r="M368" i="1"/>
  <c r="M390" i="1"/>
  <c r="M412" i="1"/>
  <c r="M434" i="1"/>
  <c r="M456" i="1"/>
  <c r="M478" i="1"/>
  <c r="M500" i="1"/>
  <c r="M522" i="1"/>
  <c r="M544" i="1"/>
  <c r="M566" i="1"/>
  <c r="M588" i="1"/>
  <c r="M610" i="1"/>
  <c r="M632" i="1"/>
  <c r="M654" i="1"/>
  <c r="M676" i="1"/>
  <c r="M698" i="1"/>
  <c r="M720" i="1"/>
  <c r="M742" i="1"/>
  <c r="M764" i="1"/>
  <c r="M786" i="1"/>
  <c r="M808" i="1"/>
  <c r="M830" i="1"/>
  <c r="M852" i="1"/>
  <c r="M874" i="1"/>
  <c r="M896" i="1"/>
  <c r="M918" i="1"/>
  <c r="M940" i="1"/>
  <c r="M962" i="1"/>
  <c r="M984" i="1"/>
  <c r="M1006" i="1"/>
  <c r="M1028" i="1"/>
  <c r="M1050" i="1"/>
  <c r="M1072" i="1"/>
  <c r="M1094" i="1"/>
  <c r="M1116" i="1"/>
  <c r="M1138" i="1"/>
  <c r="M1160" i="1"/>
  <c r="M1182" i="1"/>
  <c r="M1204" i="1"/>
  <c r="M1226" i="1"/>
  <c r="M17" i="1"/>
  <c r="M39" i="1"/>
  <c r="M61" i="1"/>
  <c r="M83" i="1"/>
  <c r="M105" i="1"/>
  <c r="M127" i="1"/>
  <c r="M149" i="1"/>
  <c r="M171" i="1"/>
  <c r="M193" i="1"/>
  <c r="M215" i="1"/>
  <c r="M237" i="1"/>
  <c r="M259" i="1"/>
  <c r="M281" i="1"/>
  <c r="M303" i="1"/>
  <c r="M325" i="1"/>
  <c r="M347" i="1"/>
  <c r="M369" i="1"/>
  <c r="M391" i="1"/>
  <c r="M413" i="1"/>
  <c r="M435" i="1"/>
  <c r="M457" i="1"/>
  <c r="M479" i="1"/>
  <c r="M501" i="1"/>
  <c r="M523" i="1"/>
  <c r="M545" i="1"/>
  <c r="M567" i="1"/>
  <c r="M589" i="1"/>
  <c r="M611" i="1"/>
  <c r="M633" i="1"/>
  <c r="M655" i="1"/>
  <c r="M677" i="1"/>
  <c r="M699" i="1"/>
  <c r="M721" i="1"/>
  <c r="M743" i="1"/>
  <c r="M765" i="1"/>
  <c r="M787" i="1"/>
  <c r="M809" i="1"/>
  <c r="M831" i="1"/>
  <c r="M853" i="1"/>
  <c r="M875" i="1"/>
  <c r="M941" i="1"/>
  <c r="M1036" i="1"/>
  <c r="M1190" i="1"/>
  <c r="M897" i="1"/>
  <c r="M919" i="1"/>
  <c r="M985" i="1"/>
  <c r="M1029" i="1"/>
  <c r="M1073" i="1"/>
  <c r="M1095" i="1"/>
  <c r="M1139" i="1"/>
  <c r="M1183" i="1"/>
  <c r="M1227" i="1"/>
  <c r="M40" i="1"/>
  <c r="M106" i="1"/>
  <c r="M172" i="1"/>
  <c r="M216" i="1"/>
  <c r="M260" i="1"/>
  <c r="M282" i="1"/>
  <c r="M348" i="1"/>
  <c r="M370" i="1"/>
  <c r="M414" i="1"/>
  <c r="M458" i="1"/>
  <c r="M502" i="1"/>
  <c r="M546" i="1"/>
  <c r="M590" i="1"/>
  <c r="M634" i="1"/>
  <c r="M678" i="1"/>
  <c r="M744" i="1"/>
  <c r="M788" i="1"/>
  <c r="M832" i="1"/>
  <c r="M898" i="1"/>
  <c r="M942" i="1"/>
  <c r="M986" i="1"/>
  <c r="M1052" i="1"/>
  <c r="M1096" i="1"/>
  <c r="M1162" i="1"/>
  <c r="M1206" i="1"/>
  <c r="M20" i="1"/>
  <c r="M240" i="1"/>
  <c r="M394" i="1"/>
  <c r="M504" i="1"/>
  <c r="M658" i="1"/>
  <c r="M834" i="1"/>
  <c r="M1142" i="1"/>
  <c r="M88" i="1"/>
  <c r="M154" i="1"/>
  <c r="M330" i="1"/>
  <c r="M1056" i="1"/>
  <c r="M963" i="1"/>
  <c r="M1007" i="1"/>
  <c r="M1051" i="1"/>
  <c r="M1117" i="1"/>
  <c r="M1161" i="1"/>
  <c r="M1205" i="1"/>
  <c r="M18" i="1"/>
  <c r="M84" i="1"/>
  <c r="M128" i="1"/>
  <c r="M194" i="1"/>
  <c r="M238" i="1"/>
  <c r="M326" i="1"/>
  <c r="M392" i="1"/>
  <c r="M436" i="1"/>
  <c r="M480" i="1"/>
  <c r="M524" i="1"/>
  <c r="M568" i="1"/>
  <c r="M612" i="1"/>
  <c r="M656" i="1"/>
  <c r="M700" i="1"/>
  <c r="M722" i="1"/>
  <c r="M766" i="1"/>
  <c r="M810" i="1"/>
  <c r="M854" i="1"/>
  <c r="M920" i="1"/>
  <c r="M964" i="1"/>
  <c r="M1008" i="1"/>
  <c r="M1030" i="1"/>
  <c r="M1074" i="1"/>
  <c r="M1118" i="1"/>
  <c r="M1184" i="1"/>
  <c r="M1228" i="1"/>
  <c r="M42" i="1"/>
  <c r="M108" i="1"/>
  <c r="M350" i="1"/>
  <c r="M482" i="1"/>
  <c r="M526" i="1"/>
  <c r="M570" i="1"/>
  <c r="M922" i="1"/>
  <c r="M1054" i="1"/>
  <c r="M1164" i="1"/>
  <c r="M66" i="1"/>
  <c r="M110" i="1"/>
  <c r="M132" i="1"/>
  <c r="M286" i="1"/>
  <c r="M308" i="1"/>
  <c r="M352" i="1"/>
  <c r="M396" i="1"/>
  <c r="M440" i="1"/>
  <c r="M462" i="1"/>
  <c r="M506" i="1"/>
  <c r="M550" i="1"/>
  <c r="M572" i="1"/>
  <c r="M638" i="1"/>
  <c r="M660" i="1"/>
  <c r="M682" i="1"/>
  <c r="M748" i="1"/>
  <c r="M770" i="1"/>
  <c r="M792" i="1"/>
  <c r="M814" i="1"/>
  <c r="M836" i="1"/>
  <c r="M858" i="1"/>
  <c r="M902" i="1"/>
  <c r="M946" i="1"/>
  <c r="M990" i="1"/>
  <c r="M1034" i="1"/>
  <c r="M1078" i="1"/>
  <c r="M1100" i="1"/>
  <c r="M1122" i="1"/>
  <c r="M1144" i="1"/>
  <c r="M1166" i="1"/>
  <c r="M1188" i="1"/>
  <c r="M1232" i="1"/>
  <c r="M15" i="1"/>
  <c r="M191" i="1"/>
  <c r="M367" i="1"/>
  <c r="M697" i="1"/>
  <c r="M763" i="1"/>
  <c r="M961" i="1"/>
  <c r="M185" i="1"/>
  <c r="M197" i="1"/>
  <c r="M241" i="1"/>
  <c r="M263" i="1"/>
  <c r="M285" i="1"/>
  <c r="M351" i="1"/>
  <c r="M395" i="1"/>
  <c r="M417" i="1"/>
  <c r="M439" i="1"/>
  <c r="M835" i="1"/>
  <c r="M989" i="1"/>
  <c r="M1055" i="1"/>
  <c r="M1077" i="1"/>
  <c r="M265" i="1"/>
  <c r="M287" i="1"/>
  <c r="M1211" i="1"/>
  <c r="M169" i="1"/>
  <c r="M477" i="1"/>
  <c r="M565" i="1"/>
  <c r="M43" i="1"/>
  <c r="M24" i="1"/>
  <c r="M156" i="1"/>
  <c r="M244" i="1"/>
  <c r="M266" i="1"/>
  <c r="M464" i="1"/>
  <c r="M486" i="1"/>
  <c r="M508" i="1"/>
  <c r="M838" i="1"/>
  <c r="M25" i="1"/>
  <c r="M47" i="1"/>
  <c r="M69" i="1"/>
  <c r="M91" i="1"/>
  <c r="M113" i="1"/>
  <c r="M135" i="1"/>
  <c r="M157" i="1"/>
  <c r="M179" i="1"/>
  <c r="M201" i="1"/>
  <c r="M267" i="1"/>
  <c r="M289" i="1"/>
  <c r="M311" i="1"/>
  <c r="M333" i="1"/>
  <c r="M355" i="1"/>
  <c r="M377" i="1"/>
  <c r="M443" i="1"/>
  <c r="M465" i="1"/>
  <c r="M487" i="1"/>
  <c r="M509" i="1"/>
  <c r="M531" i="1"/>
  <c r="M553" i="1"/>
  <c r="M575" i="1"/>
  <c r="M641" i="1"/>
  <c r="M663" i="1"/>
  <c r="M685" i="1"/>
  <c r="M707" i="1"/>
  <c r="M729" i="1"/>
  <c r="M751" i="1"/>
  <c r="M773" i="1"/>
  <c r="M795" i="1"/>
  <c r="M817" i="1"/>
  <c r="M839" i="1"/>
  <c r="M861" i="1"/>
  <c r="M883" i="1"/>
  <c r="M905" i="1"/>
  <c r="M927" i="1"/>
  <c r="M949" i="1"/>
  <c r="M971" i="1"/>
  <c r="M1059" i="1"/>
  <c r="M1081" i="1"/>
  <c r="M1103" i="1"/>
  <c r="M1125" i="1"/>
  <c r="M1147" i="1"/>
  <c r="M1169" i="1"/>
  <c r="M1191" i="1"/>
  <c r="M1213" i="1"/>
  <c r="M1235" i="1"/>
  <c r="M19" i="1"/>
  <c r="M41" i="1"/>
  <c r="M85" i="1"/>
  <c r="M107" i="1"/>
  <c r="M129" i="1"/>
  <c r="M173" i="1"/>
  <c r="M195" i="1"/>
  <c r="M239" i="1"/>
  <c r="M261" i="1"/>
  <c r="M283" i="1"/>
  <c r="M305" i="1"/>
  <c r="M371" i="1"/>
  <c r="M393" i="1"/>
  <c r="M415" i="1"/>
  <c r="M437" i="1"/>
  <c r="M459" i="1"/>
  <c r="M525" i="1"/>
  <c r="M547" i="1"/>
  <c r="M569" i="1"/>
  <c r="M591" i="1"/>
  <c r="M613" i="1"/>
  <c r="M635" i="1"/>
  <c r="M745" i="1"/>
  <c r="M767" i="1"/>
  <c r="M789" i="1"/>
  <c r="M811" i="1"/>
  <c r="M833" i="1"/>
  <c r="M855" i="1"/>
  <c r="M899" i="1"/>
  <c r="M921" i="1"/>
  <c r="M943" i="1"/>
  <c r="M965" i="1"/>
  <c r="M987" i="1"/>
  <c r="M1009" i="1"/>
  <c r="M1031" i="1"/>
  <c r="M1053" i="1"/>
  <c r="M1075" i="1"/>
  <c r="M1097" i="1"/>
  <c r="M1119" i="1"/>
  <c r="M1141" i="1"/>
  <c r="M1163" i="1"/>
  <c r="M1207" i="1"/>
  <c r="M1229" i="1"/>
  <c r="M617" i="1"/>
  <c r="M837" i="1"/>
  <c r="M1035" i="1"/>
  <c r="M1079" i="1"/>
  <c r="M78" i="1"/>
  <c r="M408" i="1"/>
  <c r="M430" i="1"/>
  <c r="M562" i="1"/>
  <c r="M892" i="1"/>
  <c r="M914" i="1"/>
  <c r="M1046" i="1"/>
  <c r="M64" i="1"/>
  <c r="M86" i="1"/>
  <c r="M196" i="1"/>
  <c r="M262" i="1"/>
  <c r="M416" i="1"/>
  <c r="M438" i="1"/>
  <c r="M460" i="1"/>
  <c r="M548" i="1"/>
  <c r="M592" i="1"/>
  <c r="M702" i="1"/>
  <c r="M746" i="1"/>
  <c r="M790" i="1"/>
  <c r="M878" i="1"/>
  <c r="M900" i="1"/>
  <c r="M944" i="1"/>
  <c r="M988" i="1"/>
  <c r="M1010" i="1"/>
  <c r="M1032" i="1"/>
  <c r="M1076" i="1"/>
  <c r="M1186" i="1"/>
  <c r="M1208" i="1"/>
  <c r="M1230" i="1"/>
  <c r="M143" i="1"/>
  <c r="M165" i="1"/>
  <c r="M187" i="1"/>
  <c r="M231" i="1"/>
  <c r="M253" i="1"/>
  <c r="M275" i="1"/>
  <c r="M297" i="1"/>
  <c r="M319" i="1"/>
  <c r="M341" i="1"/>
  <c r="M363" i="1"/>
  <c r="M385" i="1"/>
  <c r="M407" i="1"/>
  <c r="M429" i="1"/>
  <c r="M451" i="1"/>
  <c r="M473" i="1"/>
  <c r="M495" i="1"/>
  <c r="M517" i="1"/>
  <c r="M539" i="1"/>
  <c r="M561" i="1"/>
  <c r="M583" i="1"/>
  <c r="M605" i="1"/>
  <c r="M627" i="1"/>
  <c r="M649" i="1"/>
  <c r="M671" i="1"/>
  <c r="M693" i="1"/>
  <c r="M715" i="1"/>
  <c r="M737" i="1"/>
  <c r="M759" i="1"/>
  <c r="M781" i="1"/>
  <c r="M803" i="1"/>
  <c r="M825" i="1"/>
  <c r="M847" i="1"/>
  <c r="M869" i="1"/>
  <c r="M891" i="1"/>
  <c r="M913" i="1"/>
  <c r="M935" i="1"/>
  <c r="M957" i="1"/>
  <c r="M979" i="1"/>
  <c r="M1001" i="1"/>
  <c r="M1023" i="1"/>
  <c r="M1045" i="1"/>
  <c r="M1067" i="1"/>
  <c r="M1089" i="1"/>
  <c r="M1111" i="1"/>
  <c r="M1133" i="1"/>
  <c r="M1155" i="1"/>
  <c r="M1177" i="1"/>
  <c r="M1199" i="1"/>
  <c r="M1221" i="1"/>
  <c r="M1243" i="1"/>
  <c r="M71" i="1"/>
  <c r="M203" i="1"/>
  <c r="M313" i="1"/>
  <c r="M709" i="1"/>
  <c r="M731" i="1"/>
  <c r="M907" i="1"/>
  <c r="M929" i="1"/>
  <c r="M951" i="1"/>
  <c r="M50" i="1"/>
  <c r="M314" i="1"/>
  <c r="M556" i="1"/>
  <c r="M710" i="1"/>
  <c r="M754" i="1"/>
  <c r="M908" i="1"/>
  <c r="M952" i="1"/>
  <c r="M7" i="1"/>
  <c r="M29" i="1"/>
  <c r="M51" i="1"/>
  <c r="M95" i="1"/>
  <c r="M161" i="1"/>
  <c r="M183" i="1"/>
  <c r="M205" i="1"/>
  <c r="M227" i="1"/>
  <c r="M271" i="1"/>
  <c r="M315" i="1"/>
  <c r="M337" i="1"/>
  <c r="M359" i="1"/>
  <c r="M447" i="1"/>
  <c r="M469" i="1"/>
  <c r="M491" i="1"/>
  <c r="M513" i="1"/>
  <c r="M535" i="1"/>
  <c r="M667" i="1"/>
  <c r="M689" i="1"/>
  <c r="M711" i="1"/>
  <c r="M733" i="1"/>
  <c r="M777" i="1"/>
  <c r="M799" i="1"/>
  <c r="M843" i="1"/>
  <c r="M865" i="1"/>
  <c r="M887" i="1"/>
  <c r="M909" i="1"/>
  <c r="M931" i="1"/>
  <c r="M1019" i="1"/>
  <c r="M1041" i="1"/>
  <c r="M1063" i="1"/>
  <c r="M1085" i="1"/>
  <c r="M1107" i="1"/>
  <c r="M1151" i="1"/>
  <c r="M1173" i="1"/>
  <c r="M1195" i="1"/>
  <c r="M1239" i="1"/>
  <c r="M130" i="1"/>
  <c r="M152" i="1"/>
  <c r="M284" i="1"/>
  <c r="M372" i="1"/>
  <c r="M614" i="1"/>
  <c r="M636" i="1"/>
  <c r="M768" i="1"/>
  <c r="M856" i="1"/>
  <c r="M1098" i="1"/>
  <c r="M1120" i="1"/>
  <c r="M65" i="1"/>
  <c r="M131" i="1"/>
  <c r="M219" i="1"/>
  <c r="M307" i="1"/>
  <c r="M461" i="1"/>
  <c r="M483" i="1"/>
  <c r="M505" i="1"/>
  <c r="M615" i="1"/>
  <c r="M637" i="1"/>
  <c r="M681" i="1"/>
  <c r="M703" i="1"/>
  <c r="M747" i="1"/>
  <c r="M769" i="1"/>
  <c r="M791" i="1"/>
  <c r="M945" i="1"/>
  <c r="M967" i="1"/>
  <c r="M1099" i="1"/>
  <c r="M1121" i="1"/>
  <c r="M1187" i="1"/>
  <c r="M640" i="1"/>
  <c r="M992" i="1"/>
  <c r="M1124" i="1"/>
  <c r="M27" i="1"/>
  <c r="M49" i="1"/>
  <c r="M159" i="1"/>
  <c r="M181" i="1"/>
  <c r="M225" i="1"/>
  <c r="M269" i="1"/>
  <c r="M291" i="1"/>
  <c r="M357" i="1"/>
  <c r="M423" i="1"/>
  <c r="M511" i="1"/>
  <c r="M533" i="1"/>
  <c r="M555" i="1"/>
  <c r="M621" i="1"/>
  <c r="M665" i="1"/>
  <c r="M753" i="1"/>
  <c r="M819" i="1"/>
  <c r="M841" i="1"/>
  <c r="M863" i="1"/>
  <c r="M995" i="1"/>
  <c r="M1017" i="1"/>
  <c r="M1083" i="1"/>
  <c r="M1149" i="1"/>
  <c r="M1237" i="1"/>
  <c r="M28" i="1"/>
  <c r="M116" i="1"/>
  <c r="M204" i="1"/>
  <c r="M226" i="1"/>
  <c r="M292" i="1"/>
  <c r="M358" i="1"/>
  <c r="M380" i="1"/>
  <c r="M424" i="1"/>
  <c r="M490" i="1"/>
  <c r="M512" i="1"/>
  <c r="M600" i="1"/>
  <c r="M622" i="1"/>
  <c r="M688" i="1"/>
  <c r="M842" i="1"/>
  <c r="M864" i="1"/>
  <c r="M930" i="1"/>
  <c r="M996" i="1"/>
  <c r="M1084" i="1"/>
  <c r="M1150" i="1"/>
  <c r="M1172" i="1"/>
  <c r="M1194" i="1"/>
  <c r="M1216" i="1"/>
  <c r="M1238" i="1"/>
  <c r="M728" i="1"/>
  <c r="M970" i="1"/>
  <c r="M1212" i="1"/>
  <c r="M31" i="1"/>
  <c r="M53" i="1"/>
  <c r="M141" i="1"/>
  <c r="M163" i="1"/>
  <c r="M229" i="1"/>
  <c r="M273" i="1"/>
  <c r="M383" i="1"/>
  <c r="M405" i="1"/>
  <c r="M471" i="1"/>
  <c r="M537" i="1"/>
  <c r="M581" i="1"/>
  <c r="M603" i="1"/>
  <c r="M625" i="1"/>
  <c r="M669" i="1"/>
  <c r="M713" i="1"/>
  <c r="M845" i="1"/>
  <c r="M867" i="1"/>
  <c r="M889" i="1"/>
  <c r="M1021" i="1"/>
  <c r="M1043" i="1"/>
  <c r="M1109" i="1"/>
  <c r="M1153" i="1"/>
  <c r="M1197" i="1"/>
  <c r="M1219" i="1"/>
  <c r="M155" i="1"/>
  <c r="M177" i="1"/>
  <c r="M309" i="1"/>
  <c r="M397" i="1"/>
  <c r="M639" i="1"/>
  <c r="M661" i="1"/>
  <c r="M793" i="1"/>
  <c r="M881" i="1"/>
  <c r="M1123" i="1"/>
  <c r="M1145" i="1"/>
  <c r="J9" i="2" l="1"/>
  <c r="C13" i="2" s="1"/>
  <c r="C14" i="2" s="1"/>
  <c r="E20" i="2"/>
  <c r="N16" i="3"/>
  <c r="L15" i="3"/>
  <c r="J9" i="3"/>
  <c r="E36" i="3" s="1"/>
  <c r="F36" i="3" s="1"/>
  <c r="N8" i="2"/>
  <c r="L8" i="2" s="1"/>
  <c r="L7" i="2"/>
  <c r="F20" i="2"/>
  <c r="F22" i="2" s="1"/>
  <c r="S35" i="1"/>
  <c r="S32" i="1"/>
  <c r="T32" i="1" s="1"/>
  <c r="S34" i="1"/>
  <c r="S33" i="1"/>
  <c r="T33" i="1" s="1"/>
  <c r="L16" i="3" l="1"/>
  <c r="N17" i="3"/>
  <c r="J19" i="3"/>
  <c r="L17" i="3" l="1"/>
  <c r="N18" i="3"/>
  <c r="L18" i="3" s="1"/>
  <c r="C29" i="3"/>
  <c r="C30" i="3" s="1"/>
  <c r="F38" i="3" s="1"/>
</calcChain>
</file>

<file path=xl/sharedStrings.xml><?xml version="1.0" encoding="utf-8"?>
<sst xmlns="http://schemas.openxmlformats.org/spreadsheetml/2006/main" count="93" uniqueCount="37">
  <si>
    <t xml:space="preserve">Date </t>
  </si>
  <si>
    <t>close price</t>
  </si>
  <si>
    <t xml:space="preserve">Outstanding Shares </t>
  </si>
  <si>
    <t xml:space="preserve">Market Value </t>
  </si>
  <si>
    <t>Total Value of Shares Held</t>
  </si>
  <si>
    <t xml:space="preserve">Discount to Holding Value </t>
  </si>
  <si>
    <t>5 Year Discount Trends</t>
  </si>
  <si>
    <t>Date</t>
  </si>
  <si>
    <t>Current Discount</t>
  </si>
  <si>
    <t xml:space="preserve">Maximum Discount </t>
  </si>
  <si>
    <t>Minimum Discount</t>
  </si>
  <si>
    <t>Median</t>
  </si>
  <si>
    <t>Average</t>
  </si>
  <si>
    <t>Kama Holdings</t>
  </si>
  <si>
    <t>SRF</t>
  </si>
  <si>
    <t>Shares Held in SRF</t>
  </si>
  <si>
    <t>KAMA Holdings</t>
  </si>
  <si>
    <t xml:space="preserve">Long </t>
  </si>
  <si>
    <t>Price</t>
  </si>
  <si>
    <t>Short</t>
  </si>
  <si>
    <t>Discount</t>
  </si>
  <si>
    <t>Number of KSB Shares Held in 1 InPru Share</t>
  </si>
  <si>
    <t>Net Position</t>
  </si>
  <si>
    <t>Gain/(Loss) in TVS Holdings</t>
  </si>
  <si>
    <t>Gain/(Loss) in TVS Motor</t>
  </si>
  <si>
    <t>Total Gain/(Loss)</t>
  </si>
  <si>
    <t>TVS Holdings</t>
  </si>
  <si>
    <t>TVS Motors</t>
  </si>
  <si>
    <t>Total Investment</t>
  </si>
  <si>
    <t>Rate of Return</t>
  </si>
  <si>
    <t>Kama Holdings @</t>
  </si>
  <si>
    <t>`</t>
  </si>
  <si>
    <t>SRF Shares @</t>
  </si>
  <si>
    <t>Long</t>
  </si>
  <si>
    <t>Gain/(Loss) in InPru</t>
  </si>
  <si>
    <t>Gain/(Loss) in KSB</t>
  </si>
  <si>
    <t>Kama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</si>
</sst>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#,##0;\(#,##0\)"/>
    <numFmt numFmtId="167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15" fontId="16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43" applyNumberFormat="1" applyFont="1"/>
    <xf numFmtId="2" fontId="0" fillId="0" borderId="0" xfId="0" applyNumberFormat="1"/>
    <xf numFmtId="15" fontId="0" fillId="0" borderId="10" xfId="0" applyNumberFormat="1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164" fontId="0" fillId="0" borderId="10" xfId="0" applyNumberFormat="1" applyBorder="1"/>
    <xf numFmtId="165" fontId="0" fillId="0" borderId="10" xfId="43" applyNumberFormat="1" applyFont="1" applyBorder="1"/>
    <xf numFmtId="2" fontId="0" fillId="0" borderId="10" xfId="0" applyNumberFormat="1" applyBorder="1"/>
    <xf numFmtId="3" fontId="16" fillId="0" borderId="0" xfId="0" applyNumberFormat="1" applyFont="1"/>
    <xf numFmtId="1" fontId="16" fillId="0" borderId="0" xfId="0" applyNumberFormat="1" applyFont="1"/>
    <xf numFmtId="166" fontId="16" fillId="0" borderId="0" xfId="0" applyNumberFormat="1" applyFont="1"/>
    <xf numFmtId="166" fontId="16" fillId="0" borderId="0" xfId="42" applyNumberFormat="1" applyFont="1"/>
    <xf numFmtId="167" fontId="0" fillId="0" borderId="0" xfId="42" applyNumberFormat="1" applyFont="1"/>
    <xf numFmtId="167" fontId="16" fillId="0" borderId="0" xfId="0" applyNumberFormat="1" applyFont="1"/>
    <xf numFmtId="9" fontId="0" fillId="0" borderId="0" xfId="43" applyFont="1"/>
    <xf numFmtId="164" fontId="0" fillId="0" borderId="0" xfId="0" applyNumberFormat="1" applyAlignment="1">
      <alignment horizontal="center"/>
    </xf>
    <xf numFmtId="165" fontId="0" fillId="0" borderId="0" xfId="43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3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43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6" fontId="1" fillId="0" borderId="0" xfId="42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166" fontId="1" fillId="0" borderId="10" xfId="42" applyNumberFormat="1" applyFont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166" fontId="16" fillId="0" borderId="0" xfId="42" applyNumberFormat="1" applyFont="1" applyAlignment="1">
      <alignment horizontal="center"/>
    </xf>
    <xf numFmtId="167" fontId="0" fillId="0" borderId="0" xfId="42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9" fontId="0" fillId="0" borderId="0" xfId="43" applyFont="1" applyAlignment="1">
      <alignment horizontal="center"/>
    </xf>
    <xf numFmtId="9" fontId="16" fillId="0" borderId="0" xfId="43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5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Discount to Holding Value (KAMA Holdings)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238"/>
              <c:layout>
                <c:manualLayout>
                  <c:x val="-5.4283769951225976E-2"/>
                  <c:y val="-4.4354533099140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9F-45A5-BDAC-57FDF3458822}"/>
                </c:ext>
              </c:extLst>
            </c:dLbl>
            <c:dLbl>
              <c:idx val="1614"/>
              <c:layout>
                <c:manualLayout>
                  <c:x val="-6.4688101487313979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DB-495E-B280-B396BE8C5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'Kama Holdings'!$A$3:$A$1244</c:f>
              <c:numCache>
                <c:formatCode>d\-mmm\-yy</c:formatCode>
                <c:ptCount val="1242"/>
                <c:pt idx="0">
                  <c:v>45943</c:v>
                </c:pt>
                <c:pt idx="1">
                  <c:v>45940</c:v>
                </c:pt>
                <c:pt idx="2">
                  <c:v>45939</c:v>
                </c:pt>
                <c:pt idx="3">
                  <c:v>45938</c:v>
                </c:pt>
                <c:pt idx="4">
                  <c:v>45937</c:v>
                </c:pt>
                <c:pt idx="5">
                  <c:v>45936</c:v>
                </c:pt>
                <c:pt idx="6">
                  <c:v>45933</c:v>
                </c:pt>
                <c:pt idx="7">
                  <c:v>45931</c:v>
                </c:pt>
                <c:pt idx="8">
                  <c:v>45930</c:v>
                </c:pt>
                <c:pt idx="9">
                  <c:v>45929</c:v>
                </c:pt>
                <c:pt idx="10">
                  <c:v>45926</c:v>
                </c:pt>
                <c:pt idx="11">
                  <c:v>45925</c:v>
                </c:pt>
                <c:pt idx="12">
                  <c:v>45924</c:v>
                </c:pt>
                <c:pt idx="13">
                  <c:v>45923</c:v>
                </c:pt>
                <c:pt idx="14">
                  <c:v>45922</c:v>
                </c:pt>
                <c:pt idx="15">
                  <c:v>45919</c:v>
                </c:pt>
                <c:pt idx="16">
                  <c:v>45918</c:v>
                </c:pt>
                <c:pt idx="17">
                  <c:v>45917</c:v>
                </c:pt>
                <c:pt idx="18">
                  <c:v>45916</c:v>
                </c:pt>
                <c:pt idx="19">
                  <c:v>45915</c:v>
                </c:pt>
                <c:pt idx="20">
                  <c:v>45912</c:v>
                </c:pt>
                <c:pt idx="21">
                  <c:v>45911</c:v>
                </c:pt>
                <c:pt idx="22">
                  <c:v>45910</c:v>
                </c:pt>
                <c:pt idx="23">
                  <c:v>45909</c:v>
                </c:pt>
                <c:pt idx="24">
                  <c:v>45908</c:v>
                </c:pt>
                <c:pt idx="25">
                  <c:v>45905</c:v>
                </c:pt>
                <c:pt idx="26">
                  <c:v>45904</c:v>
                </c:pt>
                <c:pt idx="27">
                  <c:v>45903</c:v>
                </c:pt>
                <c:pt idx="28">
                  <c:v>45902</c:v>
                </c:pt>
                <c:pt idx="29">
                  <c:v>45901</c:v>
                </c:pt>
                <c:pt idx="30">
                  <c:v>45898</c:v>
                </c:pt>
                <c:pt idx="31">
                  <c:v>45897</c:v>
                </c:pt>
                <c:pt idx="32">
                  <c:v>45895</c:v>
                </c:pt>
                <c:pt idx="33">
                  <c:v>45894</c:v>
                </c:pt>
                <c:pt idx="34">
                  <c:v>45891</c:v>
                </c:pt>
                <c:pt idx="35">
                  <c:v>45890</c:v>
                </c:pt>
                <c:pt idx="36">
                  <c:v>45889</c:v>
                </c:pt>
                <c:pt idx="37">
                  <c:v>45888</c:v>
                </c:pt>
                <c:pt idx="38">
                  <c:v>45887</c:v>
                </c:pt>
                <c:pt idx="39">
                  <c:v>45883</c:v>
                </c:pt>
                <c:pt idx="40">
                  <c:v>45882</c:v>
                </c:pt>
                <c:pt idx="41">
                  <c:v>45881</c:v>
                </c:pt>
                <c:pt idx="42">
                  <c:v>45880</c:v>
                </c:pt>
                <c:pt idx="43">
                  <c:v>45877</c:v>
                </c:pt>
                <c:pt idx="44">
                  <c:v>45876</c:v>
                </c:pt>
                <c:pt idx="45">
                  <c:v>45875</c:v>
                </c:pt>
                <c:pt idx="46">
                  <c:v>45874</c:v>
                </c:pt>
                <c:pt idx="47">
                  <c:v>45873</c:v>
                </c:pt>
                <c:pt idx="48">
                  <c:v>45870</c:v>
                </c:pt>
                <c:pt idx="49">
                  <c:v>45869</c:v>
                </c:pt>
                <c:pt idx="50">
                  <c:v>45868</c:v>
                </c:pt>
                <c:pt idx="51">
                  <c:v>45867</c:v>
                </c:pt>
                <c:pt idx="52">
                  <c:v>45866</c:v>
                </c:pt>
                <c:pt idx="53">
                  <c:v>45863</c:v>
                </c:pt>
                <c:pt idx="54">
                  <c:v>45862</c:v>
                </c:pt>
                <c:pt idx="55">
                  <c:v>45861</c:v>
                </c:pt>
                <c:pt idx="56">
                  <c:v>45860</c:v>
                </c:pt>
                <c:pt idx="57">
                  <c:v>45859</c:v>
                </c:pt>
                <c:pt idx="58">
                  <c:v>45856</c:v>
                </c:pt>
                <c:pt idx="59">
                  <c:v>45855</c:v>
                </c:pt>
                <c:pt idx="60">
                  <c:v>45854</c:v>
                </c:pt>
                <c:pt idx="61">
                  <c:v>45853</c:v>
                </c:pt>
                <c:pt idx="62">
                  <c:v>45852</c:v>
                </c:pt>
                <c:pt idx="63">
                  <c:v>45849</c:v>
                </c:pt>
                <c:pt idx="64">
                  <c:v>45848</c:v>
                </c:pt>
                <c:pt idx="65">
                  <c:v>45847</c:v>
                </c:pt>
                <c:pt idx="66">
                  <c:v>45846</c:v>
                </c:pt>
                <c:pt idx="67">
                  <c:v>45845</c:v>
                </c:pt>
                <c:pt idx="68">
                  <c:v>45842</c:v>
                </c:pt>
                <c:pt idx="69">
                  <c:v>45841</c:v>
                </c:pt>
                <c:pt idx="70">
                  <c:v>45840</c:v>
                </c:pt>
                <c:pt idx="71">
                  <c:v>45839</c:v>
                </c:pt>
                <c:pt idx="72">
                  <c:v>45838</c:v>
                </c:pt>
                <c:pt idx="73">
                  <c:v>45835</c:v>
                </c:pt>
                <c:pt idx="74">
                  <c:v>45834</c:v>
                </c:pt>
                <c:pt idx="75">
                  <c:v>45833</c:v>
                </c:pt>
                <c:pt idx="76">
                  <c:v>45832</c:v>
                </c:pt>
                <c:pt idx="77">
                  <c:v>45831</c:v>
                </c:pt>
                <c:pt idx="78">
                  <c:v>45828</c:v>
                </c:pt>
                <c:pt idx="79">
                  <c:v>45827</c:v>
                </c:pt>
                <c:pt idx="80">
                  <c:v>45826</c:v>
                </c:pt>
                <c:pt idx="81">
                  <c:v>45825</c:v>
                </c:pt>
                <c:pt idx="82">
                  <c:v>45824</c:v>
                </c:pt>
                <c:pt idx="83">
                  <c:v>45821</c:v>
                </c:pt>
                <c:pt idx="84">
                  <c:v>45820</c:v>
                </c:pt>
                <c:pt idx="85">
                  <c:v>45819</c:v>
                </c:pt>
                <c:pt idx="86">
                  <c:v>45818</c:v>
                </c:pt>
                <c:pt idx="87">
                  <c:v>45817</c:v>
                </c:pt>
                <c:pt idx="88">
                  <c:v>45814</c:v>
                </c:pt>
                <c:pt idx="89">
                  <c:v>45813</c:v>
                </c:pt>
                <c:pt idx="90">
                  <c:v>45812</c:v>
                </c:pt>
                <c:pt idx="91">
                  <c:v>45811</c:v>
                </c:pt>
                <c:pt idx="92">
                  <c:v>45810</c:v>
                </c:pt>
                <c:pt idx="93">
                  <c:v>45807</c:v>
                </c:pt>
                <c:pt idx="94">
                  <c:v>45806</c:v>
                </c:pt>
                <c:pt idx="95">
                  <c:v>45805</c:v>
                </c:pt>
                <c:pt idx="96">
                  <c:v>45804</c:v>
                </c:pt>
                <c:pt idx="97">
                  <c:v>45803</c:v>
                </c:pt>
                <c:pt idx="98">
                  <c:v>45800</c:v>
                </c:pt>
                <c:pt idx="99">
                  <c:v>45799</c:v>
                </c:pt>
                <c:pt idx="100">
                  <c:v>45798</c:v>
                </c:pt>
                <c:pt idx="101">
                  <c:v>45797</c:v>
                </c:pt>
                <c:pt idx="102">
                  <c:v>45796</c:v>
                </c:pt>
                <c:pt idx="103">
                  <c:v>45793</c:v>
                </c:pt>
                <c:pt idx="104">
                  <c:v>45792</c:v>
                </c:pt>
                <c:pt idx="105">
                  <c:v>45791</c:v>
                </c:pt>
                <c:pt idx="106">
                  <c:v>45790</c:v>
                </c:pt>
                <c:pt idx="107">
                  <c:v>45789</c:v>
                </c:pt>
                <c:pt idx="108">
                  <c:v>45786</c:v>
                </c:pt>
                <c:pt idx="109">
                  <c:v>45785</c:v>
                </c:pt>
                <c:pt idx="110">
                  <c:v>45784</c:v>
                </c:pt>
                <c:pt idx="111">
                  <c:v>45783</c:v>
                </c:pt>
                <c:pt idx="112">
                  <c:v>45782</c:v>
                </c:pt>
                <c:pt idx="113">
                  <c:v>45779</c:v>
                </c:pt>
                <c:pt idx="114">
                  <c:v>45777</c:v>
                </c:pt>
                <c:pt idx="115">
                  <c:v>45776</c:v>
                </c:pt>
                <c:pt idx="116">
                  <c:v>45775</c:v>
                </c:pt>
                <c:pt idx="117">
                  <c:v>45772</c:v>
                </c:pt>
                <c:pt idx="118">
                  <c:v>45771</c:v>
                </c:pt>
                <c:pt idx="119">
                  <c:v>45770</c:v>
                </c:pt>
                <c:pt idx="120">
                  <c:v>45769</c:v>
                </c:pt>
                <c:pt idx="121">
                  <c:v>45768</c:v>
                </c:pt>
                <c:pt idx="122">
                  <c:v>45764</c:v>
                </c:pt>
                <c:pt idx="123">
                  <c:v>45763</c:v>
                </c:pt>
                <c:pt idx="124">
                  <c:v>45762</c:v>
                </c:pt>
                <c:pt idx="125">
                  <c:v>45758</c:v>
                </c:pt>
                <c:pt idx="126">
                  <c:v>45756</c:v>
                </c:pt>
                <c:pt idx="127">
                  <c:v>45755</c:v>
                </c:pt>
                <c:pt idx="128">
                  <c:v>45754</c:v>
                </c:pt>
                <c:pt idx="129">
                  <c:v>45751</c:v>
                </c:pt>
                <c:pt idx="130">
                  <c:v>45750</c:v>
                </c:pt>
                <c:pt idx="131">
                  <c:v>45749</c:v>
                </c:pt>
                <c:pt idx="132">
                  <c:v>45748</c:v>
                </c:pt>
                <c:pt idx="133">
                  <c:v>45744</c:v>
                </c:pt>
                <c:pt idx="134">
                  <c:v>45743</c:v>
                </c:pt>
                <c:pt idx="135">
                  <c:v>45742</c:v>
                </c:pt>
                <c:pt idx="136">
                  <c:v>45741</c:v>
                </c:pt>
                <c:pt idx="137">
                  <c:v>45740</c:v>
                </c:pt>
                <c:pt idx="138">
                  <c:v>45737</c:v>
                </c:pt>
                <c:pt idx="139">
                  <c:v>45736</c:v>
                </c:pt>
                <c:pt idx="140">
                  <c:v>45735</c:v>
                </c:pt>
                <c:pt idx="141">
                  <c:v>45734</c:v>
                </c:pt>
                <c:pt idx="142">
                  <c:v>45733</c:v>
                </c:pt>
                <c:pt idx="143">
                  <c:v>45729</c:v>
                </c:pt>
                <c:pt idx="144">
                  <c:v>45728</c:v>
                </c:pt>
                <c:pt idx="145">
                  <c:v>45727</c:v>
                </c:pt>
                <c:pt idx="146">
                  <c:v>45726</c:v>
                </c:pt>
                <c:pt idx="147">
                  <c:v>45723</c:v>
                </c:pt>
                <c:pt idx="148">
                  <c:v>45722</c:v>
                </c:pt>
                <c:pt idx="149">
                  <c:v>45721</c:v>
                </c:pt>
                <c:pt idx="150">
                  <c:v>45720</c:v>
                </c:pt>
                <c:pt idx="151">
                  <c:v>45719</c:v>
                </c:pt>
                <c:pt idx="152">
                  <c:v>45716</c:v>
                </c:pt>
                <c:pt idx="153">
                  <c:v>45715</c:v>
                </c:pt>
                <c:pt idx="154">
                  <c:v>45713</c:v>
                </c:pt>
                <c:pt idx="155">
                  <c:v>45712</c:v>
                </c:pt>
                <c:pt idx="156">
                  <c:v>45709</c:v>
                </c:pt>
                <c:pt idx="157">
                  <c:v>45708</c:v>
                </c:pt>
                <c:pt idx="158">
                  <c:v>45707</c:v>
                </c:pt>
                <c:pt idx="159">
                  <c:v>45706</c:v>
                </c:pt>
                <c:pt idx="160">
                  <c:v>45705</c:v>
                </c:pt>
                <c:pt idx="161">
                  <c:v>45702</c:v>
                </c:pt>
                <c:pt idx="162">
                  <c:v>45701</c:v>
                </c:pt>
                <c:pt idx="163">
                  <c:v>45700</c:v>
                </c:pt>
                <c:pt idx="164">
                  <c:v>45699</c:v>
                </c:pt>
                <c:pt idx="165">
                  <c:v>45698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45689</c:v>
                </c:pt>
                <c:pt idx="172">
                  <c:v>45688</c:v>
                </c:pt>
                <c:pt idx="173">
                  <c:v>45687</c:v>
                </c:pt>
                <c:pt idx="174">
                  <c:v>45686</c:v>
                </c:pt>
                <c:pt idx="175">
                  <c:v>45685</c:v>
                </c:pt>
                <c:pt idx="176">
                  <c:v>45684</c:v>
                </c:pt>
                <c:pt idx="177">
                  <c:v>45681</c:v>
                </c:pt>
                <c:pt idx="178">
                  <c:v>45680</c:v>
                </c:pt>
                <c:pt idx="179">
                  <c:v>45679</c:v>
                </c:pt>
                <c:pt idx="180">
                  <c:v>45678</c:v>
                </c:pt>
                <c:pt idx="181">
                  <c:v>45677</c:v>
                </c:pt>
                <c:pt idx="182">
                  <c:v>45674</c:v>
                </c:pt>
                <c:pt idx="183">
                  <c:v>45673</c:v>
                </c:pt>
                <c:pt idx="184">
                  <c:v>45672</c:v>
                </c:pt>
                <c:pt idx="185">
                  <c:v>45671</c:v>
                </c:pt>
                <c:pt idx="186">
                  <c:v>45670</c:v>
                </c:pt>
                <c:pt idx="187">
                  <c:v>45667</c:v>
                </c:pt>
                <c:pt idx="188">
                  <c:v>45666</c:v>
                </c:pt>
                <c:pt idx="189">
                  <c:v>45665</c:v>
                </c:pt>
                <c:pt idx="190">
                  <c:v>45664</c:v>
                </c:pt>
                <c:pt idx="191">
                  <c:v>45663</c:v>
                </c:pt>
                <c:pt idx="192">
                  <c:v>45660</c:v>
                </c:pt>
                <c:pt idx="193">
                  <c:v>45659</c:v>
                </c:pt>
                <c:pt idx="194">
                  <c:v>45658</c:v>
                </c:pt>
                <c:pt idx="195">
                  <c:v>45657</c:v>
                </c:pt>
                <c:pt idx="196">
                  <c:v>45656</c:v>
                </c:pt>
                <c:pt idx="197">
                  <c:v>45653</c:v>
                </c:pt>
                <c:pt idx="198">
                  <c:v>45652</c:v>
                </c:pt>
                <c:pt idx="199">
                  <c:v>45650</c:v>
                </c:pt>
                <c:pt idx="200">
                  <c:v>45649</c:v>
                </c:pt>
                <c:pt idx="201">
                  <c:v>45646</c:v>
                </c:pt>
                <c:pt idx="202">
                  <c:v>45645</c:v>
                </c:pt>
                <c:pt idx="203">
                  <c:v>45644</c:v>
                </c:pt>
                <c:pt idx="204">
                  <c:v>45643</c:v>
                </c:pt>
                <c:pt idx="205">
                  <c:v>45642</c:v>
                </c:pt>
                <c:pt idx="206">
                  <c:v>45639</c:v>
                </c:pt>
                <c:pt idx="207">
                  <c:v>45638</c:v>
                </c:pt>
                <c:pt idx="208">
                  <c:v>45637</c:v>
                </c:pt>
                <c:pt idx="209">
                  <c:v>45636</c:v>
                </c:pt>
                <c:pt idx="210">
                  <c:v>45635</c:v>
                </c:pt>
                <c:pt idx="211">
                  <c:v>45632</c:v>
                </c:pt>
                <c:pt idx="212">
                  <c:v>45631</c:v>
                </c:pt>
                <c:pt idx="213">
                  <c:v>45630</c:v>
                </c:pt>
                <c:pt idx="214">
                  <c:v>45629</c:v>
                </c:pt>
                <c:pt idx="215">
                  <c:v>45628</c:v>
                </c:pt>
                <c:pt idx="216">
                  <c:v>45625</c:v>
                </c:pt>
                <c:pt idx="217">
                  <c:v>45624</c:v>
                </c:pt>
                <c:pt idx="218">
                  <c:v>45623</c:v>
                </c:pt>
                <c:pt idx="219">
                  <c:v>45622</c:v>
                </c:pt>
                <c:pt idx="220">
                  <c:v>45621</c:v>
                </c:pt>
                <c:pt idx="221">
                  <c:v>45618</c:v>
                </c:pt>
                <c:pt idx="222">
                  <c:v>45617</c:v>
                </c:pt>
                <c:pt idx="223">
                  <c:v>45615</c:v>
                </c:pt>
                <c:pt idx="224">
                  <c:v>45614</c:v>
                </c:pt>
                <c:pt idx="225">
                  <c:v>45610</c:v>
                </c:pt>
                <c:pt idx="226">
                  <c:v>45609</c:v>
                </c:pt>
                <c:pt idx="227">
                  <c:v>45608</c:v>
                </c:pt>
                <c:pt idx="228">
                  <c:v>45607</c:v>
                </c:pt>
                <c:pt idx="229">
                  <c:v>45604</c:v>
                </c:pt>
                <c:pt idx="230">
                  <c:v>45603</c:v>
                </c:pt>
                <c:pt idx="231">
                  <c:v>45602</c:v>
                </c:pt>
                <c:pt idx="232">
                  <c:v>45601</c:v>
                </c:pt>
                <c:pt idx="233">
                  <c:v>45600</c:v>
                </c:pt>
                <c:pt idx="234">
                  <c:v>45597</c:v>
                </c:pt>
                <c:pt idx="235">
                  <c:v>45596</c:v>
                </c:pt>
                <c:pt idx="236">
                  <c:v>45595</c:v>
                </c:pt>
                <c:pt idx="237">
                  <c:v>45594</c:v>
                </c:pt>
                <c:pt idx="238">
                  <c:v>45593</c:v>
                </c:pt>
                <c:pt idx="239">
                  <c:v>45590</c:v>
                </c:pt>
                <c:pt idx="240">
                  <c:v>45589</c:v>
                </c:pt>
                <c:pt idx="241">
                  <c:v>45588</c:v>
                </c:pt>
                <c:pt idx="242">
                  <c:v>45587</c:v>
                </c:pt>
                <c:pt idx="243">
                  <c:v>45586</c:v>
                </c:pt>
                <c:pt idx="244">
                  <c:v>45583</c:v>
                </c:pt>
                <c:pt idx="245">
                  <c:v>45582</c:v>
                </c:pt>
                <c:pt idx="246">
                  <c:v>45581</c:v>
                </c:pt>
                <c:pt idx="247">
                  <c:v>45580</c:v>
                </c:pt>
                <c:pt idx="248">
                  <c:v>45579</c:v>
                </c:pt>
                <c:pt idx="249">
                  <c:v>45576</c:v>
                </c:pt>
                <c:pt idx="250">
                  <c:v>45575</c:v>
                </c:pt>
                <c:pt idx="251">
                  <c:v>45574</c:v>
                </c:pt>
                <c:pt idx="252">
                  <c:v>45573</c:v>
                </c:pt>
                <c:pt idx="253">
                  <c:v>45572</c:v>
                </c:pt>
                <c:pt idx="254">
                  <c:v>45569</c:v>
                </c:pt>
                <c:pt idx="255">
                  <c:v>45568</c:v>
                </c:pt>
                <c:pt idx="256">
                  <c:v>45566</c:v>
                </c:pt>
                <c:pt idx="257">
                  <c:v>45565</c:v>
                </c:pt>
                <c:pt idx="258">
                  <c:v>45562</c:v>
                </c:pt>
                <c:pt idx="259">
                  <c:v>45561</c:v>
                </c:pt>
                <c:pt idx="260">
                  <c:v>45560</c:v>
                </c:pt>
                <c:pt idx="261">
                  <c:v>45559</c:v>
                </c:pt>
                <c:pt idx="262">
                  <c:v>45558</c:v>
                </c:pt>
                <c:pt idx="263">
                  <c:v>45555</c:v>
                </c:pt>
                <c:pt idx="264">
                  <c:v>45554</c:v>
                </c:pt>
                <c:pt idx="265">
                  <c:v>45553</c:v>
                </c:pt>
                <c:pt idx="266">
                  <c:v>45552</c:v>
                </c:pt>
                <c:pt idx="267">
                  <c:v>45551</c:v>
                </c:pt>
                <c:pt idx="268">
                  <c:v>45548</c:v>
                </c:pt>
                <c:pt idx="269">
                  <c:v>45547</c:v>
                </c:pt>
                <c:pt idx="270">
                  <c:v>45546</c:v>
                </c:pt>
                <c:pt idx="271">
                  <c:v>45545</c:v>
                </c:pt>
                <c:pt idx="272">
                  <c:v>45544</c:v>
                </c:pt>
                <c:pt idx="273">
                  <c:v>45541</c:v>
                </c:pt>
                <c:pt idx="274">
                  <c:v>45540</c:v>
                </c:pt>
                <c:pt idx="275">
                  <c:v>45539</c:v>
                </c:pt>
                <c:pt idx="276">
                  <c:v>45538</c:v>
                </c:pt>
                <c:pt idx="277">
                  <c:v>45537</c:v>
                </c:pt>
                <c:pt idx="278">
                  <c:v>45534</c:v>
                </c:pt>
                <c:pt idx="279">
                  <c:v>45533</c:v>
                </c:pt>
                <c:pt idx="280">
                  <c:v>45532</c:v>
                </c:pt>
                <c:pt idx="281">
                  <c:v>45531</c:v>
                </c:pt>
                <c:pt idx="282">
                  <c:v>45530</c:v>
                </c:pt>
                <c:pt idx="283">
                  <c:v>45527</c:v>
                </c:pt>
                <c:pt idx="284">
                  <c:v>45526</c:v>
                </c:pt>
                <c:pt idx="285">
                  <c:v>45525</c:v>
                </c:pt>
                <c:pt idx="286">
                  <c:v>45524</c:v>
                </c:pt>
                <c:pt idx="287">
                  <c:v>45523</c:v>
                </c:pt>
                <c:pt idx="288">
                  <c:v>45520</c:v>
                </c:pt>
                <c:pt idx="289">
                  <c:v>45518</c:v>
                </c:pt>
                <c:pt idx="290">
                  <c:v>45517</c:v>
                </c:pt>
                <c:pt idx="291">
                  <c:v>45516</c:v>
                </c:pt>
                <c:pt idx="292">
                  <c:v>45513</c:v>
                </c:pt>
                <c:pt idx="293">
                  <c:v>45512</c:v>
                </c:pt>
                <c:pt idx="294">
                  <c:v>45511</c:v>
                </c:pt>
                <c:pt idx="295">
                  <c:v>45510</c:v>
                </c:pt>
                <c:pt idx="296">
                  <c:v>45509</c:v>
                </c:pt>
                <c:pt idx="297">
                  <c:v>45506</c:v>
                </c:pt>
                <c:pt idx="298">
                  <c:v>45505</c:v>
                </c:pt>
                <c:pt idx="299">
                  <c:v>45504</c:v>
                </c:pt>
                <c:pt idx="300">
                  <c:v>45503</c:v>
                </c:pt>
                <c:pt idx="301">
                  <c:v>45502</c:v>
                </c:pt>
                <c:pt idx="302">
                  <c:v>45499</c:v>
                </c:pt>
                <c:pt idx="303">
                  <c:v>45498</c:v>
                </c:pt>
                <c:pt idx="304">
                  <c:v>45497</c:v>
                </c:pt>
                <c:pt idx="305">
                  <c:v>45496</c:v>
                </c:pt>
                <c:pt idx="306">
                  <c:v>45495</c:v>
                </c:pt>
                <c:pt idx="307">
                  <c:v>45492</c:v>
                </c:pt>
                <c:pt idx="308">
                  <c:v>45491</c:v>
                </c:pt>
                <c:pt idx="309">
                  <c:v>45489</c:v>
                </c:pt>
                <c:pt idx="310">
                  <c:v>45488</c:v>
                </c:pt>
                <c:pt idx="311">
                  <c:v>45485</c:v>
                </c:pt>
                <c:pt idx="312">
                  <c:v>45484</c:v>
                </c:pt>
                <c:pt idx="313">
                  <c:v>45483</c:v>
                </c:pt>
                <c:pt idx="314">
                  <c:v>45482</c:v>
                </c:pt>
                <c:pt idx="315">
                  <c:v>45481</c:v>
                </c:pt>
                <c:pt idx="316">
                  <c:v>45478</c:v>
                </c:pt>
                <c:pt idx="317">
                  <c:v>45477</c:v>
                </c:pt>
                <c:pt idx="318">
                  <c:v>45476</c:v>
                </c:pt>
                <c:pt idx="319">
                  <c:v>45475</c:v>
                </c:pt>
                <c:pt idx="320">
                  <c:v>45474</c:v>
                </c:pt>
                <c:pt idx="321">
                  <c:v>45471</c:v>
                </c:pt>
                <c:pt idx="322">
                  <c:v>45470</c:v>
                </c:pt>
                <c:pt idx="323">
                  <c:v>45469</c:v>
                </c:pt>
                <c:pt idx="324">
                  <c:v>45468</c:v>
                </c:pt>
                <c:pt idx="325">
                  <c:v>45467</c:v>
                </c:pt>
                <c:pt idx="326">
                  <c:v>45464</c:v>
                </c:pt>
                <c:pt idx="327">
                  <c:v>45463</c:v>
                </c:pt>
                <c:pt idx="328">
                  <c:v>45462</c:v>
                </c:pt>
                <c:pt idx="329">
                  <c:v>45461</c:v>
                </c:pt>
                <c:pt idx="330">
                  <c:v>45457</c:v>
                </c:pt>
                <c:pt idx="331">
                  <c:v>45456</c:v>
                </c:pt>
                <c:pt idx="332">
                  <c:v>45455</c:v>
                </c:pt>
                <c:pt idx="333">
                  <c:v>45454</c:v>
                </c:pt>
                <c:pt idx="334">
                  <c:v>45453</c:v>
                </c:pt>
                <c:pt idx="335">
                  <c:v>45450</c:v>
                </c:pt>
                <c:pt idx="336">
                  <c:v>45449</c:v>
                </c:pt>
                <c:pt idx="337">
                  <c:v>45448</c:v>
                </c:pt>
                <c:pt idx="338">
                  <c:v>45447</c:v>
                </c:pt>
                <c:pt idx="339">
                  <c:v>45446</c:v>
                </c:pt>
                <c:pt idx="340">
                  <c:v>45443</c:v>
                </c:pt>
                <c:pt idx="341">
                  <c:v>45442</c:v>
                </c:pt>
                <c:pt idx="342">
                  <c:v>45441</c:v>
                </c:pt>
                <c:pt idx="343">
                  <c:v>45440</c:v>
                </c:pt>
                <c:pt idx="344">
                  <c:v>45439</c:v>
                </c:pt>
                <c:pt idx="345">
                  <c:v>45436</c:v>
                </c:pt>
                <c:pt idx="346">
                  <c:v>45435</c:v>
                </c:pt>
                <c:pt idx="347">
                  <c:v>45434</c:v>
                </c:pt>
                <c:pt idx="348">
                  <c:v>45433</c:v>
                </c:pt>
                <c:pt idx="349">
                  <c:v>45430</c:v>
                </c:pt>
                <c:pt idx="350">
                  <c:v>45429</c:v>
                </c:pt>
                <c:pt idx="351">
                  <c:v>45428</c:v>
                </c:pt>
                <c:pt idx="352">
                  <c:v>45427</c:v>
                </c:pt>
                <c:pt idx="353">
                  <c:v>45426</c:v>
                </c:pt>
                <c:pt idx="354">
                  <c:v>45425</c:v>
                </c:pt>
                <c:pt idx="355">
                  <c:v>45422</c:v>
                </c:pt>
                <c:pt idx="356">
                  <c:v>45421</c:v>
                </c:pt>
                <c:pt idx="357">
                  <c:v>45420</c:v>
                </c:pt>
                <c:pt idx="358">
                  <c:v>45419</c:v>
                </c:pt>
                <c:pt idx="359">
                  <c:v>45418</c:v>
                </c:pt>
                <c:pt idx="360">
                  <c:v>45415</c:v>
                </c:pt>
                <c:pt idx="361">
                  <c:v>45414</c:v>
                </c:pt>
                <c:pt idx="362">
                  <c:v>45412</c:v>
                </c:pt>
                <c:pt idx="363">
                  <c:v>45411</c:v>
                </c:pt>
                <c:pt idx="364">
                  <c:v>45408</c:v>
                </c:pt>
                <c:pt idx="365">
                  <c:v>45407</c:v>
                </c:pt>
                <c:pt idx="366">
                  <c:v>45406</c:v>
                </c:pt>
                <c:pt idx="367">
                  <c:v>45405</c:v>
                </c:pt>
                <c:pt idx="368">
                  <c:v>45404</c:v>
                </c:pt>
                <c:pt idx="369">
                  <c:v>45401</c:v>
                </c:pt>
                <c:pt idx="370">
                  <c:v>45400</c:v>
                </c:pt>
                <c:pt idx="371">
                  <c:v>45398</c:v>
                </c:pt>
                <c:pt idx="372">
                  <c:v>45397</c:v>
                </c:pt>
                <c:pt idx="373">
                  <c:v>45394</c:v>
                </c:pt>
                <c:pt idx="374">
                  <c:v>45392</c:v>
                </c:pt>
                <c:pt idx="375">
                  <c:v>45391</c:v>
                </c:pt>
                <c:pt idx="376">
                  <c:v>45390</c:v>
                </c:pt>
                <c:pt idx="377">
                  <c:v>45387</c:v>
                </c:pt>
                <c:pt idx="378">
                  <c:v>45386</c:v>
                </c:pt>
                <c:pt idx="379">
                  <c:v>45385</c:v>
                </c:pt>
                <c:pt idx="380">
                  <c:v>45384</c:v>
                </c:pt>
                <c:pt idx="381">
                  <c:v>45383</c:v>
                </c:pt>
                <c:pt idx="382">
                  <c:v>45379</c:v>
                </c:pt>
                <c:pt idx="383">
                  <c:v>45378</c:v>
                </c:pt>
                <c:pt idx="384">
                  <c:v>45377</c:v>
                </c:pt>
                <c:pt idx="385">
                  <c:v>45373</c:v>
                </c:pt>
                <c:pt idx="386">
                  <c:v>45372</c:v>
                </c:pt>
                <c:pt idx="387">
                  <c:v>45371</c:v>
                </c:pt>
                <c:pt idx="388">
                  <c:v>45370</c:v>
                </c:pt>
                <c:pt idx="389">
                  <c:v>45369</c:v>
                </c:pt>
                <c:pt idx="390">
                  <c:v>45366</c:v>
                </c:pt>
                <c:pt idx="391">
                  <c:v>45365</c:v>
                </c:pt>
                <c:pt idx="392">
                  <c:v>45364</c:v>
                </c:pt>
                <c:pt idx="393">
                  <c:v>45363</c:v>
                </c:pt>
                <c:pt idx="394">
                  <c:v>45362</c:v>
                </c:pt>
                <c:pt idx="395">
                  <c:v>45358</c:v>
                </c:pt>
                <c:pt idx="396">
                  <c:v>45357</c:v>
                </c:pt>
                <c:pt idx="397">
                  <c:v>45356</c:v>
                </c:pt>
                <c:pt idx="398">
                  <c:v>45355</c:v>
                </c:pt>
                <c:pt idx="399">
                  <c:v>45353</c:v>
                </c:pt>
                <c:pt idx="400">
                  <c:v>45352</c:v>
                </c:pt>
                <c:pt idx="401">
                  <c:v>45351</c:v>
                </c:pt>
                <c:pt idx="402">
                  <c:v>45350</c:v>
                </c:pt>
                <c:pt idx="403">
                  <c:v>45349</c:v>
                </c:pt>
                <c:pt idx="404">
                  <c:v>45348</c:v>
                </c:pt>
                <c:pt idx="405">
                  <c:v>45345</c:v>
                </c:pt>
                <c:pt idx="406">
                  <c:v>45344</c:v>
                </c:pt>
                <c:pt idx="407">
                  <c:v>45343</c:v>
                </c:pt>
                <c:pt idx="408">
                  <c:v>45342</c:v>
                </c:pt>
                <c:pt idx="409">
                  <c:v>45341</c:v>
                </c:pt>
                <c:pt idx="410">
                  <c:v>45338</c:v>
                </c:pt>
                <c:pt idx="411">
                  <c:v>45337</c:v>
                </c:pt>
                <c:pt idx="412">
                  <c:v>45336</c:v>
                </c:pt>
                <c:pt idx="413">
                  <c:v>45335</c:v>
                </c:pt>
                <c:pt idx="414">
                  <c:v>45334</c:v>
                </c:pt>
                <c:pt idx="415">
                  <c:v>45331</c:v>
                </c:pt>
                <c:pt idx="416">
                  <c:v>45330</c:v>
                </c:pt>
                <c:pt idx="417">
                  <c:v>45329</c:v>
                </c:pt>
                <c:pt idx="418">
                  <c:v>45328</c:v>
                </c:pt>
                <c:pt idx="419">
                  <c:v>45327</c:v>
                </c:pt>
                <c:pt idx="420">
                  <c:v>45324</c:v>
                </c:pt>
                <c:pt idx="421">
                  <c:v>45323</c:v>
                </c:pt>
                <c:pt idx="422">
                  <c:v>45322</c:v>
                </c:pt>
                <c:pt idx="423">
                  <c:v>45321</c:v>
                </c:pt>
                <c:pt idx="424">
                  <c:v>45320</c:v>
                </c:pt>
                <c:pt idx="425">
                  <c:v>45316</c:v>
                </c:pt>
                <c:pt idx="426">
                  <c:v>45315</c:v>
                </c:pt>
                <c:pt idx="427">
                  <c:v>45314</c:v>
                </c:pt>
                <c:pt idx="428">
                  <c:v>45311</c:v>
                </c:pt>
                <c:pt idx="429">
                  <c:v>45310</c:v>
                </c:pt>
                <c:pt idx="430">
                  <c:v>45309</c:v>
                </c:pt>
                <c:pt idx="431">
                  <c:v>45308</c:v>
                </c:pt>
                <c:pt idx="432">
                  <c:v>45307</c:v>
                </c:pt>
                <c:pt idx="433">
                  <c:v>45306</c:v>
                </c:pt>
                <c:pt idx="434">
                  <c:v>45303</c:v>
                </c:pt>
                <c:pt idx="435">
                  <c:v>45302</c:v>
                </c:pt>
                <c:pt idx="436">
                  <c:v>45301</c:v>
                </c:pt>
                <c:pt idx="437">
                  <c:v>45300</c:v>
                </c:pt>
                <c:pt idx="438">
                  <c:v>45299</c:v>
                </c:pt>
                <c:pt idx="439">
                  <c:v>45296</c:v>
                </c:pt>
                <c:pt idx="440">
                  <c:v>45295</c:v>
                </c:pt>
                <c:pt idx="441">
                  <c:v>45294</c:v>
                </c:pt>
                <c:pt idx="442">
                  <c:v>45293</c:v>
                </c:pt>
                <c:pt idx="443">
                  <c:v>45292</c:v>
                </c:pt>
                <c:pt idx="444">
                  <c:v>45289</c:v>
                </c:pt>
                <c:pt idx="445">
                  <c:v>45288</c:v>
                </c:pt>
                <c:pt idx="446">
                  <c:v>45287</c:v>
                </c:pt>
                <c:pt idx="447">
                  <c:v>45286</c:v>
                </c:pt>
                <c:pt idx="448">
                  <c:v>45282</c:v>
                </c:pt>
                <c:pt idx="449">
                  <c:v>45281</c:v>
                </c:pt>
                <c:pt idx="450">
                  <c:v>45280</c:v>
                </c:pt>
                <c:pt idx="451">
                  <c:v>45279</c:v>
                </c:pt>
                <c:pt idx="452">
                  <c:v>45278</c:v>
                </c:pt>
                <c:pt idx="453">
                  <c:v>45275</c:v>
                </c:pt>
                <c:pt idx="454">
                  <c:v>45274</c:v>
                </c:pt>
                <c:pt idx="455">
                  <c:v>45273</c:v>
                </c:pt>
                <c:pt idx="456">
                  <c:v>45272</c:v>
                </c:pt>
                <c:pt idx="457">
                  <c:v>45271</c:v>
                </c:pt>
                <c:pt idx="458">
                  <c:v>45268</c:v>
                </c:pt>
                <c:pt idx="459">
                  <c:v>45267</c:v>
                </c:pt>
                <c:pt idx="460">
                  <c:v>45266</c:v>
                </c:pt>
                <c:pt idx="461">
                  <c:v>45265</c:v>
                </c:pt>
                <c:pt idx="462">
                  <c:v>45264</c:v>
                </c:pt>
                <c:pt idx="463">
                  <c:v>45261</c:v>
                </c:pt>
                <c:pt idx="464">
                  <c:v>45260</c:v>
                </c:pt>
                <c:pt idx="465">
                  <c:v>45259</c:v>
                </c:pt>
                <c:pt idx="466">
                  <c:v>45258</c:v>
                </c:pt>
                <c:pt idx="467">
                  <c:v>45254</c:v>
                </c:pt>
                <c:pt idx="468">
                  <c:v>45253</c:v>
                </c:pt>
                <c:pt idx="469">
                  <c:v>45252</c:v>
                </c:pt>
                <c:pt idx="470">
                  <c:v>45251</c:v>
                </c:pt>
                <c:pt idx="471">
                  <c:v>45250</c:v>
                </c:pt>
                <c:pt idx="472">
                  <c:v>45247</c:v>
                </c:pt>
                <c:pt idx="473">
                  <c:v>45246</c:v>
                </c:pt>
                <c:pt idx="474">
                  <c:v>45245</c:v>
                </c:pt>
                <c:pt idx="475">
                  <c:v>45243</c:v>
                </c:pt>
                <c:pt idx="476">
                  <c:v>45242</c:v>
                </c:pt>
                <c:pt idx="477">
                  <c:v>45240</c:v>
                </c:pt>
                <c:pt idx="478">
                  <c:v>45239</c:v>
                </c:pt>
                <c:pt idx="479">
                  <c:v>45238</c:v>
                </c:pt>
                <c:pt idx="480">
                  <c:v>45237</c:v>
                </c:pt>
                <c:pt idx="481">
                  <c:v>45236</c:v>
                </c:pt>
                <c:pt idx="482">
                  <c:v>45233</c:v>
                </c:pt>
                <c:pt idx="483">
                  <c:v>45232</c:v>
                </c:pt>
                <c:pt idx="484">
                  <c:v>45231</c:v>
                </c:pt>
                <c:pt idx="485">
                  <c:v>45230</c:v>
                </c:pt>
                <c:pt idx="486">
                  <c:v>45229</c:v>
                </c:pt>
                <c:pt idx="487">
                  <c:v>45226</c:v>
                </c:pt>
                <c:pt idx="488">
                  <c:v>45225</c:v>
                </c:pt>
                <c:pt idx="489">
                  <c:v>45224</c:v>
                </c:pt>
                <c:pt idx="490">
                  <c:v>45222</c:v>
                </c:pt>
                <c:pt idx="491">
                  <c:v>45219</c:v>
                </c:pt>
                <c:pt idx="492">
                  <c:v>45218</c:v>
                </c:pt>
                <c:pt idx="493">
                  <c:v>45217</c:v>
                </c:pt>
                <c:pt idx="494">
                  <c:v>45216</c:v>
                </c:pt>
                <c:pt idx="495">
                  <c:v>45215</c:v>
                </c:pt>
                <c:pt idx="496">
                  <c:v>45212</c:v>
                </c:pt>
                <c:pt idx="497">
                  <c:v>45211</c:v>
                </c:pt>
                <c:pt idx="498">
                  <c:v>45210</c:v>
                </c:pt>
                <c:pt idx="499">
                  <c:v>45209</c:v>
                </c:pt>
                <c:pt idx="500">
                  <c:v>45208</c:v>
                </c:pt>
                <c:pt idx="501">
                  <c:v>45205</c:v>
                </c:pt>
                <c:pt idx="502">
                  <c:v>45204</c:v>
                </c:pt>
                <c:pt idx="503">
                  <c:v>45203</c:v>
                </c:pt>
                <c:pt idx="504">
                  <c:v>45202</c:v>
                </c:pt>
                <c:pt idx="505">
                  <c:v>45198</c:v>
                </c:pt>
                <c:pt idx="506">
                  <c:v>45197</c:v>
                </c:pt>
                <c:pt idx="507">
                  <c:v>45196</c:v>
                </c:pt>
                <c:pt idx="508">
                  <c:v>45195</c:v>
                </c:pt>
                <c:pt idx="509">
                  <c:v>45194</c:v>
                </c:pt>
                <c:pt idx="510">
                  <c:v>45191</c:v>
                </c:pt>
                <c:pt idx="511">
                  <c:v>45190</c:v>
                </c:pt>
                <c:pt idx="512">
                  <c:v>45189</c:v>
                </c:pt>
                <c:pt idx="513">
                  <c:v>45187</c:v>
                </c:pt>
                <c:pt idx="514">
                  <c:v>45184</c:v>
                </c:pt>
                <c:pt idx="515">
                  <c:v>45183</c:v>
                </c:pt>
                <c:pt idx="516">
                  <c:v>45182</c:v>
                </c:pt>
                <c:pt idx="517">
                  <c:v>45181</c:v>
                </c:pt>
                <c:pt idx="518">
                  <c:v>45180</c:v>
                </c:pt>
                <c:pt idx="519">
                  <c:v>45177</c:v>
                </c:pt>
                <c:pt idx="520">
                  <c:v>45176</c:v>
                </c:pt>
                <c:pt idx="521">
                  <c:v>45175</c:v>
                </c:pt>
                <c:pt idx="522">
                  <c:v>45174</c:v>
                </c:pt>
                <c:pt idx="523">
                  <c:v>45173</c:v>
                </c:pt>
                <c:pt idx="524">
                  <c:v>45170</c:v>
                </c:pt>
                <c:pt idx="525">
                  <c:v>45169</c:v>
                </c:pt>
                <c:pt idx="526">
                  <c:v>45168</c:v>
                </c:pt>
                <c:pt idx="527">
                  <c:v>45167</c:v>
                </c:pt>
                <c:pt idx="528">
                  <c:v>45166</c:v>
                </c:pt>
                <c:pt idx="529">
                  <c:v>45163</c:v>
                </c:pt>
                <c:pt idx="530">
                  <c:v>45162</c:v>
                </c:pt>
                <c:pt idx="531">
                  <c:v>45161</c:v>
                </c:pt>
                <c:pt idx="532">
                  <c:v>45160</c:v>
                </c:pt>
                <c:pt idx="533">
                  <c:v>45159</c:v>
                </c:pt>
                <c:pt idx="534">
                  <c:v>45156</c:v>
                </c:pt>
                <c:pt idx="535">
                  <c:v>45155</c:v>
                </c:pt>
                <c:pt idx="536">
                  <c:v>45154</c:v>
                </c:pt>
                <c:pt idx="537">
                  <c:v>45152</c:v>
                </c:pt>
                <c:pt idx="538">
                  <c:v>45149</c:v>
                </c:pt>
                <c:pt idx="539">
                  <c:v>45148</c:v>
                </c:pt>
                <c:pt idx="540">
                  <c:v>45147</c:v>
                </c:pt>
                <c:pt idx="541">
                  <c:v>45146</c:v>
                </c:pt>
                <c:pt idx="542">
                  <c:v>45145</c:v>
                </c:pt>
                <c:pt idx="543">
                  <c:v>45142</c:v>
                </c:pt>
                <c:pt idx="544">
                  <c:v>45141</c:v>
                </c:pt>
                <c:pt idx="545">
                  <c:v>45140</c:v>
                </c:pt>
                <c:pt idx="546">
                  <c:v>45139</c:v>
                </c:pt>
                <c:pt idx="547">
                  <c:v>45138</c:v>
                </c:pt>
                <c:pt idx="548">
                  <c:v>45135</c:v>
                </c:pt>
                <c:pt idx="549">
                  <c:v>45134</c:v>
                </c:pt>
                <c:pt idx="550">
                  <c:v>45133</c:v>
                </c:pt>
                <c:pt idx="551">
                  <c:v>45132</c:v>
                </c:pt>
                <c:pt idx="552">
                  <c:v>45131</c:v>
                </c:pt>
                <c:pt idx="553">
                  <c:v>45128</c:v>
                </c:pt>
                <c:pt idx="554">
                  <c:v>45127</c:v>
                </c:pt>
                <c:pt idx="555">
                  <c:v>45126</c:v>
                </c:pt>
                <c:pt idx="556">
                  <c:v>45125</c:v>
                </c:pt>
                <c:pt idx="557">
                  <c:v>45124</c:v>
                </c:pt>
                <c:pt idx="558">
                  <c:v>45121</c:v>
                </c:pt>
                <c:pt idx="559">
                  <c:v>45120</c:v>
                </c:pt>
                <c:pt idx="560">
                  <c:v>45119</c:v>
                </c:pt>
                <c:pt idx="561">
                  <c:v>45118</c:v>
                </c:pt>
                <c:pt idx="562">
                  <c:v>45117</c:v>
                </c:pt>
                <c:pt idx="563">
                  <c:v>45114</c:v>
                </c:pt>
                <c:pt idx="564">
                  <c:v>45113</c:v>
                </c:pt>
                <c:pt idx="565">
                  <c:v>45112</c:v>
                </c:pt>
                <c:pt idx="566">
                  <c:v>45111</c:v>
                </c:pt>
                <c:pt idx="567">
                  <c:v>45110</c:v>
                </c:pt>
                <c:pt idx="568">
                  <c:v>45107</c:v>
                </c:pt>
                <c:pt idx="569">
                  <c:v>45105</c:v>
                </c:pt>
                <c:pt idx="570">
                  <c:v>45104</c:v>
                </c:pt>
                <c:pt idx="571">
                  <c:v>45103</c:v>
                </c:pt>
                <c:pt idx="572">
                  <c:v>45100</c:v>
                </c:pt>
                <c:pt idx="573">
                  <c:v>45099</c:v>
                </c:pt>
                <c:pt idx="574">
                  <c:v>45098</c:v>
                </c:pt>
                <c:pt idx="575">
                  <c:v>45097</c:v>
                </c:pt>
                <c:pt idx="576">
                  <c:v>45096</c:v>
                </c:pt>
                <c:pt idx="577">
                  <c:v>45093</c:v>
                </c:pt>
                <c:pt idx="578">
                  <c:v>45092</c:v>
                </c:pt>
                <c:pt idx="579">
                  <c:v>45091</c:v>
                </c:pt>
                <c:pt idx="580">
                  <c:v>45090</c:v>
                </c:pt>
                <c:pt idx="581">
                  <c:v>45089</c:v>
                </c:pt>
                <c:pt idx="582">
                  <c:v>45086</c:v>
                </c:pt>
                <c:pt idx="583">
                  <c:v>45085</c:v>
                </c:pt>
                <c:pt idx="584">
                  <c:v>45084</c:v>
                </c:pt>
                <c:pt idx="585">
                  <c:v>45083</c:v>
                </c:pt>
                <c:pt idx="586">
                  <c:v>45082</c:v>
                </c:pt>
                <c:pt idx="587">
                  <c:v>45079</c:v>
                </c:pt>
                <c:pt idx="588">
                  <c:v>45078</c:v>
                </c:pt>
                <c:pt idx="589">
                  <c:v>45077</c:v>
                </c:pt>
                <c:pt idx="590">
                  <c:v>45076</c:v>
                </c:pt>
                <c:pt idx="591">
                  <c:v>45075</c:v>
                </c:pt>
                <c:pt idx="592">
                  <c:v>45072</c:v>
                </c:pt>
                <c:pt idx="593">
                  <c:v>45071</c:v>
                </c:pt>
                <c:pt idx="594">
                  <c:v>45070</c:v>
                </c:pt>
                <c:pt idx="595">
                  <c:v>45069</c:v>
                </c:pt>
                <c:pt idx="596">
                  <c:v>45068</c:v>
                </c:pt>
                <c:pt idx="597">
                  <c:v>45065</c:v>
                </c:pt>
                <c:pt idx="598">
                  <c:v>45064</c:v>
                </c:pt>
                <c:pt idx="599">
                  <c:v>45063</c:v>
                </c:pt>
                <c:pt idx="600">
                  <c:v>45062</c:v>
                </c:pt>
                <c:pt idx="601">
                  <c:v>45061</c:v>
                </c:pt>
                <c:pt idx="602">
                  <c:v>45058</c:v>
                </c:pt>
                <c:pt idx="603">
                  <c:v>45057</c:v>
                </c:pt>
                <c:pt idx="604">
                  <c:v>45056</c:v>
                </c:pt>
                <c:pt idx="605">
                  <c:v>45055</c:v>
                </c:pt>
                <c:pt idx="606">
                  <c:v>45054</c:v>
                </c:pt>
                <c:pt idx="607">
                  <c:v>45051</c:v>
                </c:pt>
                <c:pt idx="608">
                  <c:v>45050</c:v>
                </c:pt>
                <c:pt idx="609">
                  <c:v>45049</c:v>
                </c:pt>
                <c:pt idx="610">
                  <c:v>45048</c:v>
                </c:pt>
                <c:pt idx="611">
                  <c:v>45044</c:v>
                </c:pt>
                <c:pt idx="612">
                  <c:v>45043</c:v>
                </c:pt>
                <c:pt idx="613">
                  <c:v>45042</c:v>
                </c:pt>
                <c:pt idx="614">
                  <c:v>45041</c:v>
                </c:pt>
                <c:pt idx="615">
                  <c:v>45040</c:v>
                </c:pt>
                <c:pt idx="616">
                  <c:v>45037</c:v>
                </c:pt>
                <c:pt idx="617">
                  <c:v>45036</c:v>
                </c:pt>
                <c:pt idx="618">
                  <c:v>45035</c:v>
                </c:pt>
                <c:pt idx="619">
                  <c:v>45034</c:v>
                </c:pt>
                <c:pt idx="620">
                  <c:v>45033</c:v>
                </c:pt>
                <c:pt idx="621">
                  <c:v>45029</c:v>
                </c:pt>
                <c:pt idx="622">
                  <c:v>45028</c:v>
                </c:pt>
                <c:pt idx="623">
                  <c:v>45027</c:v>
                </c:pt>
                <c:pt idx="624">
                  <c:v>45026</c:v>
                </c:pt>
                <c:pt idx="625">
                  <c:v>45022</c:v>
                </c:pt>
                <c:pt idx="626">
                  <c:v>45021</c:v>
                </c:pt>
                <c:pt idx="627">
                  <c:v>45019</c:v>
                </c:pt>
                <c:pt idx="628">
                  <c:v>45016</c:v>
                </c:pt>
                <c:pt idx="629">
                  <c:v>45014</c:v>
                </c:pt>
                <c:pt idx="630">
                  <c:v>45013</c:v>
                </c:pt>
                <c:pt idx="631">
                  <c:v>45012</c:v>
                </c:pt>
                <c:pt idx="632">
                  <c:v>45009</c:v>
                </c:pt>
                <c:pt idx="633">
                  <c:v>45008</c:v>
                </c:pt>
                <c:pt idx="634">
                  <c:v>45007</c:v>
                </c:pt>
                <c:pt idx="635">
                  <c:v>45006</c:v>
                </c:pt>
                <c:pt idx="636">
                  <c:v>45005</c:v>
                </c:pt>
                <c:pt idx="637">
                  <c:v>45002</c:v>
                </c:pt>
                <c:pt idx="638">
                  <c:v>45001</c:v>
                </c:pt>
                <c:pt idx="639">
                  <c:v>45000</c:v>
                </c:pt>
                <c:pt idx="640">
                  <c:v>44999</c:v>
                </c:pt>
                <c:pt idx="641">
                  <c:v>44998</c:v>
                </c:pt>
                <c:pt idx="642">
                  <c:v>44995</c:v>
                </c:pt>
                <c:pt idx="643">
                  <c:v>44994</c:v>
                </c:pt>
                <c:pt idx="644">
                  <c:v>44993</c:v>
                </c:pt>
                <c:pt idx="645">
                  <c:v>44991</c:v>
                </c:pt>
                <c:pt idx="646">
                  <c:v>44988</c:v>
                </c:pt>
                <c:pt idx="647">
                  <c:v>44987</c:v>
                </c:pt>
                <c:pt idx="648">
                  <c:v>44986</c:v>
                </c:pt>
                <c:pt idx="649">
                  <c:v>44985</c:v>
                </c:pt>
                <c:pt idx="650">
                  <c:v>44984</c:v>
                </c:pt>
                <c:pt idx="651">
                  <c:v>44981</c:v>
                </c:pt>
                <c:pt idx="652">
                  <c:v>44980</c:v>
                </c:pt>
                <c:pt idx="653">
                  <c:v>44979</c:v>
                </c:pt>
                <c:pt idx="654">
                  <c:v>44978</c:v>
                </c:pt>
                <c:pt idx="655">
                  <c:v>44977</c:v>
                </c:pt>
                <c:pt idx="656">
                  <c:v>44974</c:v>
                </c:pt>
                <c:pt idx="657">
                  <c:v>44973</c:v>
                </c:pt>
                <c:pt idx="658">
                  <c:v>44972</c:v>
                </c:pt>
                <c:pt idx="659">
                  <c:v>44971</c:v>
                </c:pt>
                <c:pt idx="660">
                  <c:v>44970</c:v>
                </c:pt>
                <c:pt idx="661">
                  <c:v>44967</c:v>
                </c:pt>
                <c:pt idx="662">
                  <c:v>44966</c:v>
                </c:pt>
                <c:pt idx="663">
                  <c:v>44965</c:v>
                </c:pt>
                <c:pt idx="664">
                  <c:v>44964</c:v>
                </c:pt>
                <c:pt idx="665">
                  <c:v>44963</c:v>
                </c:pt>
                <c:pt idx="666">
                  <c:v>44960</c:v>
                </c:pt>
                <c:pt idx="667">
                  <c:v>44959</c:v>
                </c:pt>
                <c:pt idx="668">
                  <c:v>44958</c:v>
                </c:pt>
                <c:pt idx="669">
                  <c:v>44957</c:v>
                </c:pt>
                <c:pt idx="670">
                  <c:v>44956</c:v>
                </c:pt>
                <c:pt idx="671">
                  <c:v>44953</c:v>
                </c:pt>
                <c:pt idx="672">
                  <c:v>44951</c:v>
                </c:pt>
                <c:pt idx="673">
                  <c:v>44950</c:v>
                </c:pt>
                <c:pt idx="674">
                  <c:v>44949</c:v>
                </c:pt>
                <c:pt idx="675">
                  <c:v>44946</c:v>
                </c:pt>
                <c:pt idx="676">
                  <c:v>44945</c:v>
                </c:pt>
                <c:pt idx="677">
                  <c:v>44944</c:v>
                </c:pt>
                <c:pt idx="678">
                  <c:v>44943</c:v>
                </c:pt>
                <c:pt idx="679">
                  <c:v>44942</c:v>
                </c:pt>
                <c:pt idx="680">
                  <c:v>44939</c:v>
                </c:pt>
                <c:pt idx="681">
                  <c:v>44938</c:v>
                </c:pt>
                <c:pt idx="682">
                  <c:v>44937</c:v>
                </c:pt>
                <c:pt idx="683">
                  <c:v>44936</c:v>
                </c:pt>
                <c:pt idx="684">
                  <c:v>44935</c:v>
                </c:pt>
                <c:pt idx="685">
                  <c:v>44932</c:v>
                </c:pt>
                <c:pt idx="686">
                  <c:v>44931</c:v>
                </c:pt>
                <c:pt idx="687">
                  <c:v>44930</c:v>
                </c:pt>
                <c:pt idx="688">
                  <c:v>44929</c:v>
                </c:pt>
                <c:pt idx="689">
                  <c:v>44928</c:v>
                </c:pt>
                <c:pt idx="690">
                  <c:v>44925</c:v>
                </c:pt>
                <c:pt idx="691">
                  <c:v>44924</c:v>
                </c:pt>
                <c:pt idx="692">
                  <c:v>44923</c:v>
                </c:pt>
                <c:pt idx="693">
                  <c:v>44922</c:v>
                </c:pt>
                <c:pt idx="694">
                  <c:v>44921</c:v>
                </c:pt>
                <c:pt idx="695">
                  <c:v>44918</c:v>
                </c:pt>
                <c:pt idx="696">
                  <c:v>44917</c:v>
                </c:pt>
                <c:pt idx="697">
                  <c:v>44916</c:v>
                </c:pt>
                <c:pt idx="698">
                  <c:v>44915</c:v>
                </c:pt>
                <c:pt idx="699">
                  <c:v>44914</c:v>
                </c:pt>
                <c:pt idx="700">
                  <c:v>44911</c:v>
                </c:pt>
                <c:pt idx="701">
                  <c:v>44910</c:v>
                </c:pt>
                <c:pt idx="702">
                  <c:v>44909</c:v>
                </c:pt>
                <c:pt idx="703">
                  <c:v>44908</c:v>
                </c:pt>
                <c:pt idx="704">
                  <c:v>44907</c:v>
                </c:pt>
                <c:pt idx="705">
                  <c:v>44904</c:v>
                </c:pt>
                <c:pt idx="706">
                  <c:v>44903</c:v>
                </c:pt>
                <c:pt idx="707">
                  <c:v>44902</c:v>
                </c:pt>
                <c:pt idx="708">
                  <c:v>44901</c:v>
                </c:pt>
                <c:pt idx="709">
                  <c:v>44900</c:v>
                </c:pt>
                <c:pt idx="710">
                  <c:v>44897</c:v>
                </c:pt>
                <c:pt idx="711">
                  <c:v>44896</c:v>
                </c:pt>
                <c:pt idx="712">
                  <c:v>44895</c:v>
                </c:pt>
                <c:pt idx="713">
                  <c:v>44894</c:v>
                </c:pt>
                <c:pt idx="714">
                  <c:v>44893</c:v>
                </c:pt>
                <c:pt idx="715">
                  <c:v>44890</c:v>
                </c:pt>
                <c:pt idx="716">
                  <c:v>44889</c:v>
                </c:pt>
                <c:pt idx="717">
                  <c:v>44888</c:v>
                </c:pt>
                <c:pt idx="718">
                  <c:v>44887</c:v>
                </c:pt>
                <c:pt idx="719">
                  <c:v>44886</c:v>
                </c:pt>
                <c:pt idx="720">
                  <c:v>44883</c:v>
                </c:pt>
                <c:pt idx="721">
                  <c:v>44882</c:v>
                </c:pt>
                <c:pt idx="722">
                  <c:v>44881</c:v>
                </c:pt>
                <c:pt idx="723">
                  <c:v>44880</c:v>
                </c:pt>
                <c:pt idx="724">
                  <c:v>44879</c:v>
                </c:pt>
                <c:pt idx="725">
                  <c:v>44876</c:v>
                </c:pt>
                <c:pt idx="726">
                  <c:v>44875</c:v>
                </c:pt>
                <c:pt idx="727">
                  <c:v>44874</c:v>
                </c:pt>
                <c:pt idx="728">
                  <c:v>44872</c:v>
                </c:pt>
                <c:pt idx="729">
                  <c:v>44869</c:v>
                </c:pt>
                <c:pt idx="730">
                  <c:v>44868</c:v>
                </c:pt>
                <c:pt idx="731">
                  <c:v>44867</c:v>
                </c:pt>
                <c:pt idx="732">
                  <c:v>44866</c:v>
                </c:pt>
                <c:pt idx="733">
                  <c:v>44865</c:v>
                </c:pt>
                <c:pt idx="734">
                  <c:v>44862</c:v>
                </c:pt>
                <c:pt idx="735">
                  <c:v>44861</c:v>
                </c:pt>
                <c:pt idx="736">
                  <c:v>44859</c:v>
                </c:pt>
                <c:pt idx="737">
                  <c:v>44858</c:v>
                </c:pt>
                <c:pt idx="738">
                  <c:v>44855</c:v>
                </c:pt>
                <c:pt idx="739">
                  <c:v>44854</c:v>
                </c:pt>
                <c:pt idx="740">
                  <c:v>44853</c:v>
                </c:pt>
                <c:pt idx="741">
                  <c:v>44852</c:v>
                </c:pt>
                <c:pt idx="742">
                  <c:v>44851</c:v>
                </c:pt>
                <c:pt idx="743">
                  <c:v>44848</c:v>
                </c:pt>
                <c:pt idx="744">
                  <c:v>44847</c:v>
                </c:pt>
                <c:pt idx="745">
                  <c:v>44846</c:v>
                </c:pt>
                <c:pt idx="746">
                  <c:v>44845</c:v>
                </c:pt>
                <c:pt idx="747">
                  <c:v>44844</c:v>
                </c:pt>
                <c:pt idx="748">
                  <c:v>44841</c:v>
                </c:pt>
                <c:pt idx="749">
                  <c:v>44840</c:v>
                </c:pt>
                <c:pt idx="750">
                  <c:v>44838</c:v>
                </c:pt>
                <c:pt idx="751">
                  <c:v>44837</c:v>
                </c:pt>
                <c:pt idx="752">
                  <c:v>44834</c:v>
                </c:pt>
                <c:pt idx="753">
                  <c:v>44833</c:v>
                </c:pt>
                <c:pt idx="754">
                  <c:v>44832</c:v>
                </c:pt>
                <c:pt idx="755">
                  <c:v>44831</c:v>
                </c:pt>
                <c:pt idx="756">
                  <c:v>44830</c:v>
                </c:pt>
                <c:pt idx="757">
                  <c:v>44827</c:v>
                </c:pt>
                <c:pt idx="758">
                  <c:v>44826</c:v>
                </c:pt>
                <c:pt idx="759">
                  <c:v>44825</c:v>
                </c:pt>
                <c:pt idx="760">
                  <c:v>44824</c:v>
                </c:pt>
                <c:pt idx="761">
                  <c:v>44823</c:v>
                </c:pt>
                <c:pt idx="762">
                  <c:v>44820</c:v>
                </c:pt>
                <c:pt idx="763">
                  <c:v>44819</c:v>
                </c:pt>
                <c:pt idx="764">
                  <c:v>44818</c:v>
                </c:pt>
                <c:pt idx="765">
                  <c:v>44817</c:v>
                </c:pt>
                <c:pt idx="766">
                  <c:v>44816</c:v>
                </c:pt>
                <c:pt idx="767">
                  <c:v>44813</c:v>
                </c:pt>
                <c:pt idx="768">
                  <c:v>44812</c:v>
                </c:pt>
                <c:pt idx="769">
                  <c:v>44811</c:v>
                </c:pt>
                <c:pt idx="770">
                  <c:v>44810</c:v>
                </c:pt>
                <c:pt idx="771">
                  <c:v>44809</c:v>
                </c:pt>
                <c:pt idx="772">
                  <c:v>44806</c:v>
                </c:pt>
                <c:pt idx="773">
                  <c:v>44805</c:v>
                </c:pt>
                <c:pt idx="774">
                  <c:v>44803</c:v>
                </c:pt>
                <c:pt idx="775">
                  <c:v>44802</c:v>
                </c:pt>
                <c:pt idx="776">
                  <c:v>44799</c:v>
                </c:pt>
                <c:pt idx="777">
                  <c:v>44798</c:v>
                </c:pt>
                <c:pt idx="778">
                  <c:v>44797</c:v>
                </c:pt>
                <c:pt idx="779">
                  <c:v>44796</c:v>
                </c:pt>
                <c:pt idx="780">
                  <c:v>44795</c:v>
                </c:pt>
                <c:pt idx="781">
                  <c:v>44792</c:v>
                </c:pt>
                <c:pt idx="782">
                  <c:v>44791</c:v>
                </c:pt>
                <c:pt idx="783">
                  <c:v>44790</c:v>
                </c:pt>
                <c:pt idx="784">
                  <c:v>44789</c:v>
                </c:pt>
                <c:pt idx="785">
                  <c:v>44785</c:v>
                </c:pt>
                <c:pt idx="786">
                  <c:v>44784</c:v>
                </c:pt>
                <c:pt idx="787">
                  <c:v>44783</c:v>
                </c:pt>
                <c:pt idx="788">
                  <c:v>44781</c:v>
                </c:pt>
                <c:pt idx="789">
                  <c:v>44778</c:v>
                </c:pt>
                <c:pt idx="790">
                  <c:v>44777</c:v>
                </c:pt>
                <c:pt idx="791">
                  <c:v>44776</c:v>
                </c:pt>
                <c:pt idx="792">
                  <c:v>44775</c:v>
                </c:pt>
                <c:pt idx="793">
                  <c:v>44774</c:v>
                </c:pt>
                <c:pt idx="794">
                  <c:v>44771</c:v>
                </c:pt>
                <c:pt idx="795">
                  <c:v>44770</c:v>
                </c:pt>
                <c:pt idx="796">
                  <c:v>44769</c:v>
                </c:pt>
                <c:pt idx="797">
                  <c:v>44768</c:v>
                </c:pt>
                <c:pt idx="798">
                  <c:v>44767</c:v>
                </c:pt>
                <c:pt idx="799">
                  <c:v>44764</c:v>
                </c:pt>
                <c:pt idx="800">
                  <c:v>44763</c:v>
                </c:pt>
                <c:pt idx="801">
                  <c:v>44762</c:v>
                </c:pt>
                <c:pt idx="802">
                  <c:v>44761</c:v>
                </c:pt>
                <c:pt idx="803">
                  <c:v>44760</c:v>
                </c:pt>
                <c:pt idx="804">
                  <c:v>44757</c:v>
                </c:pt>
                <c:pt idx="805">
                  <c:v>44756</c:v>
                </c:pt>
                <c:pt idx="806">
                  <c:v>44755</c:v>
                </c:pt>
                <c:pt idx="807">
                  <c:v>44754</c:v>
                </c:pt>
                <c:pt idx="808">
                  <c:v>44753</c:v>
                </c:pt>
                <c:pt idx="809">
                  <c:v>44750</c:v>
                </c:pt>
                <c:pt idx="810">
                  <c:v>44749</c:v>
                </c:pt>
                <c:pt idx="811">
                  <c:v>44748</c:v>
                </c:pt>
                <c:pt idx="812">
                  <c:v>44747</c:v>
                </c:pt>
                <c:pt idx="813">
                  <c:v>44746</c:v>
                </c:pt>
                <c:pt idx="814">
                  <c:v>44743</c:v>
                </c:pt>
                <c:pt idx="815">
                  <c:v>44742</c:v>
                </c:pt>
                <c:pt idx="816">
                  <c:v>44741</c:v>
                </c:pt>
                <c:pt idx="817">
                  <c:v>44740</c:v>
                </c:pt>
                <c:pt idx="818">
                  <c:v>44739</c:v>
                </c:pt>
                <c:pt idx="819">
                  <c:v>44736</c:v>
                </c:pt>
                <c:pt idx="820">
                  <c:v>44735</c:v>
                </c:pt>
                <c:pt idx="821">
                  <c:v>44734</c:v>
                </c:pt>
                <c:pt idx="822">
                  <c:v>44733</c:v>
                </c:pt>
                <c:pt idx="823">
                  <c:v>44732</c:v>
                </c:pt>
                <c:pt idx="824">
                  <c:v>44729</c:v>
                </c:pt>
                <c:pt idx="825">
                  <c:v>44728</c:v>
                </c:pt>
                <c:pt idx="826">
                  <c:v>44727</c:v>
                </c:pt>
                <c:pt idx="827">
                  <c:v>44726</c:v>
                </c:pt>
                <c:pt idx="828">
                  <c:v>44725</c:v>
                </c:pt>
                <c:pt idx="829">
                  <c:v>44722</c:v>
                </c:pt>
                <c:pt idx="830">
                  <c:v>44721</c:v>
                </c:pt>
                <c:pt idx="831">
                  <c:v>44720</c:v>
                </c:pt>
                <c:pt idx="832">
                  <c:v>44719</c:v>
                </c:pt>
                <c:pt idx="833">
                  <c:v>44718</c:v>
                </c:pt>
                <c:pt idx="834">
                  <c:v>44715</c:v>
                </c:pt>
                <c:pt idx="835">
                  <c:v>44714</c:v>
                </c:pt>
                <c:pt idx="836">
                  <c:v>44713</c:v>
                </c:pt>
                <c:pt idx="837">
                  <c:v>44712</c:v>
                </c:pt>
                <c:pt idx="838">
                  <c:v>44711</c:v>
                </c:pt>
                <c:pt idx="839">
                  <c:v>44708</c:v>
                </c:pt>
                <c:pt idx="840">
                  <c:v>44707</c:v>
                </c:pt>
                <c:pt idx="841">
                  <c:v>44706</c:v>
                </c:pt>
                <c:pt idx="842">
                  <c:v>44705</c:v>
                </c:pt>
                <c:pt idx="843">
                  <c:v>44704</c:v>
                </c:pt>
                <c:pt idx="844">
                  <c:v>44701</c:v>
                </c:pt>
                <c:pt idx="845">
                  <c:v>44700</c:v>
                </c:pt>
                <c:pt idx="846">
                  <c:v>44699</c:v>
                </c:pt>
                <c:pt idx="847">
                  <c:v>44698</c:v>
                </c:pt>
                <c:pt idx="848">
                  <c:v>44697</c:v>
                </c:pt>
                <c:pt idx="849">
                  <c:v>44694</c:v>
                </c:pt>
                <c:pt idx="850">
                  <c:v>44693</c:v>
                </c:pt>
                <c:pt idx="851">
                  <c:v>44692</c:v>
                </c:pt>
                <c:pt idx="852">
                  <c:v>44691</c:v>
                </c:pt>
                <c:pt idx="853">
                  <c:v>44690</c:v>
                </c:pt>
                <c:pt idx="854">
                  <c:v>44687</c:v>
                </c:pt>
                <c:pt idx="855">
                  <c:v>44686</c:v>
                </c:pt>
                <c:pt idx="856">
                  <c:v>44685</c:v>
                </c:pt>
                <c:pt idx="857">
                  <c:v>44683</c:v>
                </c:pt>
                <c:pt idx="858">
                  <c:v>44680</c:v>
                </c:pt>
                <c:pt idx="859">
                  <c:v>44679</c:v>
                </c:pt>
                <c:pt idx="860">
                  <c:v>44678</c:v>
                </c:pt>
                <c:pt idx="861">
                  <c:v>44677</c:v>
                </c:pt>
                <c:pt idx="862">
                  <c:v>44676</c:v>
                </c:pt>
                <c:pt idx="863">
                  <c:v>44673</c:v>
                </c:pt>
                <c:pt idx="864">
                  <c:v>44672</c:v>
                </c:pt>
                <c:pt idx="865">
                  <c:v>44671</c:v>
                </c:pt>
                <c:pt idx="866">
                  <c:v>44670</c:v>
                </c:pt>
                <c:pt idx="867">
                  <c:v>44669</c:v>
                </c:pt>
                <c:pt idx="868">
                  <c:v>44664</c:v>
                </c:pt>
                <c:pt idx="869">
                  <c:v>44663</c:v>
                </c:pt>
                <c:pt idx="870">
                  <c:v>44662</c:v>
                </c:pt>
                <c:pt idx="871">
                  <c:v>44659</c:v>
                </c:pt>
                <c:pt idx="872">
                  <c:v>44658</c:v>
                </c:pt>
                <c:pt idx="873">
                  <c:v>44657</c:v>
                </c:pt>
                <c:pt idx="874">
                  <c:v>44656</c:v>
                </c:pt>
                <c:pt idx="875">
                  <c:v>44655</c:v>
                </c:pt>
                <c:pt idx="876">
                  <c:v>44652</c:v>
                </c:pt>
                <c:pt idx="877">
                  <c:v>44651</c:v>
                </c:pt>
                <c:pt idx="878">
                  <c:v>44650</c:v>
                </c:pt>
                <c:pt idx="879">
                  <c:v>44649</c:v>
                </c:pt>
                <c:pt idx="880">
                  <c:v>44648</c:v>
                </c:pt>
                <c:pt idx="881">
                  <c:v>44645</c:v>
                </c:pt>
                <c:pt idx="882">
                  <c:v>44644</c:v>
                </c:pt>
                <c:pt idx="883">
                  <c:v>44643</c:v>
                </c:pt>
                <c:pt idx="884">
                  <c:v>44642</c:v>
                </c:pt>
                <c:pt idx="885">
                  <c:v>44641</c:v>
                </c:pt>
                <c:pt idx="886">
                  <c:v>44637</c:v>
                </c:pt>
                <c:pt idx="887">
                  <c:v>44636</c:v>
                </c:pt>
                <c:pt idx="888">
                  <c:v>44635</c:v>
                </c:pt>
                <c:pt idx="889">
                  <c:v>44634</c:v>
                </c:pt>
                <c:pt idx="890">
                  <c:v>44631</c:v>
                </c:pt>
                <c:pt idx="891">
                  <c:v>44630</c:v>
                </c:pt>
                <c:pt idx="892">
                  <c:v>44629</c:v>
                </c:pt>
                <c:pt idx="893">
                  <c:v>44628</c:v>
                </c:pt>
                <c:pt idx="894">
                  <c:v>44627</c:v>
                </c:pt>
                <c:pt idx="895">
                  <c:v>44624</c:v>
                </c:pt>
                <c:pt idx="896">
                  <c:v>44623</c:v>
                </c:pt>
                <c:pt idx="897">
                  <c:v>44622</c:v>
                </c:pt>
                <c:pt idx="898">
                  <c:v>44620</c:v>
                </c:pt>
                <c:pt idx="899">
                  <c:v>44617</c:v>
                </c:pt>
                <c:pt idx="900">
                  <c:v>44616</c:v>
                </c:pt>
                <c:pt idx="901">
                  <c:v>44615</c:v>
                </c:pt>
                <c:pt idx="902">
                  <c:v>44614</c:v>
                </c:pt>
                <c:pt idx="903">
                  <c:v>44613</c:v>
                </c:pt>
                <c:pt idx="904">
                  <c:v>44610</c:v>
                </c:pt>
                <c:pt idx="905">
                  <c:v>44609</c:v>
                </c:pt>
                <c:pt idx="906">
                  <c:v>44608</c:v>
                </c:pt>
                <c:pt idx="907">
                  <c:v>44607</c:v>
                </c:pt>
                <c:pt idx="908">
                  <c:v>44606</c:v>
                </c:pt>
                <c:pt idx="909">
                  <c:v>44603</c:v>
                </c:pt>
                <c:pt idx="910">
                  <c:v>44602</c:v>
                </c:pt>
                <c:pt idx="911">
                  <c:v>44601</c:v>
                </c:pt>
                <c:pt idx="912">
                  <c:v>44600</c:v>
                </c:pt>
                <c:pt idx="913">
                  <c:v>44599</c:v>
                </c:pt>
                <c:pt idx="914">
                  <c:v>44596</c:v>
                </c:pt>
                <c:pt idx="915">
                  <c:v>44595</c:v>
                </c:pt>
                <c:pt idx="916">
                  <c:v>44594</c:v>
                </c:pt>
                <c:pt idx="917">
                  <c:v>44593</c:v>
                </c:pt>
                <c:pt idx="918">
                  <c:v>44592</c:v>
                </c:pt>
                <c:pt idx="919">
                  <c:v>44589</c:v>
                </c:pt>
                <c:pt idx="920">
                  <c:v>44588</c:v>
                </c:pt>
                <c:pt idx="921">
                  <c:v>44586</c:v>
                </c:pt>
                <c:pt idx="922">
                  <c:v>44585</c:v>
                </c:pt>
                <c:pt idx="923">
                  <c:v>44582</c:v>
                </c:pt>
                <c:pt idx="924">
                  <c:v>44581</c:v>
                </c:pt>
                <c:pt idx="925">
                  <c:v>44580</c:v>
                </c:pt>
                <c:pt idx="926">
                  <c:v>44579</c:v>
                </c:pt>
                <c:pt idx="927">
                  <c:v>44578</c:v>
                </c:pt>
                <c:pt idx="928">
                  <c:v>44575</c:v>
                </c:pt>
                <c:pt idx="929">
                  <c:v>44574</c:v>
                </c:pt>
                <c:pt idx="930">
                  <c:v>44573</c:v>
                </c:pt>
                <c:pt idx="931">
                  <c:v>44572</c:v>
                </c:pt>
                <c:pt idx="932">
                  <c:v>44571</c:v>
                </c:pt>
                <c:pt idx="933">
                  <c:v>44568</c:v>
                </c:pt>
                <c:pt idx="934">
                  <c:v>44567</c:v>
                </c:pt>
                <c:pt idx="935">
                  <c:v>44566</c:v>
                </c:pt>
                <c:pt idx="936">
                  <c:v>44565</c:v>
                </c:pt>
                <c:pt idx="937">
                  <c:v>44564</c:v>
                </c:pt>
                <c:pt idx="938">
                  <c:v>44561</c:v>
                </c:pt>
                <c:pt idx="939">
                  <c:v>44560</c:v>
                </c:pt>
                <c:pt idx="940">
                  <c:v>44559</c:v>
                </c:pt>
                <c:pt idx="941">
                  <c:v>44558</c:v>
                </c:pt>
                <c:pt idx="942">
                  <c:v>44557</c:v>
                </c:pt>
                <c:pt idx="943">
                  <c:v>44554</c:v>
                </c:pt>
                <c:pt idx="944">
                  <c:v>44553</c:v>
                </c:pt>
                <c:pt idx="945">
                  <c:v>44552</c:v>
                </c:pt>
                <c:pt idx="946">
                  <c:v>44551</c:v>
                </c:pt>
                <c:pt idx="947">
                  <c:v>44550</c:v>
                </c:pt>
                <c:pt idx="948">
                  <c:v>44547</c:v>
                </c:pt>
                <c:pt idx="949">
                  <c:v>44546</c:v>
                </c:pt>
                <c:pt idx="950">
                  <c:v>44545</c:v>
                </c:pt>
                <c:pt idx="951">
                  <c:v>44544</c:v>
                </c:pt>
                <c:pt idx="952">
                  <c:v>44543</c:v>
                </c:pt>
                <c:pt idx="953">
                  <c:v>44540</c:v>
                </c:pt>
                <c:pt idx="954">
                  <c:v>44539</c:v>
                </c:pt>
                <c:pt idx="955">
                  <c:v>44538</c:v>
                </c:pt>
                <c:pt idx="956">
                  <c:v>44537</c:v>
                </c:pt>
                <c:pt idx="957">
                  <c:v>44536</c:v>
                </c:pt>
                <c:pt idx="958">
                  <c:v>44533</c:v>
                </c:pt>
                <c:pt idx="959">
                  <c:v>44532</c:v>
                </c:pt>
                <c:pt idx="960">
                  <c:v>44531</c:v>
                </c:pt>
                <c:pt idx="961">
                  <c:v>44530</c:v>
                </c:pt>
                <c:pt idx="962">
                  <c:v>44529</c:v>
                </c:pt>
                <c:pt idx="963">
                  <c:v>44526</c:v>
                </c:pt>
                <c:pt idx="964">
                  <c:v>44525</c:v>
                </c:pt>
                <c:pt idx="965">
                  <c:v>44524</c:v>
                </c:pt>
                <c:pt idx="966">
                  <c:v>44523</c:v>
                </c:pt>
                <c:pt idx="967">
                  <c:v>44522</c:v>
                </c:pt>
                <c:pt idx="968">
                  <c:v>44518</c:v>
                </c:pt>
                <c:pt idx="969">
                  <c:v>44517</c:v>
                </c:pt>
                <c:pt idx="970">
                  <c:v>44516</c:v>
                </c:pt>
                <c:pt idx="971">
                  <c:v>44515</c:v>
                </c:pt>
                <c:pt idx="972">
                  <c:v>44512</c:v>
                </c:pt>
                <c:pt idx="973">
                  <c:v>44511</c:v>
                </c:pt>
                <c:pt idx="974">
                  <c:v>44510</c:v>
                </c:pt>
                <c:pt idx="975">
                  <c:v>44509</c:v>
                </c:pt>
                <c:pt idx="976">
                  <c:v>44508</c:v>
                </c:pt>
                <c:pt idx="977">
                  <c:v>44504</c:v>
                </c:pt>
                <c:pt idx="978">
                  <c:v>44503</c:v>
                </c:pt>
                <c:pt idx="979">
                  <c:v>44502</c:v>
                </c:pt>
                <c:pt idx="980">
                  <c:v>44501</c:v>
                </c:pt>
                <c:pt idx="981">
                  <c:v>44498</c:v>
                </c:pt>
                <c:pt idx="982">
                  <c:v>44497</c:v>
                </c:pt>
                <c:pt idx="983">
                  <c:v>44496</c:v>
                </c:pt>
                <c:pt idx="984">
                  <c:v>44495</c:v>
                </c:pt>
                <c:pt idx="985">
                  <c:v>44494</c:v>
                </c:pt>
                <c:pt idx="986">
                  <c:v>44491</c:v>
                </c:pt>
                <c:pt idx="987">
                  <c:v>44490</c:v>
                </c:pt>
                <c:pt idx="988">
                  <c:v>44489</c:v>
                </c:pt>
                <c:pt idx="989">
                  <c:v>44488</c:v>
                </c:pt>
                <c:pt idx="990">
                  <c:v>44487</c:v>
                </c:pt>
                <c:pt idx="991">
                  <c:v>44483</c:v>
                </c:pt>
                <c:pt idx="992">
                  <c:v>44482</c:v>
                </c:pt>
                <c:pt idx="993">
                  <c:v>44481</c:v>
                </c:pt>
                <c:pt idx="994">
                  <c:v>44480</c:v>
                </c:pt>
                <c:pt idx="995">
                  <c:v>44477</c:v>
                </c:pt>
                <c:pt idx="996">
                  <c:v>44476</c:v>
                </c:pt>
                <c:pt idx="997">
                  <c:v>44475</c:v>
                </c:pt>
                <c:pt idx="998">
                  <c:v>44474</c:v>
                </c:pt>
                <c:pt idx="999">
                  <c:v>44473</c:v>
                </c:pt>
                <c:pt idx="1000">
                  <c:v>44470</c:v>
                </c:pt>
                <c:pt idx="1001">
                  <c:v>44469</c:v>
                </c:pt>
                <c:pt idx="1002">
                  <c:v>44468</c:v>
                </c:pt>
                <c:pt idx="1003">
                  <c:v>44467</c:v>
                </c:pt>
                <c:pt idx="1004">
                  <c:v>44466</c:v>
                </c:pt>
                <c:pt idx="1005">
                  <c:v>44463</c:v>
                </c:pt>
                <c:pt idx="1006">
                  <c:v>44462</c:v>
                </c:pt>
                <c:pt idx="1007">
                  <c:v>44461</c:v>
                </c:pt>
                <c:pt idx="1008">
                  <c:v>44460</c:v>
                </c:pt>
                <c:pt idx="1009">
                  <c:v>44459</c:v>
                </c:pt>
                <c:pt idx="1010">
                  <c:v>44456</c:v>
                </c:pt>
                <c:pt idx="1011">
                  <c:v>44455</c:v>
                </c:pt>
                <c:pt idx="1012">
                  <c:v>44454</c:v>
                </c:pt>
                <c:pt idx="1013">
                  <c:v>44453</c:v>
                </c:pt>
                <c:pt idx="1014">
                  <c:v>44452</c:v>
                </c:pt>
                <c:pt idx="1015">
                  <c:v>44448</c:v>
                </c:pt>
                <c:pt idx="1016">
                  <c:v>44447</c:v>
                </c:pt>
                <c:pt idx="1017">
                  <c:v>44446</c:v>
                </c:pt>
                <c:pt idx="1018">
                  <c:v>44445</c:v>
                </c:pt>
                <c:pt idx="1019">
                  <c:v>44442</c:v>
                </c:pt>
                <c:pt idx="1020">
                  <c:v>44441</c:v>
                </c:pt>
                <c:pt idx="1021">
                  <c:v>44440</c:v>
                </c:pt>
                <c:pt idx="1022">
                  <c:v>44439</c:v>
                </c:pt>
                <c:pt idx="1023">
                  <c:v>44438</c:v>
                </c:pt>
                <c:pt idx="1024">
                  <c:v>44435</c:v>
                </c:pt>
                <c:pt idx="1025">
                  <c:v>44434</c:v>
                </c:pt>
                <c:pt idx="1026">
                  <c:v>44433</c:v>
                </c:pt>
                <c:pt idx="1027">
                  <c:v>44432</c:v>
                </c:pt>
                <c:pt idx="1028">
                  <c:v>44431</c:v>
                </c:pt>
                <c:pt idx="1029">
                  <c:v>44428</c:v>
                </c:pt>
                <c:pt idx="1030">
                  <c:v>44426</c:v>
                </c:pt>
                <c:pt idx="1031">
                  <c:v>44425</c:v>
                </c:pt>
                <c:pt idx="1032">
                  <c:v>44424</c:v>
                </c:pt>
                <c:pt idx="1033">
                  <c:v>44421</c:v>
                </c:pt>
                <c:pt idx="1034">
                  <c:v>44420</c:v>
                </c:pt>
                <c:pt idx="1035">
                  <c:v>44419</c:v>
                </c:pt>
                <c:pt idx="1036">
                  <c:v>44418</c:v>
                </c:pt>
                <c:pt idx="1037">
                  <c:v>44417</c:v>
                </c:pt>
                <c:pt idx="1038">
                  <c:v>44414</c:v>
                </c:pt>
                <c:pt idx="1039">
                  <c:v>44413</c:v>
                </c:pt>
                <c:pt idx="1040">
                  <c:v>44412</c:v>
                </c:pt>
                <c:pt idx="1041">
                  <c:v>44411</c:v>
                </c:pt>
                <c:pt idx="1042">
                  <c:v>44410</c:v>
                </c:pt>
                <c:pt idx="1043">
                  <c:v>44407</c:v>
                </c:pt>
                <c:pt idx="1044">
                  <c:v>44406</c:v>
                </c:pt>
                <c:pt idx="1045">
                  <c:v>44405</c:v>
                </c:pt>
                <c:pt idx="1046">
                  <c:v>44404</c:v>
                </c:pt>
                <c:pt idx="1047">
                  <c:v>44403</c:v>
                </c:pt>
                <c:pt idx="1048">
                  <c:v>44400</c:v>
                </c:pt>
                <c:pt idx="1049">
                  <c:v>44399</c:v>
                </c:pt>
                <c:pt idx="1050">
                  <c:v>44397</c:v>
                </c:pt>
                <c:pt idx="1051">
                  <c:v>44396</c:v>
                </c:pt>
                <c:pt idx="1052">
                  <c:v>44393</c:v>
                </c:pt>
                <c:pt idx="1053">
                  <c:v>44392</c:v>
                </c:pt>
                <c:pt idx="1054">
                  <c:v>44391</c:v>
                </c:pt>
                <c:pt idx="1055">
                  <c:v>44390</c:v>
                </c:pt>
                <c:pt idx="1056">
                  <c:v>44389</c:v>
                </c:pt>
                <c:pt idx="1057">
                  <c:v>44386</c:v>
                </c:pt>
                <c:pt idx="1058">
                  <c:v>44385</c:v>
                </c:pt>
                <c:pt idx="1059">
                  <c:v>44384</c:v>
                </c:pt>
                <c:pt idx="1060">
                  <c:v>44383</c:v>
                </c:pt>
                <c:pt idx="1061">
                  <c:v>44382</c:v>
                </c:pt>
                <c:pt idx="1062">
                  <c:v>44379</c:v>
                </c:pt>
                <c:pt idx="1063">
                  <c:v>44378</c:v>
                </c:pt>
                <c:pt idx="1064">
                  <c:v>44377</c:v>
                </c:pt>
                <c:pt idx="1065">
                  <c:v>44376</c:v>
                </c:pt>
                <c:pt idx="1066">
                  <c:v>44375</c:v>
                </c:pt>
                <c:pt idx="1067">
                  <c:v>44372</c:v>
                </c:pt>
                <c:pt idx="1068">
                  <c:v>44371</c:v>
                </c:pt>
                <c:pt idx="1069">
                  <c:v>44370</c:v>
                </c:pt>
                <c:pt idx="1070">
                  <c:v>44369</c:v>
                </c:pt>
                <c:pt idx="1071">
                  <c:v>44368</c:v>
                </c:pt>
                <c:pt idx="1072">
                  <c:v>44365</c:v>
                </c:pt>
                <c:pt idx="1073">
                  <c:v>44364</c:v>
                </c:pt>
                <c:pt idx="1074">
                  <c:v>44363</c:v>
                </c:pt>
                <c:pt idx="1075">
                  <c:v>44362</c:v>
                </c:pt>
                <c:pt idx="1076">
                  <c:v>44361</c:v>
                </c:pt>
                <c:pt idx="1077">
                  <c:v>44358</c:v>
                </c:pt>
                <c:pt idx="1078">
                  <c:v>44357</c:v>
                </c:pt>
                <c:pt idx="1079">
                  <c:v>44356</c:v>
                </c:pt>
                <c:pt idx="1080">
                  <c:v>44355</c:v>
                </c:pt>
                <c:pt idx="1081">
                  <c:v>44354</c:v>
                </c:pt>
                <c:pt idx="1082">
                  <c:v>44351</c:v>
                </c:pt>
                <c:pt idx="1083">
                  <c:v>44350</c:v>
                </c:pt>
                <c:pt idx="1084">
                  <c:v>44349</c:v>
                </c:pt>
                <c:pt idx="1085">
                  <c:v>44348</c:v>
                </c:pt>
                <c:pt idx="1086">
                  <c:v>44347</c:v>
                </c:pt>
                <c:pt idx="1087">
                  <c:v>44344</c:v>
                </c:pt>
                <c:pt idx="1088">
                  <c:v>44343</c:v>
                </c:pt>
                <c:pt idx="1089">
                  <c:v>44342</c:v>
                </c:pt>
                <c:pt idx="1090">
                  <c:v>44341</c:v>
                </c:pt>
                <c:pt idx="1091">
                  <c:v>44340</c:v>
                </c:pt>
                <c:pt idx="1092">
                  <c:v>44337</c:v>
                </c:pt>
                <c:pt idx="1093">
                  <c:v>44336</c:v>
                </c:pt>
                <c:pt idx="1094">
                  <c:v>44335</c:v>
                </c:pt>
                <c:pt idx="1095">
                  <c:v>44334</c:v>
                </c:pt>
                <c:pt idx="1096">
                  <c:v>44333</c:v>
                </c:pt>
                <c:pt idx="1097">
                  <c:v>44330</c:v>
                </c:pt>
                <c:pt idx="1098">
                  <c:v>44328</c:v>
                </c:pt>
                <c:pt idx="1099">
                  <c:v>44327</c:v>
                </c:pt>
                <c:pt idx="1100">
                  <c:v>44326</c:v>
                </c:pt>
                <c:pt idx="1101">
                  <c:v>44323</c:v>
                </c:pt>
                <c:pt idx="1102">
                  <c:v>44322</c:v>
                </c:pt>
                <c:pt idx="1103">
                  <c:v>44321</c:v>
                </c:pt>
                <c:pt idx="1104">
                  <c:v>44320</c:v>
                </c:pt>
                <c:pt idx="1105">
                  <c:v>44319</c:v>
                </c:pt>
                <c:pt idx="1106">
                  <c:v>44316</c:v>
                </c:pt>
                <c:pt idx="1107">
                  <c:v>44315</c:v>
                </c:pt>
                <c:pt idx="1108">
                  <c:v>44314</c:v>
                </c:pt>
                <c:pt idx="1109">
                  <c:v>44313</c:v>
                </c:pt>
                <c:pt idx="1110">
                  <c:v>44312</c:v>
                </c:pt>
                <c:pt idx="1111">
                  <c:v>44309</c:v>
                </c:pt>
                <c:pt idx="1112">
                  <c:v>44308</c:v>
                </c:pt>
                <c:pt idx="1113">
                  <c:v>44306</c:v>
                </c:pt>
                <c:pt idx="1114">
                  <c:v>44305</c:v>
                </c:pt>
                <c:pt idx="1115">
                  <c:v>44302</c:v>
                </c:pt>
                <c:pt idx="1116">
                  <c:v>44301</c:v>
                </c:pt>
                <c:pt idx="1117">
                  <c:v>44299</c:v>
                </c:pt>
                <c:pt idx="1118">
                  <c:v>44298</c:v>
                </c:pt>
                <c:pt idx="1119">
                  <c:v>44295</c:v>
                </c:pt>
                <c:pt idx="1120">
                  <c:v>44294</c:v>
                </c:pt>
                <c:pt idx="1121">
                  <c:v>44293</c:v>
                </c:pt>
                <c:pt idx="1122">
                  <c:v>44292</c:v>
                </c:pt>
                <c:pt idx="1123">
                  <c:v>44291</c:v>
                </c:pt>
                <c:pt idx="1124">
                  <c:v>44287</c:v>
                </c:pt>
                <c:pt idx="1125">
                  <c:v>44286</c:v>
                </c:pt>
                <c:pt idx="1126">
                  <c:v>44285</c:v>
                </c:pt>
                <c:pt idx="1127">
                  <c:v>44281</c:v>
                </c:pt>
                <c:pt idx="1128">
                  <c:v>44280</c:v>
                </c:pt>
                <c:pt idx="1129">
                  <c:v>44279</c:v>
                </c:pt>
                <c:pt idx="1130">
                  <c:v>44278</c:v>
                </c:pt>
                <c:pt idx="1131">
                  <c:v>44277</c:v>
                </c:pt>
                <c:pt idx="1132">
                  <c:v>44274</c:v>
                </c:pt>
                <c:pt idx="1133">
                  <c:v>44273</c:v>
                </c:pt>
                <c:pt idx="1134">
                  <c:v>44272</c:v>
                </c:pt>
                <c:pt idx="1135">
                  <c:v>44271</c:v>
                </c:pt>
                <c:pt idx="1136">
                  <c:v>44270</c:v>
                </c:pt>
                <c:pt idx="1137">
                  <c:v>44267</c:v>
                </c:pt>
                <c:pt idx="1138">
                  <c:v>44265</c:v>
                </c:pt>
                <c:pt idx="1139">
                  <c:v>44264</c:v>
                </c:pt>
                <c:pt idx="1140">
                  <c:v>44263</c:v>
                </c:pt>
                <c:pt idx="1141">
                  <c:v>44260</c:v>
                </c:pt>
                <c:pt idx="1142">
                  <c:v>44259</c:v>
                </c:pt>
                <c:pt idx="1143">
                  <c:v>44258</c:v>
                </c:pt>
                <c:pt idx="1144">
                  <c:v>44257</c:v>
                </c:pt>
                <c:pt idx="1145">
                  <c:v>44256</c:v>
                </c:pt>
                <c:pt idx="1146">
                  <c:v>44253</c:v>
                </c:pt>
                <c:pt idx="1147">
                  <c:v>44252</c:v>
                </c:pt>
                <c:pt idx="1148">
                  <c:v>44251</c:v>
                </c:pt>
                <c:pt idx="1149">
                  <c:v>44250</c:v>
                </c:pt>
                <c:pt idx="1150">
                  <c:v>44249</c:v>
                </c:pt>
                <c:pt idx="1151">
                  <c:v>44246</c:v>
                </c:pt>
                <c:pt idx="1152">
                  <c:v>44245</c:v>
                </c:pt>
                <c:pt idx="1153">
                  <c:v>44244</c:v>
                </c:pt>
                <c:pt idx="1154">
                  <c:v>44243</c:v>
                </c:pt>
                <c:pt idx="1155">
                  <c:v>44242</c:v>
                </c:pt>
                <c:pt idx="1156">
                  <c:v>44239</c:v>
                </c:pt>
                <c:pt idx="1157">
                  <c:v>44238</c:v>
                </c:pt>
                <c:pt idx="1158">
                  <c:v>44237</c:v>
                </c:pt>
                <c:pt idx="1159">
                  <c:v>44236</c:v>
                </c:pt>
                <c:pt idx="1160">
                  <c:v>44235</c:v>
                </c:pt>
                <c:pt idx="1161">
                  <c:v>44232</c:v>
                </c:pt>
                <c:pt idx="1162">
                  <c:v>44231</c:v>
                </c:pt>
                <c:pt idx="1163">
                  <c:v>44230</c:v>
                </c:pt>
                <c:pt idx="1164">
                  <c:v>44229</c:v>
                </c:pt>
                <c:pt idx="1165">
                  <c:v>44228</c:v>
                </c:pt>
                <c:pt idx="1166">
                  <c:v>44225</c:v>
                </c:pt>
                <c:pt idx="1167">
                  <c:v>44224</c:v>
                </c:pt>
                <c:pt idx="1168">
                  <c:v>44223</c:v>
                </c:pt>
                <c:pt idx="1169">
                  <c:v>44221</c:v>
                </c:pt>
                <c:pt idx="1170">
                  <c:v>44218</c:v>
                </c:pt>
                <c:pt idx="1171">
                  <c:v>44217</c:v>
                </c:pt>
                <c:pt idx="1172">
                  <c:v>44216</c:v>
                </c:pt>
                <c:pt idx="1173">
                  <c:v>44215</c:v>
                </c:pt>
                <c:pt idx="1174">
                  <c:v>44214</c:v>
                </c:pt>
                <c:pt idx="1175">
                  <c:v>44211</c:v>
                </c:pt>
                <c:pt idx="1176">
                  <c:v>44210</c:v>
                </c:pt>
                <c:pt idx="1177">
                  <c:v>44209</c:v>
                </c:pt>
                <c:pt idx="1178">
                  <c:v>44208</c:v>
                </c:pt>
                <c:pt idx="1179">
                  <c:v>44207</c:v>
                </c:pt>
                <c:pt idx="1180">
                  <c:v>44204</c:v>
                </c:pt>
                <c:pt idx="1181">
                  <c:v>44203</c:v>
                </c:pt>
                <c:pt idx="1182">
                  <c:v>44202</c:v>
                </c:pt>
                <c:pt idx="1183">
                  <c:v>44201</c:v>
                </c:pt>
                <c:pt idx="1184">
                  <c:v>44200</c:v>
                </c:pt>
                <c:pt idx="1185">
                  <c:v>44197</c:v>
                </c:pt>
                <c:pt idx="1186">
                  <c:v>44196</c:v>
                </c:pt>
                <c:pt idx="1187">
                  <c:v>44195</c:v>
                </c:pt>
                <c:pt idx="1188">
                  <c:v>44194</c:v>
                </c:pt>
                <c:pt idx="1189">
                  <c:v>44193</c:v>
                </c:pt>
                <c:pt idx="1190">
                  <c:v>44189</c:v>
                </c:pt>
                <c:pt idx="1191">
                  <c:v>44188</c:v>
                </c:pt>
                <c:pt idx="1192">
                  <c:v>44187</c:v>
                </c:pt>
                <c:pt idx="1193">
                  <c:v>44186</c:v>
                </c:pt>
                <c:pt idx="1194">
                  <c:v>44183</c:v>
                </c:pt>
                <c:pt idx="1195">
                  <c:v>44182</c:v>
                </c:pt>
                <c:pt idx="1196">
                  <c:v>44181</c:v>
                </c:pt>
                <c:pt idx="1197">
                  <c:v>44180</c:v>
                </c:pt>
                <c:pt idx="1198">
                  <c:v>44179</c:v>
                </c:pt>
                <c:pt idx="1199">
                  <c:v>44176</c:v>
                </c:pt>
                <c:pt idx="1200">
                  <c:v>44175</c:v>
                </c:pt>
                <c:pt idx="1201">
                  <c:v>44174</c:v>
                </c:pt>
                <c:pt idx="1202">
                  <c:v>44173</c:v>
                </c:pt>
                <c:pt idx="1203">
                  <c:v>44172</c:v>
                </c:pt>
                <c:pt idx="1204">
                  <c:v>44169</c:v>
                </c:pt>
                <c:pt idx="1205">
                  <c:v>44168</c:v>
                </c:pt>
                <c:pt idx="1206">
                  <c:v>44167</c:v>
                </c:pt>
                <c:pt idx="1207">
                  <c:v>44166</c:v>
                </c:pt>
                <c:pt idx="1208">
                  <c:v>44162</c:v>
                </c:pt>
                <c:pt idx="1209">
                  <c:v>44161</c:v>
                </c:pt>
                <c:pt idx="1210">
                  <c:v>44160</c:v>
                </c:pt>
                <c:pt idx="1211">
                  <c:v>44159</c:v>
                </c:pt>
                <c:pt idx="1212">
                  <c:v>44158</c:v>
                </c:pt>
                <c:pt idx="1213">
                  <c:v>44155</c:v>
                </c:pt>
                <c:pt idx="1214">
                  <c:v>44154</c:v>
                </c:pt>
                <c:pt idx="1215">
                  <c:v>44153</c:v>
                </c:pt>
                <c:pt idx="1216">
                  <c:v>44152</c:v>
                </c:pt>
                <c:pt idx="1217">
                  <c:v>44149</c:v>
                </c:pt>
                <c:pt idx="1218">
                  <c:v>44148</c:v>
                </c:pt>
                <c:pt idx="1219">
                  <c:v>44147</c:v>
                </c:pt>
                <c:pt idx="1220">
                  <c:v>44146</c:v>
                </c:pt>
                <c:pt idx="1221">
                  <c:v>44145</c:v>
                </c:pt>
                <c:pt idx="1222">
                  <c:v>44144</c:v>
                </c:pt>
                <c:pt idx="1223">
                  <c:v>44141</c:v>
                </c:pt>
                <c:pt idx="1224">
                  <c:v>44140</c:v>
                </c:pt>
                <c:pt idx="1225">
                  <c:v>44139</c:v>
                </c:pt>
                <c:pt idx="1226">
                  <c:v>44138</c:v>
                </c:pt>
                <c:pt idx="1227">
                  <c:v>44137</c:v>
                </c:pt>
                <c:pt idx="1228">
                  <c:v>44134</c:v>
                </c:pt>
                <c:pt idx="1229">
                  <c:v>44133</c:v>
                </c:pt>
                <c:pt idx="1230">
                  <c:v>44132</c:v>
                </c:pt>
                <c:pt idx="1231">
                  <c:v>44131</c:v>
                </c:pt>
                <c:pt idx="1232">
                  <c:v>44130</c:v>
                </c:pt>
                <c:pt idx="1233">
                  <c:v>44127</c:v>
                </c:pt>
                <c:pt idx="1234">
                  <c:v>44126</c:v>
                </c:pt>
                <c:pt idx="1235">
                  <c:v>44125</c:v>
                </c:pt>
                <c:pt idx="1236">
                  <c:v>44124</c:v>
                </c:pt>
                <c:pt idx="1237">
                  <c:v>44123</c:v>
                </c:pt>
                <c:pt idx="1238">
                  <c:v>44120</c:v>
                </c:pt>
                <c:pt idx="1239">
                  <c:v>44119</c:v>
                </c:pt>
                <c:pt idx="1240">
                  <c:v>44118</c:v>
                </c:pt>
                <c:pt idx="1241">
                  <c:v>44117</c:v>
                </c:pt>
              </c:numCache>
            </c:numRef>
          </c:cat>
          <c:val>
            <c:numRef>
              <c:f>'Kama Holdings'!$M$3:$M$1244</c:f>
              <c:numCache>
                <c:formatCode>0%</c:formatCode>
                <c:ptCount val="1242"/>
                <c:pt idx="0">
                  <c:v>0.79031953735015781</c:v>
                </c:pt>
                <c:pt idx="1">
                  <c:v>0.79421590092187677</c:v>
                </c:pt>
                <c:pt idx="2">
                  <c:v>0.7931683422676038</c:v>
                </c:pt>
                <c:pt idx="3">
                  <c:v>0.79141207881624198</c:v>
                </c:pt>
                <c:pt idx="4">
                  <c:v>0.78932058505337033</c:v>
                </c:pt>
                <c:pt idx="5">
                  <c:v>0.78892795934670568</c:v>
                </c:pt>
                <c:pt idx="6">
                  <c:v>0.78549944229561219</c:v>
                </c:pt>
                <c:pt idx="7">
                  <c:v>0.78150674580062418</c:v>
                </c:pt>
                <c:pt idx="8">
                  <c:v>0.77768667739534214</c:v>
                </c:pt>
                <c:pt idx="9">
                  <c:v>0.77528653019066618</c:v>
                </c:pt>
                <c:pt idx="10">
                  <c:v>0.77693241754876319</c:v>
                </c:pt>
                <c:pt idx="11">
                  <c:v>0.77581995706759477</c:v>
                </c:pt>
                <c:pt idx="12">
                  <c:v>0.77534025537679752</c:v>
                </c:pt>
                <c:pt idx="13">
                  <c:v>0.78079874477066646</c:v>
                </c:pt>
                <c:pt idx="14">
                  <c:v>0.7804332113090604</c:v>
                </c:pt>
                <c:pt idx="15">
                  <c:v>0.78201744353949421</c:v>
                </c:pt>
                <c:pt idx="16">
                  <c:v>0.77880504591668842</c:v>
                </c:pt>
                <c:pt idx="17">
                  <c:v>0.77818723866942374</c:v>
                </c:pt>
                <c:pt idx="18">
                  <c:v>0.77972338132313124</c:v>
                </c:pt>
                <c:pt idx="19">
                  <c:v>0.78238066444674659</c:v>
                </c:pt>
                <c:pt idx="20">
                  <c:v>0.78340142445645988</c:v>
                </c:pt>
                <c:pt idx="21">
                  <c:v>0.78514301040732382</c:v>
                </c:pt>
                <c:pt idx="22">
                  <c:v>0.78146988162133391</c:v>
                </c:pt>
                <c:pt idx="23">
                  <c:v>0.78171911879147293</c:v>
                </c:pt>
                <c:pt idx="24">
                  <c:v>0.7780546134117361</c:v>
                </c:pt>
                <c:pt idx="25">
                  <c:v>0.77688207531913367</c:v>
                </c:pt>
                <c:pt idx="26">
                  <c:v>0.77857245221008209</c:v>
                </c:pt>
                <c:pt idx="27">
                  <c:v>0.78149825461453215</c:v>
                </c:pt>
                <c:pt idx="28">
                  <c:v>0.77845796366934028</c:v>
                </c:pt>
                <c:pt idx="29">
                  <c:v>0.78042149259941707</c:v>
                </c:pt>
                <c:pt idx="30">
                  <c:v>0.78066951409913798</c:v>
                </c:pt>
                <c:pt idx="31">
                  <c:v>0.77892609560409298</c:v>
                </c:pt>
                <c:pt idx="32">
                  <c:v>0.77912569279764277</c:v>
                </c:pt>
                <c:pt idx="33">
                  <c:v>0.78327110668820876</c:v>
                </c:pt>
                <c:pt idx="34">
                  <c:v>0.78285752577000578</c:v>
                </c:pt>
                <c:pt idx="35">
                  <c:v>0.78249158807669517</c:v>
                </c:pt>
                <c:pt idx="36">
                  <c:v>0.78309825061649452</c:v>
                </c:pt>
                <c:pt idx="37">
                  <c:v>0.78029145765894148</c:v>
                </c:pt>
                <c:pt idx="38">
                  <c:v>0.78051862915258652</c:v>
                </c:pt>
                <c:pt idx="39">
                  <c:v>0.77522975425418228</c:v>
                </c:pt>
                <c:pt idx="40">
                  <c:v>0.77591081432379205</c:v>
                </c:pt>
                <c:pt idx="41">
                  <c:v>0.77473146416136385</c:v>
                </c:pt>
                <c:pt idx="42">
                  <c:v>0.77764682910474814</c:v>
                </c:pt>
                <c:pt idx="43">
                  <c:v>0.77487340686881379</c:v>
                </c:pt>
                <c:pt idx="44">
                  <c:v>0.77772716078481963</c:v>
                </c:pt>
                <c:pt idx="45">
                  <c:v>0.77914134194215701</c:v>
                </c:pt>
                <c:pt idx="46">
                  <c:v>0.77993017382655783</c:v>
                </c:pt>
                <c:pt idx="47">
                  <c:v>0.78249829599737797</c:v>
                </c:pt>
                <c:pt idx="48">
                  <c:v>0.7811621642072536</c:v>
                </c:pt>
                <c:pt idx="49">
                  <c:v>0.78296908620596073</c:v>
                </c:pt>
                <c:pt idx="50">
                  <c:v>0.78448308336501682</c:v>
                </c:pt>
                <c:pt idx="51">
                  <c:v>0.78505393913628274</c:v>
                </c:pt>
                <c:pt idx="52">
                  <c:v>0.78180666437371904</c:v>
                </c:pt>
                <c:pt idx="53">
                  <c:v>0.78328923304098086</c:v>
                </c:pt>
                <c:pt idx="54">
                  <c:v>0.78857151499784139</c:v>
                </c:pt>
                <c:pt idx="55">
                  <c:v>0.78830004621367233</c:v>
                </c:pt>
                <c:pt idx="56">
                  <c:v>0.78635424507109974</c:v>
                </c:pt>
                <c:pt idx="57">
                  <c:v>0.78716764062921962</c:v>
                </c:pt>
                <c:pt idx="58">
                  <c:v>0.79257455258560572</c:v>
                </c:pt>
                <c:pt idx="59">
                  <c:v>0.79271889345833879</c:v>
                </c:pt>
                <c:pt idx="60">
                  <c:v>0.79313438155300431</c:v>
                </c:pt>
                <c:pt idx="61">
                  <c:v>0.79377841710500574</c:v>
                </c:pt>
                <c:pt idx="62">
                  <c:v>0.79042907251528038</c:v>
                </c:pt>
                <c:pt idx="63">
                  <c:v>0.78984192050368596</c:v>
                </c:pt>
                <c:pt idx="64">
                  <c:v>0.79445131039688488</c:v>
                </c:pt>
                <c:pt idx="65">
                  <c:v>0.79393647236519516</c:v>
                </c:pt>
                <c:pt idx="66">
                  <c:v>0.79329385044084333</c:v>
                </c:pt>
                <c:pt idx="67">
                  <c:v>0.79143734805540866</c:v>
                </c:pt>
                <c:pt idx="68">
                  <c:v>0.78772690660010103</c:v>
                </c:pt>
                <c:pt idx="69">
                  <c:v>0.79315186021304829</c:v>
                </c:pt>
                <c:pt idx="70">
                  <c:v>0.79685072830491566</c:v>
                </c:pt>
                <c:pt idx="71">
                  <c:v>0.80045265195910975</c:v>
                </c:pt>
                <c:pt idx="72">
                  <c:v>0.80413295551496811</c:v>
                </c:pt>
                <c:pt idx="73">
                  <c:v>0.80252703954888127</c:v>
                </c:pt>
                <c:pt idx="74">
                  <c:v>0.79730706614602265</c:v>
                </c:pt>
                <c:pt idx="75">
                  <c:v>0.79575437766683788</c:v>
                </c:pt>
                <c:pt idx="76">
                  <c:v>0.79829319970952828</c:v>
                </c:pt>
                <c:pt idx="77">
                  <c:v>0.79753772752598329</c:v>
                </c:pt>
                <c:pt idx="78">
                  <c:v>0.79723120393247493</c:v>
                </c:pt>
                <c:pt idx="79">
                  <c:v>0.79542409297720207</c:v>
                </c:pt>
                <c:pt idx="80">
                  <c:v>0.80011522673507374</c:v>
                </c:pt>
                <c:pt idx="81">
                  <c:v>0.80104018552664413</c:v>
                </c:pt>
                <c:pt idx="82">
                  <c:v>0.80141524146437981</c:v>
                </c:pt>
                <c:pt idx="83">
                  <c:v>0.80892978524668246</c:v>
                </c:pt>
                <c:pt idx="84">
                  <c:v>0.80762239612165299</c:v>
                </c:pt>
                <c:pt idx="85">
                  <c:v>0.80506179443370374</c:v>
                </c:pt>
                <c:pt idx="86">
                  <c:v>0.8043938718720377</c:v>
                </c:pt>
                <c:pt idx="87">
                  <c:v>0.80849304551908441</c:v>
                </c:pt>
                <c:pt idx="88">
                  <c:v>0.81159664409548404</c:v>
                </c:pt>
                <c:pt idx="89">
                  <c:v>0.81243926838100777</c:v>
                </c:pt>
                <c:pt idx="90">
                  <c:v>0.81248305162157208</c:v>
                </c:pt>
                <c:pt idx="91">
                  <c:v>0.80703499525835509</c:v>
                </c:pt>
                <c:pt idx="92">
                  <c:v>0.80432426974404303</c:v>
                </c:pt>
                <c:pt idx="93">
                  <c:v>0.79824327653384808</c:v>
                </c:pt>
                <c:pt idx="94">
                  <c:v>0.79809328375696165</c:v>
                </c:pt>
                <c:pt idx="95">
                  <c:v>0.79659735223285399</c:v>
                </c:pt>
                <c:pt idx="96">
                  <c:v>0.79751297466207849</c:v>
                </c:pt>
                <c:pt idx="97">
                  <c:v>0.79750425950416204</c:v>
                </c:pt>
                <c:pt idx="98">
                  <c:v>0.79705934432240766</c:v>
                </c:pt>
                <c:pt idx="99">
                  <c:v>0.79630717384633809</c:v>
                </c:pt>
                <c:pt idx="100">
                  <c:v>0.79900172208464471</c:v>
                </c:pt>
                <c:pt idx="101">
                  <c:v>0.79809115957616095</c:v>
                </c:pt>
                <c:pt idx="102">
                  <c:v>0.80077895068321403</c:v>
                </c:pt>
                <c:pt idx="103">
                  <c:v>0.79750584088079401</c:v>
                </c:pt>
                <c:pt idx="104">
                  <c:v>0.79386487138002559</c:v>
                </c:pt>
                <c:pt idx="105">
                  <c:v>0.79615904879014365</c:v>
                </c:pt>
                <c:pt idx="106">
                  <c:v>0.80394753667780838</c:v>
                </c:pt>
                <c:pt idx="107">
                  <c:v>0.80908299946613049</c:v>
                </c:pt>
                <c:pt idx="108">
                  <c:v>0.81028788288275189</c:v>
                </c:pt>
                <c:pt idx="109">
                  <c:v>0.80697667917507476</c:v>
                </c:pt>
                <c:pt idx="110">
                  <c:v>0.8099679485090685</c:v>
                </c:pt>
                <c:pt idx="111">
                  <c:v>0.80598199469476228</c:v>
                </c:pt>
                <c:pt idx="112">
                  <c:v>0.81546430759141009</c:v>
                </c:pt>
                <c:pt idx="113">
                  <c:v>0.8130887823388715</c:v>
                </c:pt>
                <c:pt idx="114">
                  <c:v>0.81325422044405826</c:v>
                </c:pt>
                <c:pt idx="115">
                  <c:v>0.81232026452858952</c:v>
                </c:pt>
                <c:pt idx="116">
                  <c:v>0.81440799171085132</c:v>
                </c:pt>
                <c:pt idx="117">
                  <c:v>0.81251638556966066</c:v>
                </c:pt>
                <c:pt idx="118">
                  <c:v>0.81317434631042329</c:v>
                </c:pt>
                <c:pt idx="119">
                  <c:v>0.80921746397333871</c:v>
                </c:pt>
                <c:pt idx="120">
                  <c:v>0.80887305446188695</c:v>
                </c:pt>
                <c:pt idx="121">
                  <c:v>0.81365718056830039</c:v>
                </c:pt>
                <c:pt idx="122">
                  <c:v>0.81285477957650265</c:v>
                </c:pt>
                <c:pt idx="123">
                  <c:v>0.81202031282479226</c:v>
                </c:pt>
                <c:pt idx="124">
                  <c:v>0.81335083613124037</c:v>
                </c:pt>
                <c:pt idx="125">
                  <c:v>0.81274682142284649</c:v>
                </c:pt>
                <c:pt idx="126">
                  <c:v>0.80817595135396258</c:v>
                </c:pt>
                <c:pt idx="127">
                  <c:v>0.80945483194871204</c:v>
                </c:pt>
                <c:pt idx="128">
                  <c:v>0.80786010459868951</c:v>
                </c:pt>
                <c:pt idx="129">
                  <c:v>0.80650607863882307</c:v>
                </c:pt>
                <c:pt idx="130">
                  <c:v>0.80399335785070702</c:v>
                </c:pt>
                <c:pt idx="131">
                  <c:v>0.81088276350567356</c:v>
                </c:pt>
                <c:pt idx="132">
                  <c:v>0.80647552027515346</c:v>
                </c:pt>
                <c:pt idx="133">
                  <c:v>0.8132800860037499</c:v>
                </c:pt>
                <c:pt idx="134">
                  <c:v>0.80874861843723733</c:v>
                </c:pt>
                <c:pt idx="135">
                  <c:v>0.8052305215832215</c:v>
                </c:pt>
                <c:pt idx="136">
                  <c:v>0.80659770125810926</c:v>
                </c:pt>
                <c:pt idx="137">
                  <c:v>0.80789557589876693</c:v>
                </c:pt>
                <c:pt idx="138">
                  <c:v>0.8091573131177241</c:v>
                </c:pt>
                <c:pt idx="139">
                  <c:v>0.80877343911218591</c:v>
                </c:pt>
                <c:pt idx="140">
                  <c:v>0.8098934461733287</c:v>
                </c:pt>
                <c:pt idx="141">
                  <c:v>0.81833142367664213</c:v>
                </c:pt>
                <c:pt idx="142">
                  <c:v>0.82528780415240077</c:v>
                </c:pt>
                <c:pt idx="143">
                  <c:v>0.82328326896688631</c:v>
                </c:pt>
                <c:pt idx="144">
                  <c:v>0.8221388173993176</c:v>
                </c:pt>
                <c:pt idx="145">
                  <c:v>0.82253808818253982</c:v>
                </c:pt>
                <c:pt idx="146">
                  <c:v>0.82032824189932074</c:v>
                </c:pt>
                <c:pt idx="147">
                  <c:v>0.82110279885661852</c:v>
                </c:pt>
                <c:pt idx="148">
                  <c:v>0.8157575205725891</c:v>
                </c:pt>
                <c:pt idx="149">
                  <c:v>0.81597664921991708</c:v>
                </c:pt>
                <c:pt idx="150">
                  <c:v>0.8167360910205983</c:v>
                </c:pt>
                <c:pt idx="151">
                  <c:v>0.81451267830674989</c:v>
                </c:pt>
                <c:pt idx="152">
                  <c:v>0.81323053848888005</c:v>
                </c:pt>
                <c:pt idx="153">
                  <c:v>0.81319184368198549</c:v>
                </c:pt>
                <c:pt idx="154">
                  <c:v>0.80825741030746423</c:v>
                </c:pt>
                <c:pt idx="155">
                  <c:v>0.80580883426465888</c:v>
                </c:pt>
                <c:pt idx="156">
                  <c:v>0.80564638830647406</c:v>
                </c:pt>
                <c:pt idx="157">
                  <c:v>0.807478340058434</c:v>
                </c:pt>
                <c:pt idx="158">
                  <c:v>0.80231614180865596</c:v>
                </c:pt>
                <c:pt idx="159">
                  <c:v>0.80531049431477175</c:v>
                </c:pt>
                <c:pt idx="160">
                  <c:v>0.80243420622695294</c:v>
                </c:pt>
                <c:pt idx="161">
                  <c:v>0.80144615135455055</c:v>
                </c:pt>
                <c:pt idx="162">
                  <c:v>0.80068596561227512</c:v>
                </c:pt>
                <c:pt idx="163">
                  <c:v>0.80153568516484308</c:v>
                </c:pt>
                <c:pt idx="164">
                  <c:v>0.79961698605044762</c:v>
                </c:pt>
                <c:pt idx="165">
                  <c:v>0.79860409077058536</c:v>
                </c:pt>
                <c:pt idx="166">
                  <c:v>0.79684549866757881</c:v>
                </c:pt>
                <c:pt idx="167">
                  <c:v>0.79788105504056683</c:v>
                </c:pt>
                <c:pt idx="168">
                  <c:v>0.79986210825887438</c:v>
                </c:pt>
                <c:pt idx="169">
                  <c:v>0.80199539571965728</c:v>
                </c:pt>
                <c:pt idx="170">
                  <c:v>0.804611889004053</c:v>
                </c:pt>
                <c:pt idx="171">
                  <c:v>0.80076388613627703</c:v>
                </c:pt>
                <c:pt idx="172">
                  <c:v>0.80055593486908871</c:v>
                </c:pt>
                <c:pt idx="173">
                  <c:v>0.7994844478708929</c:v>
                </c:pt>
                <c:pt idx="174">
                  <c:v>0.79710466400790247</c:v>
                </c:pt>
                <c:pt idx="175">
                  <c:v>0.79558062338984536</c:v>
                </c:pt>
                <c:pt idx="176">
                  <c:v>0.79851495203485112</c:v>
                </c:pt>
                <c:pt idx="177">
                  <c:v>0.79317255210802196</c:v>
                </c:pt>
                <c:pt idx="178">
                  <c:v>0.79122758717562003</c:v>
                </c:pt>
                <c:pt idx="179">
                  <c:v>0.79172096975031425</c:v>
                </c:pt>
                <c:pt idx="180">
                  <c:v>0.78958675005863099</c:v>
                </c:pt>
                <c:pt idx="181">
                  <c:v>0.78815595015419349</c:v>
                </c:pt>
                <c:pt idx="182">
                  <c:v>0.78836316556823904</c:v>
                </c:pt>
                <c:pt idx="183">
                  <c:v>0.78562018558825086</c:v>
                </c:pt>
                <c:pt idx="184">
                  <c:v>0.78432052957492071</c:v>
                </c:pt>
                <c:pt idx="185">
                  <c:v>0.7845315876427309</c:v>
                </c:pt>
                <c:pt idx="186">
                  <c:v>0.78725520724952891</c:v>
                </c:pt>
                <c:pt idx="187">
                  <c:v>0.78045597793624766</c:v>
                </c:pt>
                <c:pt idx="188">
                  <c:v>0.78509658282455641</c:v>
                </c:pt>
                <c:pt idx="189">
                  <c:v>0.77381041477513457</c:v>
                </c:pt>
                <c:pt idx="190">
                  <c:v>0.77015887472441746</c:v>
                </c:pt>
                <c:pt idx="191">
                  <c:v>0.76611506414851827</c:v>
                </c:pt>
                <c:pt idx="192">
                  <c:v>0.76489476499480658</c:v>
                </c:pt>
                <c:pt idx="193">
                  <c:v>0.7590563205118418</c:v>
                </c:pt>
                <c:pt idx="194">
                  <c:v>0.75916046248365043</c:v>
                </c:pt>
                <c:pt idx="195">
                  <c:v>0.76469304916760361</c:v>
                </c:pt>
                <c:pt idx="196">
                  <c:v>0.76300604846374021</c:v>
                </c:pt>
                <c:pt idx="197">
                  <c:v>0.7627805213962715</c:v>
                </c:pt>
                <c:pt idx="198">
                  <c:v>0.76386512116823924</c:v>
                </c:pt>
                <c:pt idx="199">
                  <c:v>0.75976372365537348</c:v>
                </c:pt>
                <c:pt idx="200">
                  <c:v>0.76858033809663895</c:v>
                </c:pt>
                <c:pt idx="201">
                  <c:v>0.76520844163534263</c:v>
                </c:pt>
                <c:pt idx="202">
                  <c:v>0.76158316775944335</c:v>
                </c:pt>
                <c:pt idx="203">
                  <c:v>0.75680176259920728</c:v>
                </c:pt>
                <c:pt idx="204">
                  <c:v>0.75576735618819735</c:v>
                </c:pt>
                <c:pt idx="205">
                  <c:v>0.75577390787221432</c:v>
                </c:pt>
                <c:pt idx="206">
                  <c:v>0.76341750831265043</c:v>
                </c:pt>
                <c:pt idx="207">
                  <c:v>0.76271260436355104</c:v>
                </c:pt>
                <c:pt idx="208">
                  <c:v>0.76538500849184721</c:v>
                </c:pt>
                <c:pt idx="209">
                  <c:v>0.76444742908048025</c:v>
                </c:pt>
                <c:pt idx="210">
                  <c:v>0.76399317771414843</c:v>
                </c:pt>
                <c:pt idx="211">
                  <c:v>0.7619075894132985</c:v>
                </c:pt>
                <c:pt idx="212">
                  <c:v>0.76340885308963724</c:v>
                </c:pt>
                <c:pt idx="213">
                  <c:v>0.76475718915713298</c:v>
                </c:pt>
                <c:pt idx="214">
                  <c:v>0.76282061877248086</c:v>
                </c:pt>
                <c:pt idx="215">
                  <c:v>0.76271813004483158</c:v>
                </c:pt>
                <c:pt idx="216">
                  <c:v>0.75833336383609917</c:v>
                </c:pt>
                <c:pt idx="217">
                  <c:v>0.75574089060327865</c:v>
                </c:pt>
                <c:pt idx="218">
                  <c:v>0.76009851341275625</c:v>
                </c:pt>
                <c:pt idx="219">
                  <c:v>0.75583257070646903</c:v>
                </c:pt>
                <c:pt idx="220">
                  <c:v>0.75522838669094572</c:v>
                </c:pt>
                <c:pt idx="221">
                  <c:v>0.74504803348101567</c:v>
                </c:pt>
                <c:pt idx="222">
                  <c:v>0.74562088992387299</c:v>
                </c:pt>
                <c:pt idx="223">
                  <c:v>0.74531733389105792</c:v>
                </c:pt>
                <c:pt idx="224">
                  <c:v>0.74372783154944722</c:v>
                </c:pt>
                <c:pt idx="225">
                  <c:v>0.75449977978779359</c:v>
                </c:pt>
                <c:pt idx="226">
                  <c:v>0.75169581617467063</c:v>
                </c:pt>
                <c:pt idx="227">
                  <c:v>0.75217714114550405</c:v>
                </c:pt>
                <c:pt idx="228">
                  <c:v>0.75375488692399928</c:v>
                </c:pt>
                <c:pt idx="229">
                  <c:v>0.75777774262084807</c:v>
                </c:pt>
                <c:pt idx="230">
                  <c:v>0.76753330070695491</c:v>
                </c:pt>
                <c:pt idx="231">
                  <c:v>0.76221119738682241</c:v>
                </c:pt>
                <c:pt idx="232">
                  <c:v>0.75639961779356168</c:v>
                </c:pt>
                <c:pt idx="233">
                  <c:v>0.75186083762175282</c:v>
                </c:pt>
                <c:pt idx="234">
                  <c:v>0.74932053741871996</c:v>
                </c:pt>
                <c:pt idx="235">
                  <c:v>0.75097482761607293</c:v>
                </c:pt>
                <c:pt idx="236">
                  <c:v>0.75468080139188554</c:v>
                </c:pt>
                <c:pt idx="237">
                  <c:v>0.75727589747084645</c:v>
                </c:pt>
                <c:pt idx="238">
                  <c:v>0.75865164830555432</c:v>
                </c:pt>
                <c:pt idx="239">
                  <c:v>0.75700917647636046</c:v>
                </c:pt>
                <c:pt idx="240">
                  <c:v>0.74816882337006174</c:v>
                </c:pt>
                <c:pt idx="241">
                  <c:v>0.75288269437645028</c:v>
                </c:pt>
                <c:pt idx="242">
                  <c:v>0.74663148424324877</c:v>
                </c:pt>
                <c:pt idx="243">
                  <c:v>0.74578625014753275</c:v>
                </c:pt>
                <c:pt idx="244">
                  <c:v>0.75711352555868461</c:v>
                </c:pt>
                <c:pt idx="245">
                  <c:v>0.75295590854615602</c:v>
                </c:pt>
                <c:pt idx="246">
                  <c:v>0.75211883871255347</c:v>
                </c:pt>
                <c:pt idx="247">
                  <c:v>0.76129745840104168</c:v>
                </c:pt>
                <c:pt idx="248">
                  <c:v>0.76112428872784776</c:v>
                </c:pt>
                <c:pt idx="249">
                  <c:v>0.75998423418528571</c:v>
                </c:pt>
                <c:pt idx="250">
                  <c:v>0.76050165924156077</c:v>
                </c:pt>
                <c:pt idx="251">
                  <c:v>0.76068098464664058</c:v>
                </c:pt>
                <c:pt idx="252">
                  <c:v>0.75821355629198817</c:v>
                </c:pt>
                <c:pt idx="253">
                  <c:v>0.75960967953098013</c:v>
                </c:pt>
                <c:pt idx="254">
                  <c:v>0.76048774358075388</c:v>
                </c:pt>
                <c:pt idx="255">
                  <c:v>0.7642486702866933</c:v>
                </c:pt>
                <c:pt idx="256">
                  <c:v>0.76578824024520764</c:v>
                </c:pt>
                <c:pt idx="257">
                  <c:v>0.76951907259679209</c:v>
                </c:pt>
                <c:pt idx="258">
                  <c:v>0.76795876384008221</c:v>
                </c:pt>
                <c:pt idx="259">
                  <c:v>0.77061226680120909</c:v>
                </c:pt>
                <c:pt idx="260">
                  <c:v>0.77056514679470167</c:v>
                </c:pt>
                <c:pt idx="261">
                  <c:v>0.76458829159611386</c:v>
                </c:pt>
                <c:pt idx="262">
                  <c:v>0.76755968127791629</c:v>
                </c:pt>
                <c:pt idx="263">
                  <c:v>0.76944486951085311</c:v>
                </c:pt>
                <c:pt idx="264">
                  <c:v>0.76650471993419211</c:v>
                </c:pt>
                <c:pt idx="265">
                  <c:v>0.75930620718514841</c:v>
                </c:pt>
                <c:pt idx="266">
                  <c:v>0.76687799934106016</c:v>
                </c:pt>
                <c:pt idx="267">
                  <c:v>0.75821342870591568</c:v>
                </c:pt>
                <c:pt idx="268">
                  <c:v>0.76693333028369981</c:v>
                </c:pt>
                <c:pt idx="269">
                  <c:v>0.76763656324785057</c:v>
                </c:pt>
                <c:pt idx="270">
                  <c:v>0.76587742336719633</c:v>
                </c:pt>
                <c:pt idx="271">
                  <c:v>0.76861209327916913</c:v>
                </c:pt>
                <c:pt idx="272">
                  <c:v>0.77138722907354251</c:v>
                </c:pt>
                <c:pt idx="273">
                  <c:v>0.76488146631484932</c:v>
                </c:pt>
                <c:pt idx="274">
                  <c:v>0.7700941108188093</c:v>
                </c:pt>
                <c:pt idx="275">
                  <c:v>0.76781832934105432</c:v>
                </c:pt>
                <c:pt idx="276">
                  <c:v>0.76650889076759421</c:v>
                </c:pt>
                <c:pt idx="277">
                  <c:v>0.76661692727342357</c:v>
                </c:pt>
                <c:pt idx="278">
                  <c:v>0.76652071742711803</c:v>
                </c:pt>
                <c:pt idx="279">
                  <c:v>0.76777720126996452</c:v>
                </c:pt>
                <c:pt idx="280">
                  <c:v>0.75619307147947279</c:v>
                </c:pt>
                <c:pt idx="281">
                  <c:v>0.75820260086329161</c:v>
                </c:pt>
                <c:pt idx="282">
                  <c:v>0.75856857466514838</c:v>
                </c:pt>
                <c:pt idx="283">
                  <c:v>0.75251338783195532</c:v>
                </c:pt>
                <c:pt idx="284">
                  <c:v>0.75586586162336777</c:v>
                </c:pt>
                <c:pt idx="285">
                  <c:v>0.75250941623505496</c:v>
                </c:pt>
                <c:pt idx="286">
                  <c:v>0.75966449511674417</c:v>
                </c:pt>
                <c:pt idx="287">
                  <c:v>0.75808011622234783</c:v>
                </c:pt>
                <c:pt idx="288">
                  <c:v>0.7611043202010318</c:v>
                </c:pt>
                <c:pt idx="289">
                  <c:v>0.76782831333060764</c:v>
                </c:pt>
                <c:pt idx="290">
                  <c:v>0.76484692249689068</c:v>
                </c:pt>
                <c:pt idx="291">
                  <c:v>0.76275864751159217</c:v>
                </c:pt>
                <c:pt idx="292">
                  <c:v>0.76140940540716739</c:v>
                </c:pt>
                <c:pt idx="293">
                  <c:v>0.76861872363319272</c:v>
                </c:pt>
                <c:pt idx="294">
                  <c:v>0.77162188343657223</c:v>
                </c:pt>
                <c:pt idx="295">
                  <c:v>0.7651780525867572</c:v>
                </c:pt>
                <c:pt idx="296">
                  <c:v>0.76636296318386266</c:v>
                </c:pt>
                <c:pt idx="297">
                  <c:v>0.76130012640163358</c:v>
                </c:pt>
                <c:pt idx="298">
                  <c:v>0.76288407397276492</c:v>
                </c:pt>
                <c:pt idx="299">
                  <c:v>0.76555891462135284</c:v>
                </c:pt>
                <c:pt idx="300">
                  <c:v>0.75876617348366371</c:v>
                </c:pt>
                <c:pt idx="301">
                  <c:v>0.75798280711815225</c:v>
                </c:pt>
                <c:pt idx="302">
                  <c:v>0.75178209098025539</c:v>
                </c:pt>
                <c:pt idx="303">
                  <c:v>0.74870050296614821</c:v>
                </c:pt>
                <c:pt idx="304">
                  <c:v>0.75261411988787152</c:v>
                </c:pt>
                <c:pt idx="305">
                  <c:v>0.75195910862249782</c:v>
                </c:pt>
                <c:pt idx="306">
                  <c:v>0.75263539371833676</c:v>
                </c:pt>
                <c:pt idx="307">
                  <c:v>0.74786043469079078</c:v>
                </c:pt>
                <c:pt idx="308">
                  <c:v>0.74915979554395107</c:v>
                </c:pt>
                <c:pt idx="309">
                  <c:v>0.75175012992423806</c:v>
                </c:pt>
                <c:pt idx="310">
                  <c:v>0.75745363809439969</c:v>
                </c:pt>
                <c:pt idx="311">
                  <c:v>0.75299981774952585</c:v>
                </c:pt>
                <c:pt idx="312">
                  <c:v>0.74927951445210383</c:v>
                </c:pt>
                <c:pt idx="313">
                  <c:v>0.74834255738230904</c:v>
                </c:pt>
                <c:pt idx="314">
                  <c:v>0.73826096131789265</c:v>
                </c:pt>
                <c:pt idx="315">
                  <c:v>0.73935065730858618</c:v>
                </c:pt>
                <c:pt idx="316">
                  <c:v>0.73419263050866324</c:v>
                </c:pt>
                <c:pt idx="317">
                  <c:v>0.73511743304459964</c:v>
                </c:pt>
                <c:pt idx="318">
                  <c:v>0.73203906585428313</c:v>
                </c:pt>
                <c:pt idx="319">
                  <c:v>0.73620765071051408</c:v>
                </c:pt>
                <c:pt idx="320">
                  <c:v>0.73749641325418569</c:v>
                </c:pt>
                <c:pt idx="321">
                  <c:v>0.73874653001520696</c:v>
                </c:pt>
                <c:pt idx="322">
                  <c:v>0.74865626475661329</c:v>
                </c:pt>
                <c:pt idx="323">
                  <c:v>0.73578014075296938</c:v>
                </c:pt>
                <c:pt idx="324">
                  <c:v>0.73295328465583287</c:v>
                </c:pt>
                <c:pt idx="325">
                  <c:v>0.73653183619571849</c:v>
                </c:pt>
                <c:pt idx="326">
                  <c:v>0.76328284131877444</c:v>
                </c:pt>
                <c:pt idx="327">
                  <c:v>0.76663325502665636</c:v>
                </c:pt>
                <c:pt idx="328">
                  <c:v>0.77101545124925897</c:v>
                </c:pt>
                <c:pt idx="329">
                  <c:v>0.77936907542674461</c:v>
                </c:pt>
                <c:pt idx="330">
                  <c:v>0.77651037855346094</c:v>
                </c:pt>
                <c:pt idx="331">
                  <c:v>0.77528450923071701</c:v>
                </c:pt>
                <c:pt idx="332">
                  <c:v>0.77240311452661103</c:v>
                </c:pt>
                <c:pt idx="333">
                  <c:v>0.77128961651149408</c:v>
                </c:pt>
                <c:pt idx="334">
                  <c:v>0.77537126015189106</c:v>
                </c:pt>
                <c:pt idx="335">
                  <c:v>0.77233100471390315</c:v>
                </c:pt>
                <c:pt idx="336">
                  <c:v>0.76869355113527571</c:v>
                </c:pt>
                <c:pt idx="337">
                  <c:v>0.77121345368464822</c:v>
                </c:pt>
                <c:pt idx="338">
                  <c:v>0.76547593772637146</c:v>
                </c:pt>
                <c:pt idx="339">
                  <c:v>0.76486004192495705</c:v>
                </c:pt>
                <c:pt idx="340">
                  <c:v>0.76020544730909556</c:v>
                </c:pt>
                <c:pt idx="341">
                  <c:v>0.76176709096692663</c:v>
                </c:pt>
                <c:pt idx="342">
                  <c:v>0.76281693174928877</c:v>
                </c:pt>
                <c:pt idx="343">
                  <c:v>0.76652481284438112</c:v>
                </c:pt>
                <c:pt idx="344">
                  <c:v>0.76729843934364483</c:v>
                </c:pt>
                <c:pt idx="345">
                  <c:v>0.76738402564581165</c:v>
                </c:pt>
                <c:pt idx="346">
                  <c:v>0.76911432908266208</c:v>
                </c:pt>
                <c:pt idx="347">
                  <c:v>0.76859679018334592</c:v>
                </c:pt>
                <c:pt idx="348">
                  <c:v>0.76525823054384767</c:v>
                </c:pt>
                <c:pt idx="349">
                  <c:v>0.76063640976487634</c:v>
                </c:pt>
                <c:pt idx="350">
                  <c:v>0.76295035062839867</c:v>
                </c:pt>
                <c:pt idx="351">
                  <c:v>0.76531479003474367</c:v>
                </c:pt>
                <c:pt idx="352">
                  <c:v>0.76211098146586342</c:v>
                </c:pt>
                <c:pt idx="353">
                  <c:v>0.76194419207355657</c:v>
                </c:pt>
                <c:pt idx="354">
                  <c:v>0.75834907836331811</c:v>
                </c:pt>
                <c:pt idx="355">
                  <c:v>0.76146158819440157</c:v>
                </c:pt>
                <c:pt idx="356">
                  <c:v>0.76071480537710223</c:v>
                </c:pt>
                <c:pt idx="357">
                  <c:v>0.76644152220795569</c:v>
                </c:pt>
                <c:pt idx="358">
                  <c:v>0.77097651881152029</c:v>
                </c:pt>
                <c:pt idx="359">
                  <c:v>0.77917672488522827</c:v>
                </c:pt>
                <c:pt idx="360">
                  <c:v>0.77304205495042555</c:v>
                </c:pt>
                <c:pt idx="361">
                  <c:v>0.77881449716165496</c:v>
                </c:pt>
                <c:pt idx="362">
                  <c:v>0.77429869523946193</c:v>
                </c:pt>
                <c:pt idx="363">
                  <c:v>0.7736743638621697</c:v>
                </c:pt>
                <c:pt idx="364">
                  <c:v>0.77534643594278663</c:v>
                </c:pt>
                <c:pt idx="365">
                  <c:v>0.77408259345307995</c:v>
                </c:pt>
                <c:pt idx="366">
                  <c:v>0.76999659254583952</c:v>
                </c:pt>
                <c:pt idx="367">
                  <c:v>0.77192371130572335</c:v>
                </c:pt>
                <c:pt idx="368">
                  <c:v>0.76375721781956307</c:v>
                </c:pt>
                <c:pt idx="369">
                  <c:v>0.76982389957438135</c:v>
                </c:pt>
                <c:pt idx="370">
                  <c:v>0.76840486674466879</c:v>
                </c:pt>
                <c:pt idx="371">
                  <c:v>0.77068001533635377</c:v>
                </c:pt>
                <c:pt idx="372">
                  <c:v>0.76889256496819858</c:v>
                </c:pt>
                <c:pt idx="373">
                  <c:v>0.77278908685458358</c:v>
                </c:pt>
                <c:pt idx="374">
                  <c:v>0.77546359253802088</c:v>
                </c:pt>
                <c:pt idx="375">
                  <c:v>0.77657894888480161</c:v>
                </c:pt>
                <c:pt idx="376">
                  <c:v>0.77202072324817406</c:v>
                </c:pt>
                <c:pt idx="377">
                  <c:v>0.77194958026668847</c:v>
                </c:pt>
                <c:pt idx="378">
                  <c:v>0.77230021925938575</c:v>
                </c:pt>
                <c:pt idx="379">
                  <c:v>0.77499078180981751</c:v>
                </c:pt>
                <c:pt idx="380">
                  <c:v>0.77684469713169824</c:v>
                </c:pt>
                <c:pt idx="381">
                  <c:v>0.78013426617217807</c:v>
                </c:pt>
                <c:pt idx="382">
                  <c:v>0.78044121252291254</c:v>
                </c:pt>
                <c:pt idx="383">
                  <c:v>0.78660611134654268</c:v>
                </c:pt>
                <c:pt idx="384">
                  <c:v>0.79307387055212963</c:v>
                </c:pt>
                <c:pt idx="385">
                  <c:v>0.7894240844785172</c:v>
                </c:pt>
                <c:pt idx="386">
                  <c:v>0.79233678043578681</c:v>
                </c:pt>
                <c:pt idx="387">
                  <c:v>0.78646781248410014</c:v>
                </c:pt>
                <c:pt idx="388">
                  <c:v>0.7810947872143692</c:v>
                </c:pt>
                <c:pt idx="389">
                  <c:v>0.78232120289359053</c:v>
                </c:pt>
                <c:pt idx="390">
                  <c:v>0.77905642989505464</c:v>
                </c:pt>
                <c:pt idx="391">
                  <c:v>0.77917212720036821</c:v>
                </c:pt>
                <c:pt idx="392">
                  <c:v>0.77509958057580519</c:v>
                </c:pt>
                <c:pt idx="393">
                  <c:v>0.76949110903772233</c:v>
                </c:pt>
                <c:pt idx="394">
                  <c:v>0.76666751685145129</c:v>
                </c:pt>
                <c:pt idx="395">
                  <c:v>0.76496219528092912</c:v>
                </c:pt>
                <c:pt idx="396">
                  <c:v>0.76077119537876403</c:v>
                </c:pt>
                <c:pt idx="397">
                  <c:v>0.76145561813476959</c:v>
                </c:pt>
                <c:pt idx="398">
                  <c:v>0.76413607322600674</c:v>
                </c:pt>
                <c:pt idx="399">
                  <c:v>0.76305293749742042</c:v>
                </c:pt>
                <c:pt idx="400">
                  <c:v>0.76408983233443828</c:v>
                </c:pt>
                <c:pt idx="401">
                  <c:v>0.76872369292766718</c:v>
                </c:pt>
                <c:pt idx="402">
                  <c:v>0.76787199834376396</c:v>
                </c:pt>
                <c:pt idx="403">
                  <c:v>0.77195543968638924</c:v>
                </c:pt>
                <c:pt idx="404">
                  <c:v>0.77285674551563699</c:v>
                </c:pt>
                <c:pt idx="405">
                  <c:v>0.77349124245064727</c:v>
                </c:pt>
                <c:pt idx="406">
                  <c:v>0.77556946425894946</c:v>
                </c:pt>
                <c:pt idx="407">
                  <c:v>0.77431148310325226</c:v>
                </c:pt>
                <c:pt idx="408">
                  <c:v>0.7710621849830781</c:v>
                </c:pt>
                <c:pt idx="409">
                  <c:v>0.76690137219227283</c:v>
                </c:pt>
                <c:pt idx="410">
                  <c:v>0.77240976746045797</c:v>
                </c:pt>
                <c:pt idx="411">
                  <c:v>0.76797538856380421</c:v>
                </c:pt>
                <c:pt idx="412">
                  <c:v>0.76991566517105159</c:v>
                </c:pt>
                <c:pt idx="413">
                  <c:v>0.76353826085347554</c:v>
                </c:pt>
                <c:pt idx="414">
                  <c:v>0.76073642308978306</c:v>
                </c:pt>
                <c:pt idx="415">
                  <c:v>0.75763930557006987</c:v>
                </c:pt>
                <c:pt idx="416">
                  <c:v>0.75624437822845081</c:v>
                </c:pt>
                <c:pt idx="417">
                  <c:v>0.75217580313225219</c:v>
                </c:pt>
                <c:pt idx="418">
                  <c:v>0.75416883771406784</c:v>
                </c:pt>
                <c:pt idx="419">
                  <c:v>0.74847602208670128</c:v>
                </c:pt>
                <c:pt idx="420">
                  <c:v>0.75911694362573212</c:v>
                </c:pt>
                <c:pt idx="421">
                  <c:v>0.75182562480456705</c:v>
                </c:pt>
                <c:pt idx="422">
                  <c:v>0.7519705507755432</c:v>
                </c:pt>
                <c:pt idx="423">
                  <c:v>0.74615400693180978</c:v>
                </c:pt>
                <c:pt idx="424">
                  <c:v>0.74939222492944002</c:v>
                </c:pt>
                <c:pt idx="425">
                  <c:v>0.75312855600163264</c:v>
                </c:pt>
                <c:pt idx="426">
                  <c:v>0.7546848252026741</c:v>
                </c:pt>
                <c:pt idx="427">
                  <c:v>0.74872165196467677</c:v>
                </c:pt>
                <c:pt idx="428">
                  <c:v>0.74827805506400824</c:v>
                </c:pt>
                <c:pt idx="429">
                  <c:v>0.74942100343601781</c:v>
                </c:pt>
                <c:pt idx="430">
                  <c:v>0.74866315505887704</c:v>
                </c:pt>
                <c:pt idx="431">
                  <c:v>0.74920416270001922</c:v>
                </c:pt>
                <c:pt idx="432">
                  <c:v>0.75318349458247291</c:v>
                </c:pt>
                <c:pt idx="433">
                  <c:v>0.75163768557441835</c:v>
                </c:pt>
                <c:pt idx="434">
                  <c:v>0.74431610156272443</c:v>
                </c:pt>
                <c:pt idx="435">
                  <c:v>0.74812741545980044</c:v>
                </c:pt>
                <c:pt idx="436">
                  <c:v>0.74527186807301549</c:v>
                </c:pt>
                <c:pt idx="437">
                  <c:v>0.7448536426777792</c:v>
                </c:pt>
                <c:pt idx="438">
                  <c:v>0.75228817915632962</c:v>
                </c:pt>
                <c:pt idx="439">
                  <c:v>0.75785684807402498</c:v>
                </c:pt>
                <c:pt idx="440">
                  <c:v>0.7584718625783442</c:v>
                </c:pt>
                <c:pt idx="441">
                  <c:v>0.75601137527883078</c:v>
                </c:pt>
                <c:pt idx="442">
                  <c:v>0.7539228577118271</c:v>
                </c:pt>
                <c:pt idx="443">
                  <c:v>0.75206796070087634</c:v>
                </c:pt>
                <c:pt idx="444">
                  <c:v>0.75688859812938103</c:v>
                </c:pt>
                <c:pt idx="445">
                  <c:v>0.75975914210430506</c:v>
                </c:pt>
                <c:pt idx="446">
                  <c:v>0.76187800520235549</c:v>
                </c:pt>
                <c:pt idx="447">
                  <c:v>0.76297020696165507</c:v>
                </c:pt>
                <c:pt idx="448">
                  <c:v>0.75979168068967007</c:v>
                </c:pt>
                <c:pt idx="449">
                  <c:v>0.75643739254987385</c:v>
                </c:pt>
                <c:pt idx="450">
                  <c:v>0.7524160009665033</c:v>
                </c:pt>
                <c:pt idx="451">
                  <c:v>0.75743291641924804</c:v>
                </c:pt>
                <c:pt idx="452">
                  <c:v>0.75782012474246008</c:v>
                </c:pt>
                <c:pt idx="453">
                  <c:v>0.7532978631229521</c:v>
                </c:pt>
                <c:pt idx="454">
                  <c:v>0.74295991089769742</c:v>
                </c:pt>
                <c:pt idx="455">
                  <c:v>0.74441776192281139</c:v>
                </c:pt>
                <c:pt idx="456">
                  <c:v>0.73867745651508776</c:v>
                </c:pt>
                <c:pt idx="457">
                  <c:v>0.74351945772319539</c:v>
                </c:pt>
                <c:pt idx="458">
                  <c:v>0.74498255161277549</c:v>
                </c:pt>
                <c:pt idx="459">
                  <c:v>0.74527875953505007</c:v>
                </c:pt>
                <c:pt idx="460">
                  <c:v>0.74691355975318152</c:v>
                </c:pt>
                <c:pt idx="461">
                  <c:v>0.75027666297351803</c:v>
                </c:pt>
                <c:pt idx="462">
                  <c:v>0.75561110823243949</c:v>
                </c:pt>
                <c:pt idx="463">
                  <c:v>0.74921661118607452</c:v>
                </c:pt>
                <c:pt idx="464">
                  <c:v>0.73699463538317489</c:v>
                </c:pt>
                <c:pt idx="465">
                  <c:v>0.7345478559333074</c:v>
                </c:pt>
                <c:pt idx="466">
                  <c:v>0.7352997784182369</c:v>
                </c:pt>
                <c:pt idx="467">
                  <c:v>0.72874000853100596</c:v>
                </c:pt>
                <c:pt idx="468">
                  <c:v>0.73602735723325341</c:v>
                </c:pt>
                <c:pt idx="469">
                  <c:v>0.73256701477199493</c:v>
                </c:pt>
                <c:pt idx="470">
                  <c:v>0.73285655450756226</c:v>
                </c:pt>
                <c:pt idx="471">
                  <c:v>0.73380357819012842</c:v>
                </c:pt>
                <c:pt idx="472">
                  <c:v>0.73593078521865896</c:v>
                </c:pt>
                <c:pt idx="473">
                  <c:v>0.73278908880099192</c:v>
                </c:pt>
                <c:pt idx="474">
                  <c:v>0.72799440576567531</c:v>
                </c:pt>
                <c:pt idx="475">
                  <c:v>0.72594236738153706</c:v>
                </c:pt>
                <c:pt idx="476">
                  <c:v>0.72453229536177377</c:v>
                </c:pt>
                <c:pt idx="477">
                  <c:v>0.72781093780353423</c:v>
                </c:pt>
                <c:pt idx="478">
                  <c:v>0.7266468093204117</c:v>
                </c:pt>
                <c:pt idx="479">
                  <c:v>0.72701131725397972</c:v>
                </c:pt>
                <c:pt idx="480">
                  <c:v>0.72508136984975513</c:v>
                </c:pt>
                <c:pt idx="481">
                  <c:v>0.72124778943393753</c:v>
                </c:pt>
                <c:pt idx="482">
                  <c:v>0.71618123765810271</c:v>
                </c:pt>
                <c:pt idx="483">
                  <c:v>0.71296306288254563</c:v>
                </c:pt>
                <c:pt idx="484">
                  <c:v>0.70671346861428352</c:v>
                </c:pt>
                <c:pt idx="485">
                  <c:v>0.71550893678616245</c:v>
                </c:pt>
                <c:pt idx="486">
                  <c:v>0.71159443836358061</c:v>
                </c:pt>
                <c:pt idx="487">
                  <c:v>0.70474408560821278</c:v>
                </c:pt>
                <c:pt idx="488">
                  <c:v>0.69392035425280629</c:v>
                </c:pt>
                <c:pt idx="489">
                  <c:v>0.68314182804752854</c:v>
                </c:pt>
                <c:pt idx="490">
                  <c:v>0.68656494802386825</c:v>
                </c:pt>
                <c:pt idx="491">
                  <c:v>0.67827018743987666</c:v>
                </c:pt>
                <c:pt idx="492">
                  <c:v>0.68522364405245939</c:v>
                </c:pt>
                <c:pt idx="493">
                  <c:v>0.6800118693298971</c:v>
                </c:pt>
                <c:pt idx="494">
                  <c:v>0.68310373010045611</c:v>
                </c:pt>
                <c:pt idx="495">
                  <c:v>0.69212851994977242</c:v>
                </c:pt>
                <c:pt idx="496">
                  <c:v>0.6889805996108852</c:v>
                </c:pt>
                <c:pt idx="497">
                  <c:v>0.68770573611494412</c:v>
                </c:pt>
                <c:pt idx="498">
                  <c:v>0.68808681617568879</c:v>
                </c:pt>
                <c:pt idx="499">
                  <c:v>0.69054906596502574</c:v>
                </c:pt>
                <c:pt idx="500">
                  <c:v>0.69491214463910844</c:v>
                </c:pt>
                <c:pt idx="501">
                  <c:v>0.69475685044214164</c:v>
                </c:pt>
                <c:pt idx="502">
                  <c:v>0.70518817422664259</c:v>
                </c:pt>
                <c:pt idx="503">
                  <c:v>0.7113578344751057</c:v>
                </c:pt>
                <c:pt idx="504">
                  <c:v>0.70920600711482717</c:v>
                </c:pt>
                <c:pt idx="505">
                  <c:v>0.70838185738669079</c:v>
                </c:pt>
                <c:pt idx="506">
                  <c:v>0.70756792352182085</c:v>
                </c:pt>
                <c:pt idx="507">
                  <c:v>0.71055331260504651</c:v>
                </c:pt>
                <c:pt idx="508">
                  <c:v>0.70735999247831849</c:v>
                </c:pt>
                <c:pt idx="509">
                  <c:v>0.70921505427027975</c:v>
                </c:pt>
                <c:pt idx="510">
                  <c:v>0.71479572033121563</c:v>
                </c:pt>
                <c:pt idx="511">
                  <c:v>0.71906092350533068</c:v>
                </c:pt>
                <c:pt idx="512">
                  <c:v>0.71312262551065786</c:v>
                </c:pt>
                <c:pt idx="513">
                  <c:v>0.71792368401666751</c:v>
                </c:pt>
                <c:pt idx="514">
                  <c:v>0.71612756990920667</c:v>
                </c:pt>
                <c:pt idx="515">
                  <c:v>0.72094365680807804</c:v>
                </c:pt>
                <c:pt idx="516">
                  <c:v>0.71980712933418245</c:v>
                </c:pt>
                <c:pt idx="517">
                  <c:v>0.71793171130553013</c:v>
                </c:pt>
                <c:pt idx="518">
                  <c:v>0.71153924342196362</c:v>
                </c:pt>
                <c:pt idx="519">
                  <c:v>0.71327262794718871</c:v>
                </c:pt>
                <c:pt idx="520">
                  <c:v>0.71802829124358114</c:v>
                </c:pt>
                <c:pt idx="521">
                  <c:v>0.71907964986635919</c:v>
                </c:pt>
                <c:pt idx="522">
                  <c:v>0.71148440502734855</c:v>
                </c:pt>
                <c:pt idx="523">
                  <c:v>0.71402297169788809</c:v>
                </c:pt>
                <c:pt idx="524">
                  <c:v>0.72966688091503129</c:v>
                </c:pt>
                <c:pt idx="525">
                  <c:v>0.72990987673903862</c:v>
                </c:pt>
                <c:pt idx="526">
                  <c:v>0.73192801947752351</c:v>
                </c:pt>
                <c:pt idx="527">
                  <c:v>0.73867288379621254</c:v>
                </c:pt>
                <c:pt idx="528">
                  <c:v>0.74794993976408408</c:v>
                </c:pt>
                <c:pt idx="529">
                  <c:v>0.77104592916647141</c:v>
                </c:pt>
                <c:pt idx="530">
                  <c:v>0.76986450972734533</c:v>
                </c:pt>
                <c:pt idx="531">
                  <c:v>0.77034926392603786</c:v>
                </c:pt>
                <c:pt idx="532">
                  <c:v>0.77288706398820883</c:v>
                </c:pt>
                <c:pt idx="533">
                  <c:v>0.77238466744301415</c:v>
                </c:pt>
                <c:pt idx="534">
                  <c:v>0.76897563549930958</c:v>
                </c:pt>
                <c:pt idx="535">
                  <c:v>0.77072755283900318</c:v>
                </c:pt>
                <c:pt idx="536">
                  <c:v>0.7695990330581306</c:v>
                </c:pt>
                <c:pt idx="537">
                  <c:v>0.7706178955421531</c:v>
                </c:pt>
                <c:pt idx="538">
                  <c:v>0.77102837801952506</c:v>
                </c:pt>
                <c:pt idx="539">
                  <c:v>0.77011310487872908</c:v>
                </c:pt>
                <c:pt idx="540">
                  <c:v>0.77259335900012593</c:v>
                </c:pt>
                <c:pt idx="541">
                  <c:v>0.77224395805891377</c:v>
                </c:pt>
                <c:pt idx="542">
                  <c:v>0.77176657406317228</c:v>
                </c:pt>
                <c:pt idx="543">
                  <c:v>0.76788475464966921</c:v>
                </c:pt>
                <c:pt idx="544">
                  <c:v>0.76690757362562945</c:v>
                </c:pt>
                <c:pt idx="545">
                  <c:v>0.76634444673528279</c:v>
                </c:pt>
                <c:pt idx="546">
                  <c:v>0.76346912486346197</c:v>
                </c:pt>
                <c:pt idx="547">
                  <c:v>0.75579107579470506</c:v>
                </c:pt>
                <c:pt idx="548">
                  <c:v>0.75650086757347845</c:v>
                </c:pt>
                <c:pt idx="549">
                  <c:v>0.75479445956472424</c:v>
                </c:pt>
                <c:pt idx="550">
                  <c:v>0.75174812874405306</c:v>
                </c:pt>
                <c:pt idx="551">
                  <c:v>0.75564862285937784</c:v>
                </c:pt>
                <c:pt idx="552">
                  <c:v>0.75296791607983937</c:v>
                </c:pt>
                <c:pt idx="553">
                  <c:v>0.75923007867339631</c:v>
                </c:pt>
                <c:pt idx="554">
                  <c:v>0.76251976592126114</c:v>
                </c:pt>
                <c:pt idx="555">
                  <c:v>0.76059585701956478</c:v>
                </c:pt>
                <c:pt idx="556">
                  <c:v>0.76208584426551429</c:v>
                </c:pt>
                <c:pt idx="557">
                  <c:v>0.76319516269243859</c:v>
                </c:pt>
                <c:pt idx="558">
                  <c:v>0.7579136223741928</c:v>
                </c:pt>
                <c:pt idx="559">
                  <c:v>0.75653698238344014</c:v>
                </c:pt>
                <c:pt idx="560">
                  <c:v>0.75988018441334626</c:v>
                </c:pt>
                <c:pt idx="561">
                  <c:v>0.75588754588102081</c:v>
                </c:pt>
                <c:pt idx="562">
                  <c:v>0.75832323888916708</c:v>
                </c:pt>
                <c:pt idx="563">
                  <c:v>0.75599334984641475</c:v>
                </c:pt>
                <c:pt idx="564">
                  <c:v>0.7644853384230621</c:v>
                </c:pt>
                <c:pt idx="565">
                  <c:v>0.75755336253189265</c:v>
                </c:pt>
                <c:pt idx="566">
                  <c:v>0.76103885282903494</c:v>
                </c:pt>
                <c:pt idx="567">
                  <c:v>0.76241103370902208</c:v>
                </c:pt>
                <c:pt idx="568">
                  <c:v>0.75957205239752934</c:v>
                </c:pt>
                <c:pt idx="569">
                  <c:v>0.76612394932267769</c:v>
                </c:pt>
                <c:pt idx="570">
                  <c:v>0.77038443339483409</c:v>
                </c:pt>
                <c:pt idx="571">
                  <c:v>0.77383058409414496</c:v>
                </c:pt>
                <c:pt idx="572">
                  <c:v>0.77238523858088137</c:v>
                </c:pt>
                <c:pt idx="573">
                  <c:v>0.77642347881740392</c:v>
                </c:pt>
                <c:pt idx="574">
                  <c:v>0.77681460389462831</c:v>
                </c:pt>
                <c:pt idx="575">
                  <c:v>0.77947753787689755</c:v>
                </c:pt>
                <c:pt idx="576">
                  <c:v>0.77940960571588158</c:v>
                </c:pt>
                <c:pt idx="577">
                  <c:v>0.77512491703356379</c:v>
                </c:pt>
                <c:pt idx="578">
                  <c:v>0.77419144253323446</c:v>
                </c:pt>
                <c:pt idx="579">
                  <c:v>0.77054209689244313</c:v>
                </c:pt>
                <c:pt idx="580">
                  <c:v>0.77497629127411938</c:v>
                </c:pt>
                <c:pt idx="581">
                  <c:v>0.77396521890846892</c:v>
                </c:pt>
                <c:pt idx="582">
                  <c:v>0.78179003760375831</c:v>
                </c:pt>
                <c:pt idx="583">
                  <c:v>0.78943939590494117</c:v>
                </c:pt>
                <c:pt idx="584">
                  <c:v>0.79389491947329494</c:v>
                </c:pt>
                <c:pt idx="585">
                  <c:v>0.79018287149723876</c:v>
                </c:pt>
                <c:pt idx="586">
                  <c:v>0.7884792009915661</c:v>
                </c:pt>
                <c:pt idx="587">
                  <c:v>0.78892007769095118</c:v>
                </c:pt>
                <c:pt idx="588">
                  <c:v>0.7870224005326536</c:v>
                </c:pt>
                <c:pt idx="589">
                  <c:v>0.79057725239387666</c:v>
                </c:pt>
                <c:pt idx="590">
                  <c:v>0.79047575270864046</c:v>
                </c:pt>
                <c:pt idx="591">
                  <c:v>0.79078256166691974</c:v>
                </c:pt>
                <c:pt idx="592">
                  <c:v>0.78864648799086456</c:v>
                </c:pt>
                <c:pt idx="593">
                  <c:v>0.78464760795341126</c:v>
                </c:pt>
                <c:pt idx="594">
                  <c:v>0.78361357373701712</c:v>
                </c:pt>
                <c:pt idx="595">
                  <c:v>0.7842673907197597</c:v>
                </c:pt>
                <c:pt idx="596">
                  <c:v>0.78165558018784731</c:v>
                </c:pt>
                <c:pt idx="597">
                  <c:v>0.7793036491488714</c:v>
                </c:pt>
                <c:pt idx="598">
                  <c:v>0.77600526972435424</c:v>
                </c:pt>
                <c:pt idx="599">
                  <c:v>0.77966125754382753</c:v>
                </c:pt>
                <c:pt idx="600">
                  <c:v>0.78523727168009183</c:v>
                </c:pt>
                <c:pt idx="601">
                  <c:v>0.78498009060109797</c:v>
                </c:pt>
                <c:pt idx="602">
                  <c:v>0.78729512773375832</c:v>
                </c:pt>
                <c:pt idx="603">
                  <c:v>0.78754360107515986</c:v>
                </c:pt>
                <c:pt idx="604">
                  <c:v>0.78975290962392286</c:v>
                </c:pt>
                <c:pt idx="605">
                  <c:v>0.7905828675564609</c:v>
                </c:pt>
                <c:pt idx="606">
                  <c:v>0.78844474645457041</c:v>
                </c:pt>
                <c:pt idx="607">
                  <c:v>0.7882856498013977</c:v>
                </c:pt>
                <c:pt idx="608">
                  <c:v>0.78652357659174632</c:v>
                </c:pt>
                <c:pt idx="609">
                  <c:v>0.790792149921419</c:v>
                </c:pt>
                <c:pt idx="610">
                  <c:v>0.78702697835074975</c:v>
                </c:pt>
                <c:pt idx="611">
                  <c:v>0.78848228204577431</c:v>
                </c:pt>
                <c:pt idx="612">
                  <c:v>0.78744564343497103</c:v>
                </c:pt>
                <c:pt idx="613">
                  <c:v>0.78594336962551681</c:v>
                </c:pt>
                <c:pt idx="614">
                  <c:v>0.78713075823575629</c:v>
                </c:pt>
                <c:pt idx="615">
                  <c:v>0.78618613804278459</c:v>
                </c:pt>
                <c:pt idx="616">
                  <c:v>0.78616293830798711</c:v>
                </c:pt>
                <c:pt idx="617">
                  <c:v>0.78359244982030285</c:v>
                </c:pt>
                <c:pt idx="618">
                  <c:v>0.78060962825843383</c:v>
                </c:pt>
                <c:pt idx="619">
                  <c:v>0.78462824714827717</c:v>
                </c:pt>
                <c:pt idx="620">
                  <c:v>0.78366766461459436</c:v>
                </c:pt>
                <c:pt idx="621">
                  <c:v>0.78345759602069753</c:v>
                </c:pt>
                <c:pt idx="622">
                  <c:v>0.78181337210164958</c:v>
                </c:pt>
                <c:pt idx="623">
                  <c:v>0.78137842391766776</c:v>
                </c:pt>
                <c:pt idx="624">
                  <c:v>0.77982907556674208</c:v>
                </c:pt>
                <c:pt idx="625">
                  <c:v>0.77799745906736562</c:v>
                </c:pt>
                <c:pt idx="626">
                  <c:v>0.77378090583587633</c:v>
                </c:pt>
                <c:pt idx="627">
                  <c:v>0.77228307259475848</c:v>
                </c:pt>
                <c:pt idx="628">
                  <c:v>0.77502048770500687</c:v>
                </c:pt>
                <c:pt idx="629">
                  <c:v>0.78766602704843458</c:v>
                </c:pt>
                <c:pt idx="630">
                  <c:v>0.78560926438411427</c:v>
                </c:pt>
                <c:pt idx="631">
                  <c:v>0.78596583566893152</c:v>
                </c:pt>
                <c:pt idx="632">
                  <c:v>0.78489618238414549</c:v>
                </c:pt>
                <c:pt idx="633">
                  <c:v>0.78280473047320887</c:v>
                </c:pt>
                <c:pt idx="634">
                  <c:v>0.78272292343557881</c:v>
                </c:pt>
                <c:pt idx="635">
                  <c:v>0.78000792231993055</c:v>
                </c:pt>
                <c:pt idx="636">
                  <c:v>0.77522225480482643</c:v>
                </c:pt>
                <c:pt idx="637">
                  <c:v>0.77473482592855658</c:v>
                </c:pt>
                <c:pt idx="638">
                  <c:v>0.77635796915002786</c:v>
                </c:pt>
                <c:pt idx="639">
                  <c:v>0.770903661175385</c:v>
                </c:pt>
                <c:pt idx="640">
                  <c:v>0.77473650366736946</c:v>
                </c:pt>
                <c:pt idx="641">
                  <c:v>0.77256247387538446</c:v>
                </c:pt>
                <c:pt idx="642">
                  <c:v>0.77058182933521091</c:v>
                </c:pt>
                <c:pt idx="643">
                  <c:v>0.77215568232952392</c:v>
                </c:pt>
                <c:pt idx="644">
                  <c:v>0.77289932044812959</c:v>
                </c:pt>
                <c:pt idx="645">
                  <c:v>0.771812668634691</c:v>
                </c:pt>
                <c:pt idx="646">
                  <c:v>0.76817644590367229</c:v>
                </c:pt>
                <c:pt idx="647">
                  <c:v>0.76476388620622571</c:v>
                </c:pt>
                <c:pt idx="648">
                  <c:v>0.76189665825637476</c:v>
                </c:pt>
                <c:pt idx="649">
                  <c:v>0.7571854508708179</c:v>
                </c:pt>
                <c:pt idx="650">
                  <c:v>0.7599158648588199</c:v>
                </c:pt>
                <c:pt idx="651">
                  <c:v>0.76035443629417976</c:v>
                </c:pt>
                <c:pt idx="652">
                  <c:v>0.76466624327970012</c:v>
                </c:pt>
                <c:pt idx="653">
                  <c:v>0.76757484646520313</c:v>
                </c:pt>
                <c:pt idx="654">
                  <c:v>0.77231277703962586</c:v>
                </c:pt>
                <c:pt idx="655">
                  <c:v>0.76857736452775338</c:v>
                </c:pt>
                <c:pt idx="656">
                  <c:v>0.76952087933320878</c:v>
                </c:pt>
                <c:pt idx="657">
                  <c:v>0.76754154306934375</c:v>
                </c:pt>
                <c:pt idx="658">
                  <c:v>0.76273854809613717</c:v>
                </c:pt>
                <c:pt idx="659">
                  <c:v>0.75971695337427336</c:v>
                </c:pt>
                <c:pt idx="660">
                  <c:v>0.75621873461618128</c:v>
                </c:pt>
                <c:pt idx="661">
                  <c:v>0.76523701164736169</c:v>
                </c:pt>
                <c:pt idx="662">
                  <c:v>0.75622680789450603</c:v>
                </c:pt>
                <c:pt idx="663">
                  <c:v>0.75474531690328439</c:v>
                </c:pt>
                <c:pt idx="664">
                  <c:v>0.75760458694160659</c:v>
                </c:pt>
                <c:pt idx="665">
                  <c:v>0.76036743823215058</c:v>
                </c:pt>
                <c:pt idx="666">
                  <c:v>0.757849542721169</c:v>
                </c:pt>
                <c:pt idx="667">
                  <c:v>0.75488969133970052</c:v>
                </c:pt>
                <c:pt idx="668">
                  <c:v>0.75892836112649364</c:v>
                </c:pt>
                <c:pt idx="669">
                  <c:v>0.75118017174122342</c:v>
                </c:pt>
                <c:pt idx="670">
                  <c:v>0.74832978883844115</c:v>
                </c:pt>
                <c:pt idx="671">
                  <c:v>0.75075850038811343</c:v>
                </c:pt>
                <c:pt idx="672">
                  <c:v>0.75133831086919478</c:v>
                </c:pt>
                <c:pt idx="673">
                  <c:v>0.75052132817444517</c:v>
                </c:pt>
                <c:pt idx="674">
                  <c:v>0.7486929096629602</c:v>
                </c:pt>
                <c:pt idx="675">
                  <c:v>0.74478807804339997</c:v>
                </c:pt>
                <c:pt idx="676">
                  <c:v>0.74907625479555573</c:v>
                </c:pt>
                <c:pt idx="677">
                  <c:v>0.75320923975565968</c:v>
                </c:pt>
                <c:pt idx="678">
                  <c:v>0.75560700400212899</c:v>
                </c:pt>
                <c:pt idx="679">
                  <c:v>0.75399137862621823</c:v>
                </c:pt>
                <c:pt idx="680">
                  <c:v>0.75588182561082329</c:v>
                </c:pt>
                <c:pt idx="681">
                  <c:v>0.75880910546769464</c:v>
                </c:pt>
                <c:pt idx="682">
                  <c:v>0.75392333229416231</c:v>
                </c:pt>
                <c:pt idx="683">
                  <c:v>0.76294209771057464</c:v>
                </c:pt>
                <c:pt idx="684">
                  <c:v>0.75778144497398625</c:v>
                </c:pt>
                <c:pt idx="685">
                  <c:v>0.75842185270340234</c:v>
                </c:pt>
                <c:pt idx="686">
                  <c:v>0.76187260395038725</c:v>
                </c:pt>
                <c:pt idx="687">
                  <c:v>0.76152587063706978</c:v>
                </c:pt>
                <c:pt idx="688">
                  <c:v>0.76397357584317938</c:v>
                </c:pt>
                <c:pt idx="689">
                  <c:v>0.76695678243310628</c:v>
                </c:pt>
                <c:pt idx="690">
                  <c:v>0.76732395174208212</c:v>
                </c:pt>
                <c:pt idx="691">
                  <c:v>0.76072606323857306</c:v>
                </c:pt>
                <c:pt idx="692">
                  <c:v>0.76475300066202523</c:v>
                </c:pt>
                <c:pt idx="693">
                  <c:v>0.76533357442578254</c:v>
                </c:pt>
                <c:pt idx="694">
                  <c:v>0.76615185715873335</c:v>
                </c:pt>
                <c:pt idx="695">
                  <c:v>0.76299871934650088</c:v>
                </c:pt>
                <c:pt idx="696">
                  <c:v>0.76124528784754297</c:v>
                </c:pt>
                <c:pt idx="697">
                  <c:v>0.75435404838448383</c:v>
                </c:pt>
                <c:pt idx="698">
                  <c:v>0.75438848158092098</c:v>
                </c:pt>
                <c:pt idx="699">
                  <c:v>0.75297933846371157</c:v>
                </c:pt>
                <c:pt idx="700">
                  <c:v>0.75187212856388452</c:v>
                </c:pt>
                <c:pt idx="701">
                  <c:v>0.75652764632460467</c:v>
                </c:pt>
                <c:pt idx="702">
                  <c:v>0.75426752415174403</c:v>
                </c:pt>
                <c:pt idx="703">
                  <c:v>0.74746657495550561</c:v>
                </c:pt>
                <c:pt idx="704">
                  <c:v>0.74599094912061481</c:v>
                </c:pt>
                <c:pt idx="705">
                  <c:v>0.75118205405798266</c:v>
                </c:pt>
                <c:pt idx="706">
                  <c:v>0.7484345699764654</c:v>
                </c:pt>
                <c:pt idx="707">
                  <c:v>0.74708941343966684</c:v>
                </c:pt>
                <c:pt idx="708">
                  <c:v>0.74792222377450435</c:v>
                </c:pt>
                <c:pt idx="709">
                  <c:v>0.74463219810973358</c:v>
                </c:pt>
                <c:pt idx="710">
                  <c:v>0.74655100496378735</c:v>
                </c:pt>
                <c:pt idx="711">
                  <c:v>0.74769267106955051</c:v>
                </c:pt>
                <c:pt idx="712">
                  <c:v>0.75127361336000398</c:v>
                </c:pt>
                <c:pt idx="713">
                  <c:v>0.75339312549320203</c:v>
                </c:pt>
                <c:pt idx="714">
                  <c:v>0.74803794176614558</c:v>
                </c:pt>
                <c:pt idx="715">
                  <c:v>0.74090182478659794</c:v>
                </c:pt>
                <c:pt idx="716">
                  <c:v>0.73686460359416772</c:v>
                </c:pt>
                <c:pt idx="717">
                  <c:v>0.74578572179806213</c:v>
                </c:pt>
                <c:pt idx="718">
                  <c:v>0.74946049777336676</c:v>
                </c:pt>
                <c:pt idx="719">
                  <c:v>0.7466242105106049</c:v>
                </c:pt>
                <c:pt idx="720">
                  <c:v>0.74742569852802276</c:v>
                </c:pt>
                <c:pt idx="721">
                  <c:v>0.74563406918739417</c:v>
                </c:pt>
                <c:pt idx="722">
                  <c:v>0.75996524063049598</c:v>
                </c:pt>
                <c:pt idx="723">
                  <c:v>0.76459013146589783</c:v>
                </c:pt>
                <c:pt idx="724">
                  <c:v>0.76450337750939279</c:v>
                </c:pt>
                <c:pt idx="725">
                  <c:v>0.774509699658807</c:v>
                </c:pt>
                <c:pt idx="726">
                  <c:v>0.77073257882680102</c:v>
                </c:pt>
                <c:pt idx="727">
                  <c:v>0.77423703978063207</c:v>
                </c:pt>
                <c:pt idx="728">
                  <c:v>0.77694817910309844</c:v>
                </c:pt>
                <c:pt idx="729">
                  <c:v>0.78214726313714067</c:v>
                </c:pt>
                <c:pt idx="730">
                  <c:v>0.79429636218012933</c:v>
                </c:pt>
                <c:pt idx="731">
                  <c:v>0.78948412340923246</c:v>
                </c:pt>
                <c:pt idx="732">
                  <c:v>0.79223095796000198</c:v>
                </c:pt>
                <c:pt idx="733">
                  <c:v>0.78681853149184378</c:v>
                </c:pt>
                <c:pt idx="734">
                  <c:v>0.77691456456844021</c:v>
                </c:pt>
                <c:pt idx="735">
                  <c:v>0.77661464522682289</c:v>
                </c:pt>
                <c:pt idx="736">
                  <c:v>0.77607721767448956</c:v>
                </c:pt>
                <c:pt idx="737">
                  <c:v>0.77928625638428661</c:v>
                </c:pt>
                <c:pt idx="738">
                  <c:v>0.78190477753062537</c:v>
                </c:pt>
                <c:pt idx="739">
                  <c:v>0.77841093197869315</c:v>
                </c:pt>
                <c:pt idx="740">
                  <c:v>0.77967102964795254</c:v>
                </c:pt>
                <c:pt idx="741">
                  <c:v>0.77732418411037851</c:v>
                </c:pt>
                <c:pt idx="742">
                  <c:v>0.78212526766628243</c:v>
                </c:pt>
                <c:pt idx="743">
                  <c:v>0.78153958792527467</c:v>
                </c:pt>
                <c:pt idx="744">
                  <c:v>0.78155409533058595</c:v>
                </c:pt>
                <c:pt idx="745">
                  <c:v>0.78574261116642297</c:v>
                </c:pt>
                <c:pt idx="746">
                  <c:v>0.78440086240987472</c:v>
                </c:pt>
                <c:pt idx="747">
                  <c:v>0.78396458357880305</c:v>
                </c:pt>
                <c:pt idx="748">
                  <c:v>0.78286158150918483</c:v>
                </c:pt>
                <c:pt idx="749">
                  <c:v>0.78310725163781003</c:v>
                </c:pt>
                <c:pt idx="750">
                  <c:v>0.78230343400405833</c:v>
                </c:pt>
                <c:pt idx="751">
                  <c:v>0.78044578449162305</c:v>
                </c:pt>
                <c:pt idx="752">
                  <c:v>0.7794834279053261</c:v>
                </c:pt>
                <c:pt idx="753">
                  <c:v>0.78638215198397721</c:v>
                </c:pt>
                <c:pt idx="754">
                  <c:v>0.78435140521067814</c:v>
                </c:pt>
                <c:pt idx="755">
                  <c:v>0.78091267184036894</c:v>
                </c:pt>
                <c:pt idx="756">
                  <c:v>0.78546623665722448</c:v>
                </c:pt>
                <c:pt idx="757">
                  <c:v>0.78690703861003419</c:v>
                </c:pt>
                <c:pt idx="758">
                  <c:v>0.78476342205145388</c:v>
                </c:pt>
                <c:pt idx="759">
                  <c:v>0.78772123824690021</c:v>
                </c:pt>
                <c:pt idx="760">
                  <c:v>0.78513339755828082</c:v>
                </c:pt>
                <c:pt idx="761">
                  <c:v>0.79355284566892947</c:v>
                </c:pt>
                <c:pt idx="762">
                  <c:v>0.79199639507789676</c:v>
                </c:pt>
                <c:pt idx="763">
                  <c:v>0.78999346518274394</c:v>
                </c:pt>
                <c:pt idx="764">
                  <c:v>0.78386013541757416</c:v>
                </c:pt>
                <c:pt idx="765">
                  <c:v>0.78378088321452399</c:v>
                </c:pt>
                <c:pt idx="766">
                  <c:v>0.78716385831892732</c:v>
                </c:pt>
                <c:pt idx="767">
                  <c:v>0.78740315395045024</c:v>
                </c:pt>
                <c:pt idx="768">
                  <c:v>0.78329689572584638</c:v>
                </c:pt>
                <c:pt idx="769">
                  <c:v>0.78048973396331711</c:v>
                </c:pt>
                <c:pt idx="770">
                  <c:v>0.78369027526296209</c:v>
                </c:pt>
                <c:pt idx="771">
                  <c:v>0.78177546298964951</c:v>
                </c:pt>
                <c:pt idx="772">
                  <c:v>0.78548595691324119</c:v>
                </c:pt>
                <c:pt idx="773">
                  <c:v>0.78813100805796821</c:v>
                </c:pt>
                <c:pt idx="774">
                  <c:v>0.77891497967909462</c:v>
                </c:pt>
                <c:pt idx="775">
                  <c:v>0.77139711745567807</c:v>
                </c:pt>
                <c:pt idx="776">
                  <c:v>0.77372151431567671</c:v>
                </c:pt>
                <c:pt idx="777">
                  <c:v>0.77414187425695458</c:v>
                </c:pt>
                <c:pt idx="778">
                  <c:v>0.77408027253925604</c:v>
                </c:pt>
                <c:pt idx="779">
                  <c:v>0.77862636662956941</c:v>
                </c:pt>
                <c:pt idx="780">
                  <c:v>0.77982337654767764</c:v>
                </c:pt>
                <c:pt idx="781">
                  <c:v>0.78312607994551942</c:v>
                </c:pt>
                <c:pt idx="782">
                  <c:v>0.78959435961340962</c:v>
                </c:pt>
                <c:pt idx="783">
                  <c:v>0.78747959074044604</c:v>
                </c:pt>
                <c:pt idx="784">
                  <c:v>0.79152452619674574</c:v>
                </c:pt>
                <c:pt idx="785">
                  <c:v>0.78779993057368969</c:v>
                </c:pt>
                <c:pt idx="786">
                  <c:v>0.78919528855227994</c:v>
                </c:pt>
                <c:pt idx="787">
                  <c:v>0.79313959028658387</c:v>
                </c:pt>
                <c:pt idx="788">
                  <c:v>0.79672010299524998</c:v>
                </c:pt>
                <c:pt idx="789">
                  <c:v>0.79516515684362721</c:v>
                </c:pt>
                <c:pt idx="790">
                  <c:v>0.79900138770032281</c:v>
                </c:pt>
                <c:pt idx="791">
                  <c:v>0.7975764281707165</c:v>
                </c:pt>
                <c:pt idx="792">
                  <c:v>0.7954714900287807</c:v>
                </c:pt>
                <c:pt idx="793">
                  <c:v>0.79535789738709128</c:v>
                </c:pt>
                <c:pt idx="794">
                  <c:v>0.79543171094228138</c:v>
                </c:pt>
                <c:pt idx="795">
                  <c:v>0.79617432416451706</c:v>
                </c:pt>
                <c:pt idx="796">
                  <c:v>0.80117562604922299</c:v>
                </c:pt>
                <c:pt idx="797">
                  <c:v>0.79799373647728389</c:v>
                </c:pt>
                <c:pt idx="798">
                  <c:v>0.79759018080465638</c:v>
                </c:pt>
                <c:pt idx="799">
                  <c:v>0.79419447494492723</c:v>
                </c:pt>
                <c:pt idx="800">
                  <c:v>0.80308561249998145</c:v>
                </c:pt>
                <c:pt idx="801">
                  <c:v>0.79818354238980693</c:v>
                </c:pt>
                <c:pt idx="802">
                  <c:v>0.79888115942265758</c:v>
                </c:pt>
                <c:pt idx="803">
                  <c:v>0.80074146122248124</c:v>
                </c:pt>
                <c:pt idx="804">
                  <c:v>0.79858577964472188</c:v>
                </c:pt>
                <c:pt idx="805">
                  <c:v>0.79422802976037232</c:v>
                </c:pt>
                <c:pt idx="806">
                  <c:v>0.79438209029424234</c:v>
                </c:pt>
                <c:pt idx="807">
                  <c:v>0.79561584312800748</c:v>
                </c:pt>
                <c:pt idx="808">
                  <c:v>0.79125171004638095</c:v>
                </c:pt>
                <c:pt idx="809">
                  <c:v>0.78780004026668349</c:v>
                </c:pt>
                <c:pt idx="810">
                  <c:v>0.78033298395974149</c:v>
                </c:pt>
                <c:pt idx="811">
                  <c:v>0.78429451216353741</c:v>
                </c:pt>
                <c:pt idx="812">
                  <c:v>0.78121156367944544</c:v>
                </c:pt>
                <c:pt idx="813">
                  <c:v>0.79187568688845378</c:v>
                </c:pt>
                <c:pt idx="814">
                  <c:v>0.78760896636389044</c:v>
                </c:pt>
                <c:pt idx="815">
                  <c:v>0.78737241328009178</c:v>
                </c:pt>
                <c:pt idx="816">
                  <c:v>0.80277747709332625</c:v>
                </c:pt>
                <c:pt idx="817">
                  <c:v>0.81330879312880422</c:v>
                </c:pt>
                <c:pt idx="818">
                  <c:v>0.81507870838400431</c:v>
                </c:pt>
                <c:pt idx="819">
                  <c:v>0.81317090958744154</c:v>
                </c:pt>
                <c:pt idx="820">
                  <c:v>0.81129768071755082</c:v>
                </c:pt>
                <c:pt idx="821">
                  <c:v>0.80570922954837443</c:v>
                </c:pt>
                <c:pt idx="822">
                  <c:v>0.807536639986286</c:v>
                </c:pt>
                <c:pt idx="823">
                  <c:v>0.8043799570078668</c:v>
                </c:pt>
                <c:pt idx="824">
                  <c:v>0.79566863946074007</c:v>
                </c:pt>
                <c:pt idx="825">
                  <c:v>0.79663006337869269</c:v>
                </c:pt>
                <c:pt idx="826">
                  <c:v>0.79762770851113773</c:v>
                </c:pt>
                <c:pt idx="827">
                  <c:v>0.79245192705870371</c:v>
                </c:pt>
                <c:pt idx="828">
                  <c:v>0.79460773698935416</c:v>
                </c:pt>
                <c:pt idx="829">
                  <c:v>0.79452738557582026</c:v>
                </c:pt>
                <c:pt idx="830">
                  <c:v>0.79068917794492233</c:v>
                </c:pt>
                <c:pt idx="831">
                  <c:v>0.78253264150598278</c:v>
                </c:pt>
                <c:pt idx="832">
                  <c:v>0.79139679211240199</c:v>
                </c:pt>
                <c:pt idx="833">
                  <c:v>0.79220305208519792</c:v>
                </c:pt>
                <c:pt idx="834">
                  <c:v>0.78817618540863044</c:v>
                </c:pt>
                <c:pt idx="835">
                  <c:v>0.78551363957552311</c:v>
                </c:pt>
                <c:pt idx="836">
                  <c:v>0.78726220055634943</c:v>
                </c:pt>
                <c:pt idx="837">
                  <c:v>0.79418817912012407</c:v>
                </c:pt>
                <c:pt idx="838">
                  <c:v>0.80325168647869705</c:v>
                </c:pt>
                <c:pt idx="839">
                  <c:v>0.79401967996700751</c:v>
                </c:pt>
                <c:pt idx="840">
                  <c:v>0.80552961825170111</c:v>
                </c:pt>
                <c:pt idx="841">
                  <c:v>0.79956844502521673</c:v>
                </c:pt>
                <c:pt idx="842">
                  <c:v>0.80542751948825364</c:v>
                </c:pt>
                <c:pt idx="843">
                  <c:v>0.79874917572946647</c:v>
                </c:pt>
                <c:pt idx="844">
                  <c:v>0.79698698560259251</c:v>
                </c:pt>
                <c:pt idx="845">
                  <c:v>0.810702102170616</c:v>
                </c:pt>
                <c:pt idx="846">
                  <c:v>0.81023045593509091</c:v>
                </c:pt>
                <c:pt idx="847">
                  <c:v>0.8064128317119803</c:v>
                </c:pt>
                <c:pt idx="848">
                  <c:v>0.80571264998107783</c:v>
                </c:pt>
                <c:pt idx="849">
                  <c:v>0.80306813576508163</c:v>
                </c:pt>
                <c:pt idx="850">
                  <c:v>0.80271952534017221</c:v>
                </c:pt>
                <c:pt idx="851">
                  <c:v>0.80466497932051562</c:v>
                </c:pt>
                <c:pt idx="852">
                  <c:v>0.7860373486764396</c:v>
                </c:pt>
                <c:pt idx="853">
                  <c:v>0.79809566931894371</c:v>
                </c:pt>
                <c:pt idx="854">
                  <c:v>0.79786556260331698</c:v>
                </c:pt>
                <c:pt idx="855">
                  <c:v>0.79923369315909931</c:v>
                </c:pt>
                <c:pt idx="856">
                  <c:v>0.79932797927589916</c:v>
                </c:pt>
                <c:pt idx="857">
                  <c:v>0.80647353499516727</c:v>
                </c:pt>
                <c:pt idx="858">
                  <c:v>0.80573139027561513</c:v>
                </c:pt>
                <c:pt idx="859">
                  <c:v>0.80728308747460897</c:v>
                </c:pt>
                <c:pt idx="860">
                  <c:v>0.80621025729565754</c:v>
                </c:pt>
                <c:pt idx="861">
                  <c:v>0.80807152039130636</c:v>
                </c:pt>
                <c:pt idx="862">
                  <c:v>0.80115268929668682</c:v>
                </c:pt>
                <c:pt idx="863">
                  <c:v>0.80157779547539976</c:v>
                </c:pt>
                <c:pt idx="864">
                  <c:v>0.80429118974898905</c:v>
                </c:pt>
                <c:pt idx="865">
                  <c:v>0.80494974997125146</c:v>
                </c:pt>
                <c:pt idx="866">
                  <c:v>0.80478668607958148</c:v>
                </c:pt>
                <c:pt idx="867">
                  <c:v>0.80915910136000113</c:v>
                </c:pt>
                <c:pt idx="868">
                  <c:v>0.80620869379757876</c:v>
                </c:pt>
                <c:pt idx="869">
                  <c:v>0.80945222404720873</c:v>
                </c:pt>
                <c:pt idx="870">
                  <c:v>0.81142148137792991</c:v>
                </c:pt>
                <c:pt idx="871">
                  <c:v>0.81178482374934824</c:v>
                </c:pt>
                <c:pt idx="872">
                  <c:v>0.81288784205265463</c:v>
                </c:pt>
                <c:pt idx="873">
                  <c:v>0.81097324837757889</c:v>
                </c:pt>
                <c:pt idx="874">
                  <c:v>0.80969211200516567</c:v>
                </c:pt>
                <c:pt idx="875">
                  <c:v>0.80584060950273906</c:v>
                </c:pt>
                <c:pt idx="876">
                  <c:v>0.80210374755336067</c:v>
                </c:pt>
                <c:pt idx="877">
                  <c:v>0.80631831436569001</c:v>
                </c:pt>
                <c:pt idx="878">
                  <c:v>0.8207303189680849</c:v>
                </c:pt>
                <c:pt idx="879">
                  <c:v>0.82622915190041324</c:v>
                </c:pt>
                <c:pt idx="880">
                  <c:v>0.83256025054125649</c:v>
                </c:pt>
                <c:pt idx="881">
                  <c:v>0.83314288029470296</c:v>
                </c:pt>
                <c:pt idx="882">
                  <c:v>0.83576776074335535</c:v>
                </c:pt>
                <c:pt idx="883">
                  <c:v>0.83728542562424424</c:v>
                </c:pt>
                <c:pt idx="884">
                  <c:v>0.84035955773225202</c:v>
                </c:pt>
                <c:pt idx="885">
                  <c:v>0.84036010226902824</c:v>
                </c:pt>
                <c:pt idx="886">
                  <c:v>0.84511295325408176</c:v>
                </c:pt>
                <c:pt idx="887">
                  <c:v>0.8429627307832559</c:v>
                </c:pt>
                <c:pt idx="888">
                  <c:v>0.84292536311658706</c:v>
                </c:pt>
                <c:pt idx="889">
                  <c:v>0.83765944094950007</c:v>
                </c:pt>
                <c:pt idx="890">
                  <c:v>0.83084211348504677</c:v>
                </c:pt>
                <c:pt idx="891">
                  <c:v>0.83201504850253472</c:v>
                </c:pt>
                <c:pt idx="892">
                  <c:v>0.83171496327944872</c:v>
                </c:pt>
                <c:pt idx="893">
                  <c:v>0.83275393254373209</c:v>
                </c:pt>
                <c:pt idx="894">
                  <c:v>0.8298106397698205</c:v>
                </c:pt>
                <c:pt idx="895">
                  <c:v>0.83168614216204539</c:v>
                </c:pt>
                <c:pt idx="896">
                  <c:v>0.83674826550219028</c:v>
                </c:pt>
                <c:pt idx="897">
                  <c:v>0.83707949027988959</c:v>
                </c:pt>
                <c:pt idx="898">
                  <c:v>0.83760723562916617</c:v>
                </c:pt>
                <c:pt idx="899">
                  <c:v>0.84015094733848561</c:v>
                </c:pt>
                <c:pt idx="900">
                  <c:v>0.83694985929519894</c:v>
                </c:pt>
                <c:pt idx="901">
                  <c:v>0.8318984571986866</c:v>
                </c:pt>
                <c:pt idx="902">
                  <c:v>0.83000126778225591</c:v>
                </c:pt>
                <c:pt idx="903">
                  <c:v>0.82806170169373039</c:v>
                </c:pt>
                <c:pt idx="904">
                  <c:v>0.82752962465286894</c:v>
                </c:pt>
                <c:pt idx="905">
                  <c:v>0.82779575237865455</c:v>
                </c:pt>
                <c:pt idx="906">
                  <c:v>0.83138319243628456</c:v>
                </c:pt>
                <c:pt idx="907">
                  <c:v>0.83309253934776684</c:v>
                </c:pt>
                <c:pt idx="908">
                  <c:v>0.82336645646948003</c:v>
                </c:pt>
                <c:pt idx="909">
                  <c:v>0.82821432356812474</c:v>
                </c:pt>
                <c:pt idx="910">
                  <c:v>0.83544234057770972</c:v>
                </c:pt>
                <c:pt idx="911">
                  <c:v>0.83572694245448209</c:v>
                </c:pt>
                <c:pt idx="912">
                  <c:v>0.83097768208561029</c:v>
                </c:pt>
                <c:pt idx="913">
                  <c:v>0.82536602681108118</c:v>
                </c:pt>
                <c:pt idx="914">
                  <c:v>0.82390846616816638</c:v>
                </c:pt>
                <c:pt idx="915">
                  <c:v>0.82387244342702781</c:v>
                </c:pt>
                <c:pt idx="916">
                  <c:v>0.8243811501572037</c:v>
                </c:pt>
                <c:pt idx="917">
                  <c:v>0.82302918267177239</c:v>
                </c:pt>
                <c:pt idx="918">
                  <c:v>0.81981603755987098</c:v>
                </c:pt>
                <c:pt idx="919">
                  <c:v>0.82083709015121165</c:v>
                </c:pt>
                <c:pt idx="920">
                  <c:v>0.81953818315779248</c:v>
                </c:pt>
                <c:pt idx="921">
                  <c:v>0.82466483722801864</c:v>
                </c:pt>
                <c:pt idx="922">
                  <c:v>0.81910315970050729</c:v>
                </c:pt>
                <c:pt idx="923">
                  <c:v>0.82313733867935679</c:v>
                </c:pt>
                <c:pt idx="924">
                  <c:v>0.82714397221670588</c:v>
                </c:pt>
                <c:pt idx="925">
                  <c:v>0.82400755425890915</c:v>
                </c:pt>
                <c:pt idx="926">
                  <c:v>0.82618614145997793</c:v>
                </c:pt>
                <c:pt idx="927">
                  <c:v>0.8263700019688528</c:v>
                </c:pt>
                <c:pt idx="928">
                  <c:v>0.82703919869105613</c:v>
                </c:pt>
                <c:pt idx="929">
                  <c:v>0.82594050735845337</c:v>
                </c:pt>
                <c:pt idx="930">
                  <c:v>0.82512311017198714</c:v>
                </c:pt>
                <c:pt idx="931">
                  <c:v>0.81913371174458038</c:v>
                </c:pt>
                <c:pt idx="932">
                  <c:v>0.81860264999058452</c:v>
                </c:pt>
                <c:pt idx="933">
                  <c:v>0.81726713661920525</c:v>
                </c:pt>
                <c:pt idx="934">
                  <c:v>0.81258912444846343</c:v>
                </c:pt>
                <c:pt idx="935">
                  <c:v>0.81259325646047287</c:v>
                </c:pt>
                <c:pt idx="936">
                  <c:v>0.8120910220167139</c:v>
                </c:pt>
                <c:pt idx="937">
                  <c:v>0.80935957706602113</c:v>
                </c:pt>
                <c:pt idx="938">
                  <c:v>0.80291142561796969</c:v>
                </c:pt>
                <c:pt idx="939">
                  <c:v>0.80733976190401635</c:v>
                </c:pt>
                <c:pt idx="940">
                  <c:v>0.81094552919667606</c:v>
                </c:pt>
                <c:pt idx="941">
                  <c:v>0.81129947397021862</c:v>
                </c:pt>
                <c:pt idx="942">
                  <c:v>0.81293046650769418</c:v>
                </c:pt>
                <c:pt idx="943">
                  <c:v>0.80889286605170441</c:v>
                </c:pt>
                <c:pt idx="944">
                  <c:v>0.81130579718787332</c:v>
                </c:pt>
                <c:pt idx="945">
                  <c:v>0.81453772808051395</c:v>
                </c:pt>
                <c:pt idx="946">
                  <c:v>0.810735275589896</c:v>
                </c:pt>
                <c:pt idx="947">
                  <c:v>0.80570322357097102</c:v>
                </c:pt>
                <c:pt idx="948">
                  <c:v>0.80845464825961155</c:v>
                </c:pt>
                <c:pt idx="949">
                  <c:v>0.81125083640905971</c:v>
                </c:pt>
                <c:pt idx="950">
                  <c:v>0.80598701124319583</c:v>
                </c:pt>
                <c:pt idx="951">
                  <c:v>0.80525701038813313</c:v>
                </c:pt>
                <c:pt idx="952">
                  <c:v>0.80212219503355697</c:v>
                </c:pt>
                <c:pt idx="953">
                  <c:v>0.79622165036349979</c:v>
                </c:pt>
                <c:pt idx="954">
                  <c:v>0.79663389344900148</c:v>
                </c:pt>
                <c:pt idx="955">
                  <c:v>0.79677804796916274</c:v>
                </c:pt>
                <c:pt idx="956">
                  <c:v>0.79281157484142106</c:v>
                </c:pt>
                <c:pt idx="957">
                  <c:v>0.79172737194344345</c:v>
                </c:pt>
                <c:pt idx="958">
                  <c:v>0.7918381852367562</c:v>
                </c:pt>
                <c:pt idx="959">
                  <c:v>0.79328232872052107</c:v>
                </c:pt>
                <c:pt idx="960">
                  <c:v>0.78728001904394818</c:v>
                </c:pt>
                <c:pt idx="961">
                  <c:v>0.78892198683048542</c:v>
                </c:pt>
                <c:pt idx="962">
                  <c:v>0.7927630322978636</c:v>
                </c:pt>
                <c:pt idx="963">
                  <c:v>0.79232998585201475</c:v>
                </c:pt>
                <c:pt idx="964">
                  <c:v>0.79976337165040257</c:v>
                </c:pt>
                <c:pt idx="965">
                  <c:v>0.79599913827771052</c:v>
                </c:pt>
                <c:pt idx="966">
                  <c:v>0.80053883213746202</c:v>
                </c:pt>
                <c:pt idx="967">
                  <c:v>0.79487243798631046</c:v>
                </c:pt>
                <c:pt idx="968">
                  <c:v>0.80080803294048297</c:v>
                </c:pt>
                <c:pt idx="969">
                  <c:v>0.79503683968569705</c:v>
                </c:pt>
                <c:pt idx="970">
                  <c:v>0.7951915060791076</c:v>
                </c:pt>
                <c:pt idx="971">
                  <c:v>0.79756528478532007</c:v>
                </c:pt>
                <c:pt idx="972">
                  <c:v>0.79486588457848528</c:v>
                </c:pt>
                <c:pt idx="973">
                  <c:v>0.79207202658594167</c:v>
                </c:pt>
                <c:pt idx="974">
                  <c:v>0.7926155557639355</c:v>
                </c:pt>
                <c:pt idx="975">
                  <c:v>0.79103669772325147</c:v>
                </c:pt>
                <c:pt idx="976">
                  <c:v>0.79119603960350482</c:v>
                </c:pt>
                <c:pt idx="977">
                  <c:v>0.78565108995243804</c:v>
                </c:pt>
                <c:pt idx="978">
                  <c:v>0.79309902194061066</c:v>
                </c:pt>
                <c:pt idx="979">
                  <c:v>0.7941972645805061</c:v>
                </c:pt>
                <c:pt idx="980">
                  <c:v>0.79234290362210114</c:v>
                </c:pt>
                <c:pt idx="981">
                  <c:v>0.79180134083044873</c:v>
                </c:pt>
                <c:pt idx="982">
                  <c:v>0.7989543527508417</c:v>
                </c:pt>
                <c:pt idx="983">
                  <c:v>0.80395045717828051</c:v>
                </c:pt>
                <c:pt idx="984">
                  <c:v>0.79797953800983323</c:v>
                </c:pt>
                <c:pt idx="985">
                  <c:v>0.79417997168678256</c:v>
                </c:pt>
                <c:pt idx="986">
                  <c:v>0.79876714919619674</c:v>
                </c:pt>
                <c:pt idx="987">
                  <c:v>0.80150123835547316</c:v>
                </c:pt>
                <c:pt idx="988">
                  <c:v>0.79210017942906041</c:v>
                </c:pt>
                <c:pt idx="989">
                  <c:v>0.80256225984419027</c:v>
                </c:pt>
                <c:pt idx="990">
                  <c:v>0.78787101096079226</c:v>
                </c:pt>
                <c:pt idx="991">
                  <c:v>0.78030951746920896</c:v>
                </c:pt>
                <c:pt idx="992">
                  <c:v>0.77575483329984685</c:v>
                </c:pt>
                <c:pt idx="993">
                  <c:v>0.78243057817718176</c:v>
                </c:pt>
                <c:pt idx="994">
                  <c:v>0.78000473634365253</c:v>
                </c:pt>
                <c:pt idx="995">
                  <c:v>0.78088159702591387</c:v>
                </c:pt>
                <c:pt idx="996">
                  <c:v>0.7816834859877877</c:v>
                </c:pt>
                <c:pt idx="997">
                  <c:v>0.78315912273012889</c:v>
                </c:pt>
                <c:pt idx="998">
                  <c:v>0.78100394980605015</c:v>
                </c:pt>
                <c:pt idx="999">
                  <c:v>0.78249043331399226</c:v>
                </c:pt>
                <c:pt idx="1000">
                  <c:v>0.78340882167675696</c:v>
                </c:pt>
                <c:pt idx="1001">
                  <c:v>0.78600943977042792</c:v>
                </c:pt>
                <c:pt idx="1002">
                  <c:v>0.79550286083159982</c:v>
                </c:pt>
                <c:pt idx="1003">
                  <c:v>0.79376069911560954</c:v>
                </c:pt>
                <c:pt idx="1004">
                  <c:v>0.79781833718821749</c:v>
                </c:pt>
                <c:pt idx="1005">
                  <c:v>0.79511609268916517</c:v>
                </c:pt>
                <c:pt idx="1006">
                  <c:v>0.79154919077707875</c:v>
                </c:pt>
                <c:pt idx="1007">
                  <c:v>0.79156196067753526</c:v>
                </c:pt>
                <c:pt idx="1008">
                  <c:v>0.79217694174796427</c:v>
                </c:pt>
                <c:pt idx="1009">
                  <c:v>0.79312251974284009</c:v>
                </c:pt>
                <c:pt idx="1010">
                  <c:v>0.78942631659177287</c:v>
                </c:pt>
                <c:pt idx="1011">
                  <c:v>0.78654584075472356</c:v>
                </c:pt>
                <c:pt idx="1012">
                  <c:v>0.78040020420261891</c:v>
                </c:pt>
                <c:pt idx="1013">
                  <c:v>0.77325897649097408</c:v>
                </c:pt>
                <c:pt idx="1014">
                  <c:v>0.78041256263222702</c:v>
                </c:pt>
                <c:pt idx="1015">
                  <c:v>0.78218686318839403</c:v>
                </c:pt>
                <c:pt idx="1016">
                  <c:v>0.78074791603208871</c:v>
                </c:pt>
                <c:pt idx="1017">
                  <c:v>0.78028511478702633</c:v>
                </c:pt>
                <c:pt idx="1018">
                  <c:v>0.77357432819581107</c:v>
                </c:pt>
                <c:pt idx="1019">
                  <c:v>0.77327574022716505</c:v>
                </c:pt>
                <c:pt idx="1020">
                  <c:v>0.77375575955514109</c:v>
                </c:pt>
                <c:pt idx="1021">
                  <c:v>0.77273744889033325</c:v>
                </c:pt>
                <c:pt idx="1022">
                  <c:v>0.77357346616107225</c:v>
                </c:pt>
                <c:pt idx="1023">
                  <c:v>0.77089333960370487</c:v>
                </c:pt>
                <c:pt idx="1024">
                  <c:v>0.77033321814873623</c:v>
                </c:pt>
                <c:pt idx="1025">
                  <c:v>0.77805405367267311</c:v>
                </c:pt>
                <c:pt idx="1026">
                  <c:v>0.77644532365216556</c:v>
                </c:pt>
                <c:pt idx="1027">
                  <c:v>0.78026530531476934</c:v>
                </c:pt>
                <c:pt idx="1028">
                  <c:v>0.78360699986251459</c:v>
                </c:pt>
                <c:pt idx="1029">
                  <c:v>0.77548681424810384</c:v>
                </c:pt>
                <c:pt idx="1030">
                  <c:v>0.77457976651500615</c:v>
                </c:pt>
                <c:pt idx="1031">
                  <c:v>0.77571392336857714</c:v>
                </c:pt>
                <c:pt idx="1032">
                  <c:v>0.77170927724501759</c:v>
                </c:pt>
                <c:pt idx="1033">
                  <c:v>0.77339255321727463</c:v>
                </c:pt>
                <c:pt idx="1034">
                  <c:v>0.76500230952140091</c:v>
                </c:pt>
                <c:pt idx="1035">
                  <c:v>0.77284941467194057</c:v>
                </c:pt>
                <c:pt idx="1036">
                  <c:v>0.77369641116145271</c:v>
                </c:pt>
                <c:pt idx="1037">
                  <c:v>0.75976598604008239</c:v>
                </c:pt>
                <c:pt idx="1038">
                  <c:v>0.75851104044687123</c:v>
                </c:pt>
                <c:pt idx="1039">
                  <c:v>0.75599137274466444</c:v>
                </c:pt>
                <c:pt idx="1040">
                  <c:v>0.75113767045526414</c:v>
                </c:pt>
                <c:pt idx="1041">
                  <c:v>0.74719856036580712</c:v>
                </c:pt>
                <c:pt idx="1042">
                  <c:v>0.74200508674964549</c:v>
                </c:pt>
                <c:pt idx="1043">
                  <c:v>0.73705697660142011</c:v>
                </c:pt>
                <c:pt idx="1044">
                  <c:v>0.72446684675556661</c:v>
                </c:pt>
                <c:pt idx="1045">
                  <c:v>0.73072086654726531</c:v>
                </c:pt>
                <c:pt idx="1046">
                  <c:v>0.72788729347148651</c:v>
                </c:pt>
                <c:pt idx="1047">
                  <c:v>0.73073764027420818</c:v>
                </c:pt>
                <c:pt idx="1048">
                  <c:v>0.73177201679781922</c:v>
                </c:pt>
                <c:pt idx="1049">
                  <c:v>0.7294174008563471</c:v>
                </c:pt>
                <c:pt idx="1050">
                  <c:v>0.73249429909333064</c:v>
                </c:pt>
                <c:pt idx="1051">
                  <c:v>0.72512898611927334</c:v>
                </c:pt>
                <c:pt idx="1052">
                  <c:v>0.72454174764749624</c:v>
                </c:pt>
                <c:pt idx="1053">
                  <c:v>0.72483368122593694</c:v>
                </c:pt>
                <c:pt idx="1054">
                  <c:v>0.70998830969623117</c:v>
                </c:pt>
                <c:pt idx="1055">
                  <c:v>0.71350353285959445</c:v>
                </c:pt>
                <c:pt idx="1056">
                  <c:v>0.70805665146261443</c:v>
                </c:pt>
                <c:pt idx="1057">
                  <c:v>0.71841111569934712</c:v>
                </c:pt>
                <c:pt idx="1058">
                  <c:v>0.71998470831880701</c:v>
                </c:pt>
                <c:pt idx="1059">
                  <c:v>0.71686605027981321</c:v>
                </c:pt>
                <c:pt idx="1060">
                  <c:v>0.72020947621186227</c:v>
                </c:pt>
                <c:pt idx="1061">
                  <c:v>0.71803741829820134</c:v>
                </c:pt>
                <c:pt idx="1062">
                  <c:v>0.71845024318649831</c:v>
                </c:pt>
                <c:pt idx="1063">
                  <c:v>0.72560132094929974</c:v>
                </c:pt>
                <c:pt idx="1064">
                  <c:v>0.752117523919833</c:v>
                </c:pt>
                <c:pt idx="1065">
                  <c:v>0.76044816747791022</c:v>
                </c:pt>
                <c:pt idx="1066">
                  <c:v>0.75950942948209854</c:v>
                </c:pt>
                <c:pt idx="1067">
                  <c:v>0.75873052680068942</c:v>
                </c:pt>
                <c:pt idx="1068">
                  <c:v>0.75359900827907744</c:v>
                </c:pt>
                <c:pt idx="1069">
                  <c:v>0.75073458832501294</c:v>
                </c:pt>
                <c:pt idx="1070">
                  <c:v>0.75385617938274618</c:v>
                </c:pt>
                <c:pt idx="1071">
                  <c:v>0.75519684692339428</c:v>
                </c:pt>
                <c:pt idx="1072">
                  <c:v>0.759282078618986</c:v>
                </c:pt>
                <c:pt idx="1073">
                  <c:v>0.75654827179265016</c:v>
                </c:pt>
                <c:pt idx="1074">
                  <c:v>0.76039465176155052</c:v>
                </c:pt>
                <c:pt idx="1075">
                  <c:v>0.75983397893444571</c:v>
                </c:pt>
                <c:pt idx="1076">
                  <c:v>0.75101097237601055</c:v>
                </c:pt>
                <c:pt idx="1077">
                  <c:v>0.75187123544341894</c:v>
                </c:pt>
                <c:pt idx="1078">
                  <c:v>0.75159679545928515</c:v>
                </c:pt>
                <c:pt idx="1079">
                  <c:v>0.7528157040090333</c:v>
                </c:pt>
                <c:pt idx="1080">
                  <c:v>0.75365187519049648</c:v>
                </c:pt>
                <c:pt idx="1081">
                  <c:v>0.76626102765732396</c:v>
                </c:pt>
                <c:pt idx="1082">
                  <c:v>0.76698681743424257</c:v>
                </c:pt>
                <c:pt idx="1083">
                  <c:v>0.77754131333673926</c:v>
                </c:pt>
                <c:pt idx="1084">
                  <c:v>0.77194543415583017</c:v>
                </c:pt>
                <c:pt idx="1085">
                  <c:v>0.77315344883079229</c:v>
                </c:pt>
                <c:pt idx="1086">
                  <c:v>0.77039438459985476</c:v>
                </c:pt>
                <c:pt idx="1087">
                  <c:v>0.77246354236949022</c:v>
                </c:pt>
                <c:pt idx="1088">
                  <c:v>0.76836603827793282</c:v>
                </c:pt>
                <c:pt idx="1089">
                  <c:v>0.77025095179921721</c:v>
                </c:pt>
                <c:pt idx="1090">
                  <c:v>0.77510740992058214</c:v>
                </c:pt>
                <c:pt idx="1091">
                  <c:v>0.77252644459712672</c:v>
                </c:pt>
                <c:pt idx="1092">
                  <c:v>0.77320632312873105</c:v>
                </c:pt>
                <c:pt idx="1093">
                  <c:v>0.7723092638843212</c:v>
                </c:pt>
                <c:pt idx="1094">
                  <c:v>0.77066479331715132</c:v>
                </c:pt>
                <c:pt idx="1095">
                  <c:v>0.77013290819024205</c:v>
                </c:pt>
                <c:pt idx="1096">
                  <c:v>0.76837432012618867</c:v>
                </c:pt>
                <c:pt idx="1097">
                  <c:v>0.76684426656150362</c:v>
                </c:pt>
                <c:pt idx="1098">
                  <c:v>0.76409933016242237</c:v>
                </c:pt>
                <c:pt idx="1099">
                  <c:v>0.76613971955868476</c:v>
                </c:pt>
                <c:pt idx="1100">
                  <c:v>0.76710881124155494</c:v>
                </c:pt>
                <c:pt idx="1101">
                  <c:v>0.75867299956040568</c:v>
                </c:pt>
                <c:pt idx="1102">
                  <c:v>0.76687296908174818</c:v>
                </c:pt>
                <c:pt idx="1103">
                  <c:v>0.76934188000414183</c:v>
                </c:pt>
                <c:pt idx="1104">
                  <c:v>0.78014348293908053</c:v>
                </c:pt>
                <c:pt idx="1105">
                  <c:v>0.76898065912393221</c:v>
                </c:pt>
                <c:pt idx="1106">
                  <c:v>0.76669223030356215</c:v>
                </c:pt>
                <c:pt idx="1107">
                  <c:v>0.78299676457994349</c:v>
                </c:pt>
                <c:pt idx="1108">
                  <c:v>0.78137118746286927</c:v>
                </c:pt>
                <c:pt idx="1109">
                  <c:v>0.7752282516034894</c:v>
                </c:pt>
                <c:pt idx="1110">
                  <c:v>0.7959037097342414</c:v>
                </c:pt>
                <c:pt idx="1111">
                  <c:v>0.79981120238706893</c:v>
                </c:pt>
                <c:pt idx="1112">
                  <c:v>0.79803394389933979</c:v>
                </c:pt>
                <c:pt idx="1113">
                  <c:v>0.79650137114302533</c:v>
                </c:pt>
                <c:pt idx="1114">
                  <c:v>0.80187342628854719</c:v>
                </c:pt>
                <c:pt idx="1115">
                  <c:v>0.79404473034205159</c:v>
                </c:pt>
                <c:pt idx="1116">
                  <c:v>0.79214084065459045</c:v>
                </c:pt>
                <c:pt idx="1117">
                  <c:v>0.7947659673787294</c:v>
                </c:pt>
                <c:pt idx="1118">
                  <c:v>0.79741683855918699</c:v>
                </c:pt>
                <c:pt idx="1119">
                  <c:v>0.79113451839763949</c:v>
                </c:pt>
                <c:pt idx="1120">
                  <c:v>0.79095949145900968</c:v>
                </c:pt>
                <c:pt idx="1121">
                  <c:v>0.78645889174081685</c:v>
                </c:pt>
                <c:pt idx="1122">
                  <c:v>0.78617171306841283</c:v>
                </c:pt>
                <c:pt idx="1123">
                  <c:v>0.77126547316895899</c:v>
                </c:pt>
                <c:pt idx="1124">
                  <c:v>0.77483941648481491</c:v>
                </c:pt>
                <c:pt idx="1125">
                  <c:v>0.75922233383214455</c:v>
                </c:pt>
                <c:pt idx="1126">
                  <c:v>0.76628960481545461</c:v>
                </c:pt>
                <c:pt idx="1127">
                  <c:v>0.76925291321230271</c:v>
                </c:pt>
                <c:pt idx="1128">
                  <c:v>0.77905635733323941</c:v>
                </c:pt>
                <c:pt idx="1129">
                  <c:v>0.77782191781503895</c:v>
                </c:pt>
                <c:pt idx="1130">
                  <c:v>0.77986167300686637</c:v>
                </c:pt>
                <c:pt idx="1131">
                  <c:v>0.77593639342766929</c:v>
                </c:pt>
                <c:pt idx="1132">
                  <c:v>0.77465690961505662</c:v>
                </c:pt>
                <c:pt idx="1133">
                  <c:v>0.7713522993974089</c:v>
                </c:pt>
                <c:pt idx="1134">
                  <c:v>0.77660471425127731</c:v>
                </c:pt>
                <c:pt idx="1135">
                  <c:v>0.77752373742078373</c:v>
                </c:pt>
                <c:pt idx="1136">
                  <c:v>0.78070504494521797</c:v>
                </c:pt>
                <c:pt idx="1137">
                  <c:v>0.78443132465057497</c:v>
                </c:pt>
                <c:pt idx="1138">
                  <c:v>0.78571683200790299</c:v>
                </c:pt>
                <c:pt idx="1139">
                  <c:v>0.78354021217279779</c:v>
                </c:pt>
                <c:pt idx="1140">
                  <c:v>0.78030526708730708</c:v>
                </c:pt>
                <c:pt idx="1141">
                  <c:v>0.78234355533576894</c:v>
                </c:pt>
                <c:pt idx="1142">
                  <c:v>0.78360532957442885</c:v>
                </c:pt>
                <c:pt idx="1143">
                  <c:v>0.78105068263804234</c:v>
                </c:pt>
                <c:pt idx="1144">
                  <c:v>0.77787978566806182</c:v>
                </c:pt>
                <c:pt idx="1145">
                  <c:v>0.77199488691386686</c:v>
                </c:pt>
                <c:pt idx="1146">
                  <c:v>0.77626970390561323</c:v>
                </c:pt>
                <c:pt idx="1147">
                  <c:v>0.77409159320325616</c:v>
                </c:pt>
                <c:pt idx="1148">
                  <c:v>0.76962152814802198</c:v>
                </c:pt>
                <c:pt idx="1149">
                  <c:v>0.76825346639807268</c:v>
                </c:pt>
                <c:pt idx="1150">
                  <c:v>0.76940391798950869</c:v>
                </c:pt>
                <c:pt idx="1151">
                  <c:v>0.77133147861466755</c:v>
                </c:pt>
                <c:pt idx="1152">
                  <c:v>0.77584607021982555</c:v>
                </c:pt>
                <c:pt idx="1153">
                  <c:v>0.78092166350660774</c:v>
                </c:pt>
                <c:pt idx="1154">
                  <c:v>0.78250566058359805</c:v>
                </c:pt>
                <c:pt idx="1155">
                  <c:v>0.77543937637581561</c:v>
                </c:pt>
                <c:pt idx="1156">
                  <c:v>0.77374986937346868</c:v>
                </c:pt>
                <c:pt idx="1157">
                  <c:v>0.77367622596883989</c:v>
                </c:pt>
                <c:pt idx="1158">
                  <c:v>0.77286481397357543</c:v>
                </c:pt>
                <c:pt idx="1159">
                  <c:v>0.76994702289077799</c:v>
                </c:pt>
                <c:pt idx="1160">
                  <c:v>0.76730899296255584</c:v>
                </c:pt>
                <c:pt idx="1161">
                  <c:v>0.76868889160570253</c:v>
                </c:pt>
                <c:pt idx="1162">
                  <c:v>0.76836429711335896</c:v>
                </c:pt>
                <c:pt idx="1163">
                  <c:v>0.76479726294457051</c:v>
                </c:pt>
                <c:pt idx="1164">
                  <c:v>0.76779878895086007</c:v>
                </c:pt>
                <c:pt idx="1165">
                  <c:v>0.7754715319492046</c:v>
                </c:pt>
                <c:pt idx="1166">
                  <c:v>0.76892436313893797</c:v>
                </c:pt>
                <c:pt idx="1167">
                  <c:v>0.77020899990436476</c:v>
                </c:pt>
                <c:pt idx="1168">
                  <c:v>0.76758712558884223</c:v>
                </c:pt>
                <c:pt idx="1169">
                  <c:v>0.76932440340268982</c:v>
                </c:pt>
                <c:pt idx="1170">
                  <c:v>0.76357861783014147</c:v>
                </c:pt>
                <c:pt idx="1171">
                  <c:v>0.77198153629474342</c:v>
                </c:pt>
                <c:pt idx="1172">
                  <c:v>0.77498591185029297</c:v>
                </c:pt>
                <c:pt idx="1173">
                  <c:v>0.77378681120986736</c:v>
                </c:pt>
                <c:pt idx="1174">
                  <c:v>0.77179752011363512</c:v>
                </c:pt>
                <c:pt idx="1175">
                  <c:v>0.76600058973718332</c:v>
                </c:pt>
                <c:pt idx="1176">
                  <c:v>0.78035338025724721</c:v>
                </c:pt>
                <c:pt idx="1177">
                  <c:v>0.7872088011928623</c:v>
                </c:pt>
                <c:pt idx="1178">
                  <c:v>0.78338061540617743</c:v>
                </c:pt>
                <c:pt idx="1179">
                  <c:v>0.78522546091848111</c:v>
                </c:pt>
                <c:pt idx="1180">
                  <c:v>0.78272032646442757</c:v>
                </c:pt>
                <c:pt idx="1181">
                  <c:v>0.77949685320564266</c:v>
                </c:pt>
                <c:pt idx="1182">
                  <c:v>0.77801063796609404</c:v>
                </c:pt>
                <c:pt idx="1183">
                  <c:v>0.77835008554753649</c:v>
                </c:pt>
                <c:pt idx="1184">
                  <c:v>0.7726527996748549</c:v>
                </c:pt>
                <c:pt idx="1185">
                  <c:v>0.76794827731506821</c:v>
                </c:pt>
                <c:pt idx="1186">
                  <c:v>0.76339026803351384</c:v>
                </c:pt>
                <c:pt idx="1187">
                  <c:v>0.77911195645666731</c:v>
                </c:pt>
                <c:pt idx="1188">
                  <c:v>0.78753599546040864</c:v>
                </c:pt>
                <c:pt idx="1189">
                  <c:v>0.7903045780738559</c:v>
                </c:pt>
                <c:pt idx="1190">
                  <c:v>0.79396806654874685</c:v>
                </c:pt>
                <c:pt idx="1191">
                  <c:v>0.79533434521934265</c:v>
                </c:pt>
                <c:pt idx="1192">
                  <c:v>0.79399677399401847</c:v>
                </c:pt>
                <c:pt idx="1193">
                  <c:v>0.79524478381950292</c:v>
                </c:pt>
                <c:pt idx="1194">
                  <c:v>0.79521629007438777</c:v>
                </c:pt>
                <c:pt idx="1195">
                  <c:v>0.79309878085701202</c:v>
                </c:pt>
                <c:pt idx="1196">
                  <c:v>0.79238078264455991</c:v>
                </c:pt>
                <c:pt idx="1197">
                  <c:v>0.78671913015727357</c:v>
                </c:pt>
                <c:pt idx="1198">
                  <c:v>0.7879766046764658</c:v>
                </c:pt>
                <c:pt idx="1199">
                  <c:v>0.78365216519684266</c:v>
                </c:pt>
                <c:pt idx="1200">
                  <c:v>0.78519683343927082</c:v>
                </c:pt>
                <c:pt idx="1201">
                  <c:v>0.78602017885822573</c:v>
                </c:pt>
                <c:pt idx="1202">
                  <c:v>0.78146639723409084</c:v>
                </c:pt>
                <c:pt idx="1203">
                  <c:v>0.78696938410011397</c:v>
                </c:pt>
                <c:pt idx="1204">
                  <c:v>0.7858394323334098</c:v>
                </c:pt>
                <c:pt idx="1205">
                  <c:v>0.77980142142915132</c:v>
                </c:pt>
                <c:pt idx="1206">
                  <c:v>0.77669865994423293</c:v>
                </c:pt>
                <c:pt idx="1207">
                  <c:v>0.78049394180318821</c:v>
                </c:pt>
                <c:pt idx="1208">
                  <c:v>0.78205211976074251</c:v>
                </c:pt>
                <c:pt idx="1209">
                  <c:v>0.78029432576731295</c:v>
                </c:pt>
                <c:pt idx="1210">
                  <c:v>0.77707201770073309</c:v>
                </c:pt>
                <c:pt idx="1211">
                  <c:v>0.78517094039181734</c:v>
                </c:pt>
                <c:pt idx="1212">
                  <c:v>0.78117234049777995</c:v>
                </c:pt>
                <c:pt idx="1213">
                  <c:v>0.77837319069419508</c:v>
                </c:pt>
                <c:pt idx="1214">
                  <c:v>0.77681361307302743</c:v>
                </c:pt>
                <c:pt idx="1215">
                  <c:v>0.77806604623939712</c:v>
                </c:pt>
                <c:pt idx="1216">
                  <c:v>0.77662545522273807</c:v>
                </c:pt>
                <c:pt idx="1217">
                  <c:v>0.77678061904675566</c:v>
                </c:pt>
                <c:pt idx="1218">
                  <c:v>0.77914578793805533</c:v>
                </c:pt>
                <c:pt idx="1219">
                  <c:v>0.78340453492050532</c:v>
                </c:pt>
                <c:pt idx="1220">
                  <c:v>0.780716739423442</c:v>
                </c:pt>
                <c:pt idx="1221">
                  <c:v>0.77929172437160343</c:v>
                </c:pt>
                <c:pt idx="1222">
                  <c:v>0.77913574464801738</c:v>
                </c:pt>
                <c:pt idx="1223">
                  <c:v>0.76778822464793683</c:v>
                </c:pt>
                <c:pt idx="1224">
                  <c:v>0.77792075842992414</c:v>
                </c:pt>
                <c:pt idx="1225">
                  <c:v>0.76496161180258626</c:v>
                </c:pt>
                <c:pt idx="1226">
                  <c:v>0.77125370817430616</c:v>
                </c:pt>
                <c:pt idx="1227">
                  <c:v>0.76731641129269124</c:v>
                </c:pt>
                <c:pt idx="1228">
                  <c:v>0.7656527922758557</c:v>
                </c:pt>
                <c:pt idx="1229">
                  <c:v>0.767186730024216</c:v>
                </c:pt>
                <c:pt idx="1230">
                  <c:v>0.76385865782124529</c:v>
                </c:pt>
                <c:pt idx="1231">
                  <c:v>0.76386055053072854</c:v>
                </c:pt>
                <c:pt idx="1232">
                  <c:v>0.76466728557996344</c:v>
                </c:pt>
                <c:pt idx="1233">
                  <c:v>0.7580654188213426</c:v>
                </c:pt>
                <c:pt idx="1234">
                  <c:v>0.75461498057724241</c:v>
                </c:pt>
                <c:pt idx="1235">
                  <c:v>0.75813848394121663</c:v>
                </c:pt>
                <c:pt idx="1236">
                  <c:v>0.77151528802937375</c:v>
                </c:pt>
                <c:pt idx="1237">
                  <c:v>0.76371777736791302</c:v>
                </c:pt>
                <c:pt idx="1238">
                  <c:v>0.76388567357309189</c:v>
                </c:pt>
                <c:pt idx="1239">
                  <c:v>0.76375239547949703</c:v>
                </c:pt>
                <c:pt idx="1240">
                  <c:v>0.77039920357984004</c:v>
                </c:pt>
                <c:pt idx="1241">
                  <c:v>0.77064528126808429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B-495E-B280-B396BE8C5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956912"/>
        <c:axId val="655958832"/>
      </c:lineChart>
      <c:dateAx>
        <c:axId val="655956912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8832"/>
        <c:crosses val="autoZero"/>
        <c:auto val="1"/>
        <c:lblOffset val="100"/>
        <c:baseTimeUnit val="days"/>
        <c:majorUnit val="6"/>
        <c:majorTimeUnit val="months"/>
      </c:dateAx>
      <c:valAx>
        <c:axId val="6559588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691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583405</xdr:colOff>
      <xdr:row>9</xdr:row>
      <xdr:rowOff>57150</xdr:rowOff>
    </xdr:from>
    <xdr:to>
      <xdr:col>20</xdr:col>
      <xdr:colOff>621505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998EB-6CA0-1F20-75F0-C4601D081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8E29-FC4F-4FEF-9EEB-DC071E098347}">
  <dimension ref="A1:T1244"/>
  <sheetViews>
    <sheetView showGridLines="0" zoomScale="85" zoomScaleNormal="85" workbookViewId="0">
      <selection activeCell="E3" sqref="E3"/>
    </sheetView>
  </sheetViews>
  <sheetFormatPr defaultRowHeight="14.25" x14ac:dyDescent="0.45"/>
  <cols>
    <col min="1" max="1" width="9.33203125" style="1" bestFit="1" customWidth="1"/>
    <col min="2" max="3" width="9.06640625" style="1"/>
    <col min="4" max="4" width="9.33203125" style="1" bestFit="1" customWidth="1"/>
    <col min="5" max="5" width="9.46484375" style="1" bestFit="1" customWidth="1"/>
    <col min="6" max="6" width="9.06640625" style="1"/>
    <col min="7" max="8" width="16.3984375" style="1" bestFit="1" customWidth="1"/>
    <col min="9" max="9" width="9.06640625" style="1"/>
    <col min="10" max="10" width="23.53125" style="1" bestFit="1" customWidth="1"/>
    <col min="11" max="11" width="21" style="1" bestFit="1" customWidth="1"/>
    <col min="12" max="16384" width="9.06640625" style="1"/>
  </cols>
  <sheetData>
    <row r="1" spans="1:13" x14ac:dyDescent="0.45">
      <c r="A1" s="52" t="s">
        <v>13</v>
      </c>
      <c r="B1" s="52"/>
      <c r="D1" s="52" t="s">
        <v>14</v>
      </c>
      <c r="E1" s="52"/>
    </row>
    <row r="2" spans="1:13" ht="14.65" thickBot="1" x14ac:dyDescent="0.5">
      <c r="A2" s="5" t="s">
        <v>0</v>
      </c>
      <c r="B2" s="5" t="s">
        <v>1</v>
      </c>
      <c r="D2" s="5" t="s">
        <v>0</v>
      </c>
      <c r="E2" s="5" t="s">
        <v>1</v>
      </c>
      <c r="G2" s="1" t="s">
        <v>2</v>
      </c>
      <c r="H2" s="1" t="s">
        <v>3</v>
      </c>
      <c r="J2" s="1" t="s">
        <v>15</v>
      </c>
      <c r="K2" s="1" t="s">
        <v>4</v>
      </c>
      <c r="M2" s="1" t="s">
        <v>5</v>
      </c>
    </row>
    <row r="3" spans="1:13" x14ac:dyDescent="0.45">
      <c r="A3" s="2">
        <v>45943</v>
      </c>
      <c r="B3" s="3">
        <v>2964.4</v>
      </c>
      <c r="D3" s="2">
        <v>45943</v>
      </c>
      <c r="E3" s="3">
        <v>3048.05</v>
      </c>
      <c r="G3" s="3">
        <v>32090575</v>
      </c>
      <c r="H3" s="3">
        <f>+G3*B3</f>
        <v>95129300530</v>
      </c>
      <c r="J3" s="3">
        <v>148845000</v>
      </c>
      <c r="K3" s="3">
        <f>+J3*E3</f>
        <v>453687002250</v>
      </c>
      <c r="M3" s="4">
        <f>1- (H3/K3)</f>
        <v>0.79031953735015781</v>
      </c>
    </row>
    <row r="4" spans="1:13" x14ac:dyDescent="0.45">
      <c r="A4" s="2">
        <v>45940</v>
      </c>
      <c r="B4" s="3">
        <v>2885.5</v>
      </c>
      <c r="D4" s="2">
        <v>45940</v>
      </c>
      <c r="E4" s="3">
        <v>3023.1</v>
      </c>
      <c r="G4" s="3">
        <v>32090575</v>
      </c>
      <c r="H4" s="3">
        <f t="shared" ref="H4:H67" si="0">+G4*B4</f>
        <v>92597354162.5</v>
      </c>
      <c r="J4" s="3">
        <v>148845000</v>
      </c>
      <c r="K4" s="3">
        <f>+J4*E4</f>
        <v>449973319500</v>
      </c>
      <c r="M4" s="4">
        <f>1- (H4/K4)</f>
        <v>0.79421590092187677</v>
      </c>
    </row>
    <row r="5" spans="1:13" x14ac:dyDescent="0.45">
      <c r="A5" s="2">
        <v>45939</v>
      </c>
      <c r="B5" s="3">
        <v>2875.15</v>
      </c>
      <c r="D5" s="2">
        <v>45939</v>
      </c>
      <c r="E5" s="3">
        <v>2997</v>
      </c>
      <c r="G5" s="3">
        <v>32090575</v>
      </c>
      <c r="H5" s="3">
        <f t="shared" si="0"/>
        <v>92265216711.25</v>
      </c>
      <c r="J5" s="3">
        <v>148845000</v>
      </c>
      <c r="K5" s="3">
        <f t="shared" ref="K5:K67" si="1">+J5*E5</f>
        <v>446088465000</v>
      </c>
      <c r="M5" s="4">
        <f t="shared" ref="M5:M67" si="2">1- (H5/K5)</f>
        <v>0.7931683422676038</v>
      </c>
    </row>
    <row r="6" spans="1:13" x14ac:dyDescent="0.45">
      <c r="A6" s="2">
        <v>45938</v>
      </c>
      <c r="B6" s="3">
        <v>2871.7</v>
      </c>
      <c r="D6" s="2">
        <v>45938</v>
      </c>
      <c r="E6" s="3">
        <v>2968.2</v>
      </c>
      <c r="G6" s="3">
        <v>32090575</v>
      </c>
      <c r="H6" s="3">
        <f t="shared" si="0"/>
        <v>92154504227.5</v>
      </c>
      <c r="J6" s="3">
        <v>148845000</v>
      </c>
      <c r="K6" s="3">
        <f t="shared" si="1"/>
        <v>441801729000</v>
      </c>
      <c r="M6" s="4">
        <f t="shared" si="2"/>
        <v>0.79141207881624198</v>
      </c>
    </row>
    <row r="7" spans="1:13" x14ac:dyDescent="0.45">
      <c r="A7" s="2">
        <v>45937</v>
      </c>
      <c r="B7" s="3">
        <v>2900.25</v>
      </c>
      <c r="D7" s="2">
        <v>45937</v>
      </c>
      <c r="E7" s="3">
        <v>2967.95</v>
      </c>
      <c r="G7" s="3">
        <v>32090575</v>
      </c>
      <c r="H7" s="3">
        <f t="shared" si="0"/>
        <v>93070690143.75</v>
      </c>
      <c r="J7" s="3">
        <v>148845000</v>
      </c>
      <c r="K7" s="3">
        <f t="shared" si="1"/>
        <v>441764517750</v>
      </c>
      <c r="M7" s="4">
        <f t="shared" si="2"/>
        <v>0.78932058505337033</v>
      </c>
    </row>
    <row r="8" spans="1:13" x14ac:dyDescent="0.45">
      <c r="A8" s="2">
        <v>45936</v>
      </c>
      <c r="B8" s="3">
        <v>2877.9</v>
      </c>
      <c r="D8" s="2">
        <v>45936</v>
      </c>
      <c r="E8" s="3">
        <v>2939.6</v>
      </c>
      <c r="G8" s="3">
        <v>32090575</v>
      </c>
      <c r="H8" s="3">
        <f t="shared" si="0"/>
        <v>92353465792.5</v>
      </c>
      <c r="J8" s="3">
        <v>148845000</v>
      </c>
      <c r="K8" s="3">
        <f t="shared" si="1"/>
        <v>437544762000</v>
      </c>
      <c r="M8" s="4">
        <f t="shared" si="2"/>
        <v>0.78892795934670568</v>
      </c>
    </row>
    <row r="9" spans="1:13" x14ac:dyDescent="0.45">
      <c r="A9" s="2">
        <v>45933</v>
      </c>
      <c r="B9" s="3">
        <v>2904.45</v>
      </c>
      <c r="D9" s="2">
        <v>45933</v>
      </c>
      <c r="E9" s="3">
        <v>2919.3</v>
      </c>
      <c r="G9" s="3">
        <v>32090575</v>
      </c>
      <c r="H9" s="3">
        <f t="shared" si="0"/>
        <v>93205470558.75</v>
      </c>
      <c r="J9" s="3">
        <v>148845000</v>
      </c>
      <c r="K9" s="3">
        <f t="shared" si="1"/>
        <v>434523208500</v>
      </c>
      <c r="M9" s="4">
        <f t="shared" si="2"/>
        <v>0.78549944229561219</v>
      </c>
    </row>
    <row r="10" spans="1:13" x14ac:dyDescent="0.45">
      <c r="A10" s="2">
        <v>45931</v>
      </c>
      <c r="B10" s="3">
        <v>2946.2</v>
      </c>
      <c r="D10" s="2">
        <v>45931</v>
      </c>
      <c r="E10" s="3">
        <v>2907.15</v>
      </c>
      <c r="G10" s="3">
        <v>32090575</v>
      </c>
      <c r="H10" s="3">
        <f t="shared" si="0"/>
        <v>94545252065</v>
      </c>
      <c r="J10" s="3">
        <v>148845000</v>
      </c>
      <c r="K10" s="3">
        <f t="shared" si="1"/>
        <v>432714741750</v>
      </c>
      <c r="M10" s="4">
        <f t="shared" si="2"/>
        <v>0.78150674580062418</v>
      </c>
    </row>
    <row r="11" spans="1:13" x14ac:dyDescent="0.45">
      <c r="A11" s="2">
        <v>45930</v>
      </c>
      <c r="B11" s="3">
        <v>2911.3</v>
      </c>
      <c r="D11" s="2">
        <v>45930</v>
      </c>
      <c r="E11" s="3">
        <v>2823.35</v>
      </c>
      <c r="G11" s="3">
        <v>32090575</v>
      </c>
      <c r="H11" s="3">
        <f t="shared" si="0"/>
        <v>93425290997.5</v>
      </c>
      <c r="J11" s="3">
        <v>148845000</v>
      </c>
      <c r="K11" s="3">
        <f t="shared" si="1"/>
        <v>420241530750</v>
      </c>
      <c r="M11" s="4">
        <f t="shared" si="2"/>
        <v>0.77768667739534214</v>
      </c>
    </row>
    <row r="12" spans="1:13" x14ac:dyDescent="0.45">
      <c r="A12" s="2">
        <v>45929</v>
      </c>
      <c r="B12" s="3">
        <v>2914.85</v>
      </c>
      <c r="D12" s="2">
        <v>45929</v>
      </c>
      <c r="E12" s="3">
        <v>2796.6</v>
      </c>
      <c r="G12" s="3">
        <v>32090575</v>
      </c>
      <c r="H12" s="3">
        <f t="shared" si="0"/>
        <v>93539212538.75</v>
      </c>
      <c r="J12" s="3">
        <v>148845000</v>
      </c>
      <c r="K12" s="3">
        <f t="shared" si="1"/>
        <v>416259927000</v>
      </c>
      <c r="M12" s="4">
        <f t="shared" si="2"/>
        <v>0.77528653019066618</v>
      </c>
    </row>
    <row r="13" spans="1:13" x14ac:dyDescent="0.45">
      <c r="A13" s="2">
        <v>45926</v>
      </c>
      <c r="B13" s="3">
        <v>2900.95</v>
      </c>
      <c r="D13" s="2">
        <v>45926</v>
      </c>
      <c r="E13" s="3">
        <v>2803.8</v>
      </c>
      <c r="G13" s="3">
        <v>32090575</v>
      </c>
      <c r="H13" s="3">
        <f t="shared" si="0"/>
        <v>93093153546.25</v>
      </c>
      <c r="J13" s="3">
        <v>148845000</v>
      </c>
      <c r="K13" s="3">
        <f t="shared" si="1"/>
        <v>417331611000</v>
      </c>
      <c r="M13" s="4">
        <f t="shared" si="2"/>
        <v>0.77693241754876319</v>
      </c>
    </row>
    <row r="14" spans="1:13" x14ac:dyDescent="0.45">
      <c r="A14" s="2">
        <v>45925</v>
      </c>
      <c r="B14" s="3">
        <v>2988.1</v>
      </c>
      <c r="D14" s="2">
        <v>45925</v>
      </c>
      <c r="E14" s="3">
        <v>2873.7</v>
      </c>
      <c r="G14" s="3">
        <v>32090575</v>
      </c>
      <c r="H14" s="3">
        <f t="shared" si="0"/>
        <v>95889847157.5</v>
      </c>
      <c r="J14" s="3">
        <v>148845000</v>
      </c>
      <c r="K14" s="3">
        <f t="shared" si="1"/>
        <v>427735876500</v>
      </c>
      <c r="M14" s="4">
        <f t="shared" si="2"/>
        <v>0.77581995706759477</v>
      </c>
    </row>
    <row r="15" spans="1:13" x14ac:dyDescent="0.45">
      <c r="A15" s="2">
        <v>45924</v>
      </c>
      <c r="B15" s="3">
        <v>3029.35</v>
      </c>
      <c r="D15" s="2">
        <v>45924</v>
      </c>
      <c r="E15" s="3">
        <v>2907.15</v>
      </c>
      <c r="G15" s="3">
        <v>32090575</v>
      </c>
      <c r="H15" s="3">
        <f t="shared" si="0"/>
        <v>97213583376.25</v>
      </c>
      <c r="J15" s="3">
        <v>148845000</v>
      </c>
      <c r="K15" s="3">
        <f t="shared" si="1"/>
        <v>432714741750</v>
      </c>
      <c r="M15" s="4">
        <f t="shared" si="2"/>
        <v>0.77534025537679752</v>
      </c>
    </row>
    <row r="16" spans="1:13" x14ac:dyDescent="0.45">
      <c r="A16" s="2">
        <v>45923</v>
      </c>
      <c r="B16" s="3">
        <v>2952.9</v>
      </c>
      <c r="D16" s="2">
        <v>45923</v>
      </c>
      <c r="E16" s="3">
        <v>2904.35</v>
      </c>
      <c r="G16" s="3">
        <v>32090575</v>
      </c>
      <c r="H16" s="3">
        <f t="shared" si="0"/>
        <v>94760258917.5</v>
      </c>
      <c r="J16" s="3">
        <v>148845000</v>
      </c>
      <c r="K16" s="3">
        <f t="shared" si="1"/>
        <v>432297975750</v>
      </c>
      <c r="M16" s="4">
        <f t="shared" si="2"/>
        <v>0.78079874477066646</v>
      </c>
    </row>
    <row r="17" spans="1:20" x14ac:dyDescent="0.45">
      <c r="A17" s="2">
        <v>45922</v>
      </c>
      <c r="B17" s="3">
        <v>2967.55</v>
      </c>
      <c r="D17" s="2">
        <v>45922</v>
      </c>
      <c r="E17" s="3">
        <v>2913.9</v>
      </c>
      <c r="G17" s="3">
        <v>32090575</v>
      </c>
      <c r="H17" s="3">
        <f t="shared" si="0"/>
        <v>95230385841.25</v>
      </c>
      <c r="J17" s="3">
        <v>148845000</v>
      </c>
      <c r="K17" s="3">
        <f t="shared" si="1"/>
        <v>433719445500</v>
      </c>
      <c r="M17" s="4">
        <f t="shared" si="2"/>
        <v>0.7804332113090604</v>
      </c>
    </row>
    <row r="18" spans="1:20" x14ac:dyDescent="0.45">
      <c r="A18" s="2">
        <v>45919</v>
      </c>
      <c r="B18" s="3">
        <v>2970.05</v>
      </c>
      <c r="D18" s="2">
        <v>45919</v>
      </c>
      <c r="E18" s="3">
        <v>2937.55</v>
      </c>
      <c r="G18" s="3">
        <v>32090575</v>
      </c>
      <c r="H18" s="3">
        <f t="shared" si="0"/>
        <v>95310612278.75</v>
      </c>
      <c r="J18" s="3">
        <v>148845000</v>
      </c>
      <c r="K18" s="3">
        <f t="shared" si="1"/>
        <v>437239629750</v>
      </c>
      <c r="M18" s="4">
        <f t="shared" si="2"/>
        <v>0.78201744353949421</v>
      </c>
    </row>
    <row r="19" spans="1:20" x14ac:dyDescent="0.45">
      <c r="A19" s="2">
        <v>45918</v>
      </c>
      <c r="B19" s="3">
        <v>3013.05</v>
      </c>
      <c r="D19" s="2">
        <v>45918</v>
      </c>
      <c r="E19" s="3">
        <v>2936.8</v>
      </c>
      <c r="G19" s="3">
        <v>32090575</v>
      </c>
      <c r="H19" s="3">
        <f t="shared" si="0"/>
        <v>96690507003.75</v>
      </c>
      <c r="J19" s="3">
        <v>148845000</v>
      </c>
      <c r="K19" s="3">
        <f t="shared" si="1"/>
        <v>437127996000</v>
      </c>
      <c r="M19" s="4">
        <f t="shared" si="2"/>
        <v>0.77880504591668842</v>
      </c>
    </row>
    <row r="20" spans="1:20" x14ac:dyDescent="0.45">
      <c r="A20" s="2">
        <v>45917</v>
      </c>
      <c r="B20" s="3">
        <v>3033.4</v>
      </c>
      <c r="D20" s="2">
        <v>45917</v>
      </c>
      <c r="E20" s="3">
        <v>2948.4</v>
      </c>
      <c r="G20" s="3">
        <v>32090575</v>
      </c>
      <c r="H20" s="3">
        <f t="shared" si="0"/>
        <v>97343550205</v>
      </c>
      <c r="J20" s="3">
        <v>148845000</v>
      </c>
      <c r="K20" s="3">
        <f t="shared" si="1"/>
        <v>438854598000</v>
      </c>
      <c r="M20" s="4">
        <f t="shared" si="2"/>
        <v>0.77818723866942374</v>
      </c>
    </row>
    <row r="21" spans="1:20" x14ac:dyDescent="0.45">
      <c r="A21" s="2">
        <v>45916</v>
      </c>
      <c r="B21" s="3">
        <v>3015.1</v>
      </c>
      <c r="D21" s="2">
        <v>45916</v>
      </c>
      <c r="E21" s="3">
        <v>2951.05</v>
      </c>
      <c r="G21" s="3">
        <v>32090575</v>
      </c>
      <c r="H21" s="3">
        <f t="shared" si="0"/>
        <v>96756292682.5</v>
      </c>
      <c r="J21" s="3">
        <v>148845000</v>
      </c>
      <c r="K21" s="3">
        <f t="shared" si="1"/>
        <v>439249037250</v>
      </c>
      <c r="M21" s="4">
        <f t="shared" si="2"/>
        <v>0.77972338132313124</v>
      </c>
    </row>
    <row r="22" spans="1:20" x14ac:dyDescent="0.45">
      <c r="A22" s="2">
        <v>45915</v>
      </c>
      <c r="B22" s="3">
        <v>2975.75</v>
      </c>
      <c r="D22" s="2">
        <v>45915</v>
      </c>
      <c r="E22" s="3">
        <v>2948.1</v>
      </c>
      <c r="G22" s="3">
        <v>32090575</v>
      </c>
      <c r="H22" s="3">
        <f t="shared" si="0"/>
        <v>95493528556.25</v>
      </c>
      <c r="J22" s="3">
        <v>148845000</v>
      </c>
      <c r="K22" s="3">
        <f t="shared" si="1"/>
        <v>438809944500</v>
      </c>
      <c r="M22" s="4">
        <f t="shared" si="2"/>
        <v>0.78238066444674659</v>
      </c>
    </row>
    <row r="23" spans="1:20" x14ac:dyDescent="0.45">
      <c r="A23" s="2">
        <v>45912</v>
      </c>
      <c r="B23" s="3">
        <v>2985.15</v>
      </c>
      <c r="D23" s="2">
        <v>45912</v>
      </c>
      <c r="E23" s="3">
        <v>2971.35</v>
      </c>
      <c r="G23" s="3">
        <v>32090575</v>
      </c>
      <c r="H23" s="3">
        <f t="shared" si="0"/>
        <v>95795179961.25</v>
      </c>
      <c r="J23" s="3">
        <v>148845000</v>
      </c>
      <c r="K23" s="3">
        <f t="shared" si="1"/>
        <v>442270590750</v>
      </c>
      <c r="M23" s="4">
        <f t="shared" si="2"/>
        <v>0.78340142445645988</v>
      </c>
    </row>
    <row r="24" spans="1:20" x14ac:dyDescent="0.45">
      <c r="A24" s="2">
        <v>45911</v>
      </c>
      <c r="B24" s="3">
        <v>2974.95</v>
      </c>
      <c r="D24" s="2">
        <v>45911</v>
      </c>
      <c r="E24" s="3">
        <v>2985.2</v>
      </c>
      <c r="G24" s="3">
        <v>32090575</v>
      </c>
      <c r="H24" s="3">
        <f t="shared" si="0"/>
        <v>95467856096.25</v>
      </c>
      <c r="J24" s="3">
        <v>148845000</v>
      </c>
      <c r="K24" s="3">
        <f t="shared" si="1"/>
        <v>444332094000</v>
      </c>
      <c r="M24" s="4">
        <f t="shared" si="2"/>
        <v>0.78514301040732382</v>
      </c>
    </row>
    <row r="25" spans="1:20" x14ac:dyDescent="0.45">
      <c r="A25" s="2">
        <v>45910</v>
      </c>
      <c r="B25" s="3">
        <v>3017.7</v>
      </c>
      <c r="D25" s="2">
        <v>45910</v>
      </c>
      <c r="E25" s="3">
        <v>2977.2</v>
      </c>
      <c r="G25" s="3">
        <v>32090575</v>
      </c>
      <c r="H25" s="3">
        <f t="shared" si="0"/>
        <v>96839728177.5</v>
      </c>
      <c r="J25" s="3">
        <v>148845000</v>
      </c>
      <c r="K25" s="3">
        <f t="shared" si="1"/>
        <v>443141334000</v>
      </c>
      <c r="M25" s="4">
        <f t="shared" si="2"/>
        <v>0.78146988162133391</v>
      </c>
    </row>
    <row r="26" spans="1:20" x14ac:dyDescent="0.45">
      <c r="A26" s="2">
        <v>45909</v>
      </c>
      <c r="B26" s="3">
        <v>2968.85</v>
      </c>
      <c r="D26" s="2">
        <v>45909</v>
      </c>
      <c r="E26" s="3">
        <v>2932.35</v>
      </c>
      <c r="G26" s="3">
        <v>32090575</v>
      </c>
      <c r="H26" s="3">
        <f t="shared" si="0"/>
        <v>95272103588.75</v>
      </c>
      <c r="J26" s="3">
        <v>148845000</v>
      </c>
      <c r="K26" s="3">
        <f t="shared" si="1"/>
        <v>436465635750</v>
      </c>
      <c r="M26" s="4">
        <f t="shared" si="2"/>
        <v>0.78171911879147293</v>
      </c>
    </row>
    <row r="27" spans="1:20" ht="14.65" thickBot="1" x14ac:dyDescent="0.5">
      <c r="A27" s="2">
        <v>45908</v>
      </c>
      <c r="B27" s="3">
        <v>2973.55</v>
      </c>
      <c r="D27" s="2">
        <v>45908</v>
      </c>
      <c r="E27" s="3">
        <v>2888.5</v>
      </c>
      <c r="G27" s="3">
        <v>32090575</v>
      </c>
      <c r="H27" s="3">
        <f t="shared" si="0"/>
        <v>95422929291.25</v>
      </c>
      <c r="J27" s="3">
        <v>148845000</v>
      </c>
      <c r="K27" s="3">
        <f t="shared" si="1"/>
        <v>429938782500</v>
      </c>
      <c r="M27" s="4">
        <f t="shared" si="2"/>
        <v>0.7780546134117361</v>
      </c>
    </row>
    <row r="28" spans="1:20" x14ac:dyDescent="0.45">
      <c r="A28" s="2">
        <v>45905</v>
      </c>
      <c r="B28" s="3">
        <v>2951.9</v>
      </c>
      <c r="D28" s="2">
        <v>45905</v>
      </c>
      <c r="E28" s="3">
        <v>2852.4</v>
      </c>
      <c r="G28" s="3">
        <v>32090575</v>
      </c>
      <c r="H28" s="3">
        <f t="shared" si="0"/>
        <v>94728168342.5</v>
      </c>
      <c r="J28" s="3">
        <v>148845000</v>
      </c>
      <c r="K28" s="3">
        <f t="shared" si="1"/>
        <v>424565478000</v>
      </c>
      <c r="M28" s="4">
        <f t="shared" si="2"/>
        <v>0.77688207531913367</v>
      </c>
      <c r="P28" s="53" t="s">
        <v>16</v>
      </c>
      <c r="Q28" s="54"/>
      <c r="R28" s="54"/>
      <c r="S28" s="54"/>
      <c r="T28" s="55"/>
    </row>
    <row r="29" spans="1:20" x14ac:dyDescent="0.45">
      <c r="A29" s="2">
        <v>45904</v>
      </c>
      <c r="B29" s="3">
        <v>2966.15</v>
      </c>
      <c r="D29" s="2">
        <v>45904</v>
      </c>
      <c r="E29" s="3">
        <v>2888.05</v>
      </c>
      <c r="G29" s="3">
        <v>32090575</v>
      </c>
      <c r="H29" s="3">
        <f t="shared" si="0"/>
        <v>95185459036.25</v>
      </c>
      <c r="J29" s="3">
        <v>148845000</v>
      </c>
      <c r="K29" s="3">
        <f t="shared" si="1"/>
        <v>429871802250</v>
      </c>
      <c r="M29" s="4">
        <f t="shared" si="2"/>
        <v>0.77857245221008209</v>
      </c>
      <c r="P29" s="56" t="s">
        <v>6</v>
      </c>
      <c r="Q29" s="57"/>
      <c r="R29" s="57"/>
      <c r="S29" s="57"/>
      <c r="T29" s="58"/>
    </row>
    <row r="30" spans="1:20" x14ac:dyDescent="0.45">
      <c r="A30" s="2">
        <v>45903</v>
      </c>
      <c r="B30" s="3">
        <v>2986.6</v>
      </c>
      <c r="D30" s="2">
        <v>45903</v>
      </c>
      <c r="E30" s="3">
        <v>2946.9</v>
      </c>
      <c r="G30" s="3">
        <v>32090575</v>
      </c>
      <c r="H30" s="3">
        <f t="shared" si="0"/>
        <v>95841711295</v>
      </c>
      <c r="J30" s="3">
        <v>148845000</v>
      </c>
      <c r="K30" s="3">
        <f t="shared" si="1"/>
        <v>438631330500</v>
      </c>
      <c r="M30" s="4">
        <f t="shared" si="2"/>
        <v>0.78149825461453215</v>
      </c>
      <c r="P30" s="6"/>
      <c r="T30" s="15" t="s">
        <v>7</v>
      </c>
    </row>
    <row r="31" spans="1:20" x14ac:dyDescent="0.45">
      <c r="A31" s="2">
        <v>45902</v>
      </c>
      <c r="B31" s="3">
        <v>2983.2</v>
      </c>
      <c r="D31" s="2">
        <v>45902</v>
      </c>
      <c r="E31" s="3">
        <v>2903.15</v>
      </c>
      <c r="G31" s="3">
        <v>32090575</v>
      </c>
      <c r="H31" s="3">
        <f t="shared" si="0"/>
        <v>95732603340</v>
      </c>
      <c r="J31" s="3">
        <v>148845000</v>
      </c>
      <c r="K31" s="3">
        <f t="shared" si="1"/>
        <v>432119361750</v>
      </c>
      <c r="M31" s="4">
        <f t="shared" si="2"/>
        <v>0.77845796366934028</v>
      </c>
      <c r="P31" s="6"/>
      <c r="Q31" s="12" t="s">
        <v>8</v>
      </c>
      <c r="R31" s="12"/>
      <c r="S31" s="13">
        <f>+INDEX(M3:M1243,1)</f>
        <v>0.79031953735015781</v>
      </c>
      <c r="T31" s="14">
        <f>+INDEX($D$3:$D$1244,MATCH(S31,$M$3:$M$1244,0))</f>
        <v>45943</v>
      </c>
    </row>
    <row r="32" spans="1:20" x14ac:dyDescent="0.45">
      <c r="A32" s="2">
        <v>45901</v>
      </c>
      <c r="B32" s="3">
        <v>2950.7</v>
      </c>
      <c r="D32" s="2">
        <v>45901</v>
      </c>
      <c r="E32" s="3">
        <v>2897.2</v>
      </c>
      <c r="G32" s="3">
        <v>32090575</v>
      </c>
      <c r="H32" s="3">
        <f t="shared" si="0"/>
        <v>94689659652.5</v>
      </c>
      <c r="J32" s="3">
        <v>148845000</v>
      </c>
      <c r="K32" s="3">
        <f t="shared" si="1"/>
        <v>431233734000</v>
      </c>
      <c r="M32" s="4">
        <f t="shared" si="2"/>
        <v>0.78042149259941707</v>
      </c>
      <c r="P32" s="6"/>
      <c r="Q32" s="1" t="s">
        <v>9</v>
      </c>
      <c r="S32" s="4">
        <f>+MAX(M3:M1243)</f>
        <v>0.84511295325408176</v>
      </c>
      <c r="T32" s="8">
        <f>+INDEX($D$3:$D$1244,MATCH(S32,$M$3:$M$1244,0))</f>
        <v>44637</v>
      </c>
    </row>
    <row r="33" spans="1:20" x14ac:dyDescent="0.45">
      <c r="A33" s="2">
        <v>45898</v>
      </c>
      <c r="B33" s="3">
        <v>2890.55</v>
      </c>
      <c r="D33" s="2">
        <v>45898</v>
      </c>
      <c r="E33" s="3">
        <v>2841.35</v>
      </c>
      <c r="G33" s="3">
        <v>32090575</v>
      </c>
      <c r="H33" s="3">
        <f t="shared" si="0"/>
        <v>92759411566.25</v>
      </c>
      <c r="J33" s="3">
        <v>148845000</v>
      </c>
      <c r="K33" s="3">
        <f t="shared" si="1"/>
        <v>422920740750</v>
      </c>
      <c r="M33" s="4">
        <f t="shared" si="2"/>
        <v>0.78066951409913798</v>
      </c>
      <c r="P33" s="6"/>
      <c r="Q33" s="1" t="s">
        <v>10</v>
      </c>
      <c r="S33" s="4">
        <f>+MIN(M3:M1243)</f>
        <v>0.67827018743987666</v>
      </c>
      <c r="T33" s="8">
        <f>+INDEX($D$3:$D$1244,MATCH(S33,$M$3:$M$1244,0))</f>
        <v>45219</v>
      </c>
    </row>
    <row r="34" spans="1:20" x14ac:dyDescent="0.45">
      <c r="A34" s="2">
        <v>45897</v>
      </c>
      <c r="B34" s="3">
        <v>2922.55</v>
      </c>
      <c r="D34" s="2">
        <v>45897</v>
      </c>
      <c r="E34" s="3">
        <v>2850.15</v>
      </c>
      <c r="G34" s="3">
        <v>32090575</v>
      </c>
      <c r="H34" s="3">
        <f t="shared" si="0"/>
        <v>93786309966.25</v>
      </c>
      <c r="J34" s="3">
        <v>148845000</v>
      </c>
      <c r="K34" s="3">
        <f t="shared" si="1"/>
        <v>424230576750</v>
      </c>
      <c r="M34" s="4">
        <f t="shared" si="2"/>
        <v>0.77892609560409298</v>
      </c>
      <c r="P34" s="6"/>
      <c r="Q34" s="1" t="s">
        <v>11</v>
      </c>
      <c r="S34" s="4">
        <f>+MEDIAN(M3:M1243)</f>
        <v>0.77607721767448956</v>
      </c>
      <c r="T34" s="7"/>
    </row>
    <row r="35" spans="1:20" ht="14.65" thickBot="1" x14ac:dyDescent="0.5">
      <c r="A35" s="2">
        <v>45895</v>
      </c>
      <c r="B35" s="3">
        <v>2915.25</v>
      </c>
      <c r="D35" s="2">
        <v>45895</v>
      </c>
      <c r="E35" s="3">
        <v>2845.6</v>
      </c>
      <c r="G35" s="3">
        <v>32090575</v>
      </c>
      <c r="H35" s="3">
        <f t="shared" si="0"/>
        <v>93552048768.75</v>
      </c>
      <c r="J35" s="3">
        <v>148845000</v>
      </c>
      <c r="K35" s="3">
        <f t="shared" si="1"/>
        <v>423553332000</v>
      </c>
      <c r="M35" s="4">
        <f t="shared" si="2"/>
        <v>0.77912569279764277</v>
      </c>
      <c r="P35" s="9"/>
      <c r="Q35" s="5" t="s">
        <v>12</v>
      </c>
      <c r="R35" s="5"/>
      <c r="S35" s="10">
        <f>+AVERAGE(M3:M1243)</f>
        <v>0.77579105615732258</v>
      </c>
      <c r="T35" s="11"/>
    </row>
    <row r="36" spans="1:20" x14ac:dyDescent="0.45">
      <c r="A36" s="2">
        <v>45894</v>
      </c>
      <c r="B36" s="3">
        <v>2930.25</v>
      </c>
      <c r="D36" s="2">
        <v>45894</v>
      </c>
      <c r="E36" s="3">
        <v>2914.95</v>
      </c>
      <c r="G36" s="3">
        <v>32090575</v>
      </c>
      <c r="H36" s="3">
        <f t="shared" si="0"/>
        <v>94033407393.75</v>
      </c>
      <c r="J36" s="3">
        <v>148845000</v>
      </c>
      <c r="K36" s="3">
        <f t="shared" si="1"/>
        <v>433875732750</v>
      </c>
      <c r="M36" s="4">
        <f t="shared" si="2"/>
        <v>0.78327110668820876</v>
      </c>
    </row>
    <row r="37" spans="1:20" x14ac:dyDescent="0.45">
      <c r="A37" s="2">
        <v>45891</v>
      </c>
      <c r="B37" s="3">
        <v>2937</v>
      </c>
      <c r="D37" s="2">
        <v>45891</v>
      </c>
      <c r="E37" s="3">
        <v>2916.1</v>
      </c>
      <c r="G37" s="3">
        <v>32090575</v>
      </c>
      <c r="H37" s="3">
        <f t="shared" si="0"/>
        <v>94250018775</v>
      </c>
      <c r="J37" s="3">
        <v>148845000</v>
      </c>
      <c r="K37" s="3">
        <f t="shared" si="1"/>
        <v>434046904500</v>
      </c>
      <c r="M37" s="4">
        <f t="shared" si="2"/>
        <v>0.78285752577000578</v>
      </c>
    </row>
    <row r="38" spans="1:20" x14ac:dyDescent="0.45">
      <c r="A38" s="2">
        <v>45890</v>
      </c>
      <c r="B38" s="3">
        <v>2942</v>
      </c>
      <c r="D38" s="2">
        <v>45890</v>
      </c>
      <c r="E38" s="3">
        <v>2916.15</v>
      </c>
      <c r="G38" s="3">
        <v>32090575</v>
      </c>
      <c r="H38" s="3">
        <f t="shared" si="0"/>
        <v>94410471650</v>
      </c>
      <c r="J38" s="3">
        <v>148845000</v>
      </c>
      <c r="K38" s="3">
        <f t="shared" si="1"/>
        <v>434054346750</v>
      </c>
      <c r="M38" s="4">
        <f t="shared" si="2"/>
        <v>0.78249158807669517</v>
      </c>
    </row>
    <row r="39" spans="1:20" x14ac:dyDescent="0.45">
      <c r="A39" s="2">
        <v>45889</v>
      </c>
      <c r="B39" s="3">
        <v>2943.05</v>
      </c>
      <c r="D39" s="2">
        <v>45889</v>
      </c>
      <c r="E39" s="3">
        <v>2925.35</v>
      </c>
      <c r="G39" s="3">
        <v>32090575</v>
      </c>
      <c r="H39" s="3">
        <f t="shared" si="0"/>
        <v>94444166753.75</v>
      </c>
      <c r="J39" s="3">
        <v>148845000</v>
      </c>
      <c r="K39" s="3">
        <f t="shared" si="1"/>
        <v>435423720750</v>
      </c>
      <c r="M39" s="4">
        <f t="shared" si="2"/>
        <v>0.78309825061649452</v>
      </c>
    </row>
    <row r="40" spans="1:20" x14ac:dyDescent="0.45">
      <c r="A40" s="2">
        <v>45888</v>
      </c>
      <c r="B40" s="3">
        <v>2984.65</v>
      </c>
      <c r="D40" s="2">
        <v>45888</v>
      </c>
      <c r="E40" s="3">
        <v>2928.8</v>
      </c>
      <c r="G40" s="3">
        <v>32090575</v>
      </c>
      <c r="H40" s="3">
        <f t="shared" si="0"/>
        <v>95779134673.75</v>
      </c>
      <c r="J40" s="3">
        <v>148845000</v>
      </c>
      <c r="K40" s="3">
        <f t="shared" si="1"/>
        <v>435937236000</v>
      </c>
      <c r="M40" s="4">
        <f t="shared" si="2"/>
        <v>0.78029145765894148</v>
      </c>
    </row>
    <row r="41" spans="1:20" x14ac:dyDescent="0.45">
      <c r="A41" s="2">
        <v>45887</v>
      </c>
      <c r="B41" s="3">
        <v>2983.6</v>
      </c>
      <c r="D41" s="2">
        <v>45887</v>
      </c>
      <c r="E41" s="3">
        <v>2930.8</v>
      </c>
      <c r="G41" s="3">
        <v>32090575</v>
      </c>
      <c r="H41" s="3">
        <f t="shared" si="0"/>
        <v>95745439570</v>
      </c>
      <c r="J41" s="3">
        <v>148845000</v>
      </c>
      <c r="K41" s="3">
        <f t="shared" si="1"/>
        <v>436234926000</v>
      </c>
      <c r="M41" s="4">
        <f t="shared" si="2"/>
        <v>0.78051862915258652</v>
      </c>
    </row>
    <row r="42" spans="1:20" x14ac:dyDescent="0.45">
      <c r="A42" s="2">
        <v>45883</v>
      </c>
      <c r="B42" s="3">
        <v>2963.7</v>
      </c>
      <c r="D42" s="2">
        <v>45883</v>
      </c>
      <c r="E42" s="3">
        <v>2842.75</v>
      </c>
      <c r="G42" s="3">
        <v>32090575</v>
      </c>
      <c r="H42" s="3">
        <f t="shared" si="0"/>
        <v>95106837127.5</v>
      </c>
      <c r="J42" s="3">
        <v>148845000</v>
      </c>
      <c r="K42" s="3">
        <f t="shared" si="1"/>
        <v>423129123750</v>
      </c>
      <c r="M42" s="4">
        <f t="shared" si="2"/>
        <v>0.77522975425418228</v>
      </c>
    </row>
    <row r="43" spans="1:20" x14ac:dyDescent="0.45">
      <c r="A43" s="2">
        <v>45882</v>
      </c>
      <c r="B43" s="3">
        <v>2964.75</v>
      </c>
      <c r="D43" s="2">
        <v>45882</v>
      </c>
      <c r="E43" s="3">
        <v>2852.4</v>
      </c>
      <c r="G43" s="3">
        <v>32090575</v>
      </c>
      <c r="H43" s="3">
        <f t="shared" si="0"/>
        <v>95140532231.25</v>
      </c>
      <c r="J43" s="3">
        <v>148845000</v>
      </c>
      <c r="K43" s="3">
        <f t="shared" si="1"/>
        <v>424565478000</v>
      </c>
      <c r="M43" s="4">
        <f t="shared" si="2"/>
        <v>0.77591081432379205</v>
      </c>
    </row>
    <row r="44" spans="1:20" x14ac:dyDescent="0.45">
      <c r="A44" s="2">
        <v>45881</v>
      </c>
      <c r="B44" s="3">
        <v>2969.8</v>
      </c>
      <c r="D44" s="2">
        <v>45881</v>
      </c>
      <c r="E44" s="3">
        <v>2842.3</v>
      </c>
      <c r="G44" s="3">
        <v>32090575</v>
      </c>
      <c r="H44" s="3">
        <f t="shared" si="0"/>
        <v>95302589635</v>
      </c>
      <c r="J44" s="3">
        <v>148845000</v>
      </c>
      <c r="K44" s="3">
        <f t="shared" si="1"/>
        <v>423062143500</v>
      </c>
      <c r="M44" s="4">
        <f t="shared" si="2"/>
        <v>0.77473146416136385</v>
      </c>
    </row>
    <row r="45" spans="1:20" x14ac:dyDescent="0.45">
      <c r="A45" s="2">
        <v>45880</v>
      </c>
      <c r="B45" s="3">
        <v>2968.7</v>
      </c>
      <c r="D45" s="2">
        <v>45880</v>
      </c>
      <c r="E45" s="3">
        <v>2878.5</v>
      </c>
      <c r="G45" s="3">
        <v>32090575</v>
      </c>
      <c r="H45" s="3">
        <f t="shared" si="0"/>
        <v>95267290002.5</v>
      </c>
      <c r="J45" s="3">
        <v>148845000</v>
      </c>
      <c r="K45" s="3">
        <f t="shared" si="1"/>
        <v>428450332500</v>
      </c>
      <c r="M45" s="4">
        <f t="shared" si="2"/>
        <v>0.77764682910474814</v>
      </c>
    </row>
    <row r="46" spans="1:20" x14ac:dyDescent="0.45">
      <c r="A46" s="2">
        <v>45877</v>
      </c>
      <c r="B46" s="3">
        <v>2986.15</v>
      </c>
      <c r="D46" s="2">
        <v>45877</v>
      </c>
      <c r="E46" s="3">
        <v>2859.75</v>
      </c>
      <c r="G46" s="3">
        <v>32090575</v>
      </c>
      <c r="H46" s="3">
        <f t="shared" si="0"/>
        <v>95827270536.25</v>
      </c>
      <c r="J46" s="3">
        <v>148845000</v>
      </c>
      <c r="K46" s="3">
        <f t="shared" si="1"/>
        <v>425659488750</v>
      </c>
      <c r="M46" s="4">
        <f t="shared" si="2"/>
        <v>0.77487340686881379</v>
      </c>
    </row>
    <row r="47" spans="1:20" x14ac:dyDescent="0.45">
      <c r="A47" s="2">
        <v>45876</v>
      </c>
      <c r="B47" s="3">
        <v>2993.35</v>
      </c>
      <c r="D47" s="2">
        <v>45876</v>
      </c>
      <c r="E47" s="3">
        <v>2903.45</v>
      </c>
      <c r="G47" s="3">
        <v>32090575</v>
      </c>
      <c r="H47" s="3">
        <f t="shared" si="0"/>
        <v>96058322676.25</v>
      </c>
      <c r="J47" s="3">
        <v>148845000</v>
      </c>
      <c r="K47" s="3">
        <f t="shared" si="1"/>
        <v>432164015250</v>
      </c>
      <c r="M47" s="4">
        <f t="shared" si="2"/>
        <v>0.77772716078481963</v>
      </c>
    </row>
    <row r="48" spans="1:20" x14ac:dyDescent="0.45">
      <c r="A48" s="2">
        <v>45875</v>
      </c>
      <c r="B48" s="3">
        <v>3041.25</v>
      </c>
      <c r="D48" s="2">
        <v>45875</v>
      </c>
      <c r="E48" s="3">
        <v>2968.8</v>
      </c>
      <c r="G48" s="3">
        <v>32090575</v>
      </c>
      <c r="H48" s="3">
        <f t="shared" si="0"/>
        <v>97595461218.75</v>
      </c>
      <c r="J48" s="3">
        <v>148845000</v>
      </c>
      <c r="K48" s="3">
        <f t="shared" si="1"/>
        <v>441891036000</v>
      </c>
      <c r="M48" s="4">
        <f t="shared" si="2"/>
        <v>0.77914134194215701</v>
      </c>
    </row>
    <row r="49" spans="1:13" x14ac:dyDescent="0.45">
      <c r="A49" s="2">
        <v>45874</v>
      </c>
      <c r="B49" s="3">
        <v>3104.8</v>
      </c>
      <c r="D49" s="2">
        <v>45874</v>
      </c>
      <c r="E49" s="3">
        <v>3041.7</v>
      </c>
      <c r="G49" s="3">
        <v>32090575</v>
      </c>
      <c r="H49" s="3">
        <f t="shared" si="0"/>
        <v>99634817260</v>
      </c>
      <c r="J49" s="3">
        <v>148845000</v>
      </c>
      <c r="K49" s="3">
        <f t="shared" si="1"/>
        <v>452741836500</v>
      </c>
      <c r="M49" s="4">
        <f t="shared" si="2"/>
        <v>0.77993017382655783</v>
      </c>
    </row>
    <row r="50" spans="1:13" x14ac:dyDescent="0.45">
      <c r="A50" s="2">
        <v>45873</v>
      </c>
      <c r="B50" s="3">
        <v>3077.9</v>
      </c>
      <c r="D50" s="2">
        <v>45873</v>
      </c>
      <c r="E50" s="3">
        <v>3050.95</v>
      </c>
      <c r="G50" s="3">
        <v>32090575</v>
      </c>
      <c r="H50" s="3">
        <f t="shared" si="0"/>
        <v>98771580792.5</v>
      </c>
      <c r="J50" s="3">
        <v>148845000</v>
      </c>
      <c r="K50" s="3">
        <f t="shared" si="1"/>
        <v>454118652750</v>
      </c>
      <c r="M50" s="4">
        <f t="shared" si="2"/>
        <v>0.78249829599737797</v>
      </c>
    </row>
    <row r="51" spans="1:13" x14ac:dyDescent="0.45">
      <c r="A51" s="2">
        <v>45870</v>
      </c>
      <c r="B51" s="3">
        <v>3028.75</v>
      </c>
      <c r="D51" s="2">
        <v>45870</v>
      </c>
      <c r="E51" s="3">
        <v>2983.9</v>
      </c>
      <c r="G51" s="3">
        <v>32090575</v>
      </c>
      <c r="H51" s="3">
        <f t="shared" si="0"/>
        <v>97194329031.25</v>
      </c>
      <c r="J51" s="3">
        <v>148845000</v>
      </c>
      <c r="K51" s="3">
        <f t="shared" si="1"/>
        <v>444138595500</v>
      </c>
      <c r="M51" s="4">
        <f t="shared" si="2"/>
        <v>0.7811621642072536</v>
      </c>
    </row>
    <row r="52" spans="1:13" x14ac:dyDescent="0.45">
      <c r="A52" s="2">
        <v>45869</v>
      </c>
      <c r="B52" s="3">
        <v>3057.95</v>
      </c>
      <c r="D52" s="2">
        <v>45869</v>
      </c>
      <c r="E52" s="3">
        <v>3037.75</v>
      </c>
      <c r="G52" s="3">
        <v>32090575</v>
      </c>
      <c r="H52" s="3">
        <f t="shared" si="0"/>
        <v>98131373821.25</v>
      </c>
      <c r="J52" s="3">
        <v>148845000</v>
      </c>
      <c r="K52" s="3">
        <f t="shared" si="1"/>
        <v>452153898750</v>
      </c>
      <c r="M52" s="4">
        <f t="shared" si="2"/>
        <v>0.78296908620596073</v>
      </c>
    </row>
    <row r="53" spans="1:13" x14ac:dyDescent="0.45">
      <c r="A53" s="2">
        <v>45868</v>
      </c>
      <c r="B53" s="3">
        <v>3084.6</v>
      </c>
      <c r="D53" s="2">
        <v>45868</v>
      </c>
      <c r="E53" s="3">
        <v>3085.75</v>
      </c>
      <c r="G53" s="3">
        <v>32090575</v>
      </c>
      <c r="H53" s="3">
        <f t="shared" si="0"/>
        <v>98986587645</v>
      </c>
      <c r="J53" s="3">
        <v>148845000</v>
      </c>
      <c r="K53" s="3">
        <f t="shared" si="1"/>
        <v>459298458750</v>
      </c>
      <c r="M53" s="4">
        <f t="shared" si="2"/>
        <v>0.78448308336501682</v>
      </c>
    </row>
    <row r="54" spans="1:13" x14ac:dyDescent="0.45">
      <c r="A54" s="2">
        <v>45867</v>
      </c>
      <c r="B54" s="3">
        <v>3102.7</v>
      </c>
      <c r="D54" s="2">
        <v>45867</v>
      </c>
      <c r="E54" s="3">
        <v>3112.1</v>
      </c>
      <c r="G54" s="3">
        <v>32090575</v>
      </c>
      <c r="H54" s="3">
        <f t="shared" si="0"/>
        <v>99567427052.5</v>
      </c>
      <c r="J54" s="3">
        <v>148845000</v>
      </c>
      <c r="K54" s="3">
        <f t="shared" si="1"/>
        <v>463220524500</v>
      </c>
      <c r="M54" s="4">
        <f t="shared" si="2"/>
        <v>0.78505393913628274</v>
      </c>
    </row>
    <row r="55" spans="1:13" x14ac:dyDescent="0.45">
      <c r="A55" s="2">
        <v>45866</v>
      </c>
      <c r="B55" s="3">
        <v>3092.95</v>
      </c>
      <c r="D55" s="2">
        <v>45866</v>
      </c>
      <c r="E55" s="3">
        <v>3056.15</v>
      </c>
      <c r="G55" s="3">
        <v>32090575</v>
      </c>
      <c r="H55" s="3">
        <f t="shared" si="0"/>
        <v>99254543946.25</v>
      </c>
      <c r="J55" s="3">
        <v>148845000</v>
      </c>
      <c r="K55" s="3">
        <f t="shared" si="1"/>
        <v>454892646750</v>
      </c>
      <c r="M55" s="4">
        <f t="shared" si="2"/>
        <v>0.78180666437371904</v>
      </c>
    </row>
    <row r="56" spans="1:13" x14ac:dyDescent="0.45">
      <c r="A56" s="2">
        <v>45863</v>
      </c>
      <c r="B56" s="3">
        <v>3055.55</v>
      </c>
      <c r="D56" s="2">
        <v>45863</v>
      </c>
      <c r="E56" s="3">
        <v>3039.85</v>
      </c>
      <c r="G56" s="3">
        <v>32090575</v>
      </c>
      <c r="H56" s="3">
        <f t="shared" si="0"/>
        <v>98054356441.25</v>
      </c>
      <c r="J56" s="3">
        <v>148845000</v>
      </c>
      <c r="K56" s="3">
        <f t="shared" si="1"/>
        <v>452466473250</v>
      </c>
      <c r="M56" s="4">
        <f t="shared" si="2"/>
        <v>0.78328923304098086</v>
      </c>
    </row>
    <row r="57" spans="1:13" x14ac:dyDescent="0.45">
      <c r="A57" s="2">
        <v>45862</v>
      </c>
      <c r="B57" s="3">
        <v>3083.6</v>
      </c>
      <c r="D57" s="2">
        <v>45862</v>
      </c>
      <c r="E57" s="3">
        <v>3144.4</v>
      </c>
      <c r="G57" s="3">
        <v>32090575</v>
      </c>
      <c r="H57" s="3">
        <f t="shared" si="0"/>
        <v>98954497070</v>
      </c>
      <c r="J57" s="3">
        <v>148845000</v>
      </c>
      <c r="K57" s="3">
        <f t="shared" si="1"/>
        <v>468028218000</v>
      </c>
      <c r="M57" s="4">
        <f t="shared" si="2"/>
        <v>0.78857151499784139</v>
      </c>
    </row>
    <row r="58" spans="1:13" x14ac:dyDescent="0.45">
      <c r="A58" s="2">
        <v>45861</v>
      </c>
      <c r="B58" s="3">
        <v>3136.95</v>
      </c>
      <c r="D58" s="2">
        <v>45861</v>
      </c>
      <c r="E58" s="3">
        <v>3194.7</v>
      </c>
      <c r="G58" s="3">
        <v>32090575</v>
      </c>
      <c r="H58" s="3">
        <f t="shared" si="0"/>
        <v>100666529246.25</v>
      </c>
      <c r="J58" s="3">
        <v>148845000</v>
      </c>
      <c r="K58" s="3">
        <f t="shared" si="1"/>
        <v>475515121500</v>
      </c>
      <c r="M58" s="4">
        <f t="shared" si="2"/>
        <v>0.78830004621367233</v>
      </c>
    </row>
    <row r="59" spans="1:13" x14ac:dyDescent="0.45">
      <c r="A59" s="2">
        <v>45860</v>
      </c>
      <c r="B59" s="3">
        <v>3109.15</v>
      </c>
      <c r="D59" s="2">
        <v>45860</v>
      </c>
      <c r="E59" s="3">
        <v>3137.55</v>
      </c>
      <c r="G59" s="3">
        <v>32090575</v>
      </c>
      <c r="H59" s="3">
        <f t="shared" si="0"/>
        <v>99774411261.25</v>
      </c>
      <c r="J59" s="3">
        <v>148845000</v>
      </c>
      <c r="K59" s="3">
        <f t="shared" si="1"/>
        <v>467008629750</v>
      </c>
      <c r="M59" s="4">
        <f t="shared" si="2"/>
        <v>0.78635424507109974</v>
      </c>
    </row>
    <row r="60" spans="1:13" x14ac:dyDescent="0.45">
      <c r="A60" s="2">
        <v>45859</v>
      </c>
      <c r="B60" s="3">
        <v>3090.6</v>
      </c>
      <c r="D60" s="2">
        <v>45859</v>
      </c>
      <c r="E60" s="3">
        <v>3130.75</v>
      </c>
      <c r="G60" s="3">
        <v>32090575</v>
      </c>
      <c r="H60" s="3">
        <f t="shared" si="0"/>
        <v>99179131095</v>
      </c>
      <c r="J60" s="3">
        <v>148845000</v>
      </c>
      <c r="K60" s="3">
        <f t="shared" si="1"/>
        <v>465996483750</v>
      </c>
      <c r="M60" s="4">
        <f t="shared" si="2"/>
        <v>0.78716764062921962</v>
      </c>
    </row>
    <row r="61" spans="1:13" x14ac:dyDescent="0.45">
      <c r="A61" s="2">
        <v>45856</v>
      </c>
      <c r="B61" s="3">
        <v>3065</v>
      </c>
      <c r="D61" s="2">
        <v>45856</v>
      </c>
      <c r="E61" s="3">
        <v>3185.75</v>
      </c>
      <c r="G61" s="3">
        <v>32090575</v>
      </c>
      <c r="H61" s="3">
        <f t="shared" si="0"/>
        <v>98357612375</v>
      </c>
      <c r="J61" s="3">
        <v>148845000</v>
      </c>
      <c r="K61" s="3">
        <f t="shared" si="1"/>
        <v>474182958750</v>
      </c>
      <c r="M61" s="4">
        <f t="shared" si="2"/>
        <v>0.79257455258560572</v>
      </c>
    </row>
    <row r="62" spans="1:13" x14ac:dyDescent="0.45">
      <c r="A62" s="2">
        <v>45855</v>
      </c>
      <c r="B62" s="3">
        <v>3078.25</v>
      </c>
      <c r="D62" s="2">
        <v>45855</v>
      </c>
      <c r="E62" s="3">
        <v>3201.75</v>
      </c>
      <c r="G62" s="3">
        <v>32090575</v>
      </c>
      <c r="H62" s="3">
        <f t="shared" si="0"/>
        <v>98782812493.75</v>
      </c>
      <c r="J62" s="3">
        <v>148845000</v>
      </c>
      <c r="K62" s="3">
        <f t="shared" si="1"/>
        <v>476564478750</v>
      </c>
      <c r="M62" s="4">
        <f t="shared" si="2"/>
        <v>0.79271889345833879</v>
      </c>
    </row>
    <row r="63" spans="1:13" x14ac:dyDescent="0.45">
      <c r="A63" s="2">
        <v>45854</v>
      </c>
      <c r="B63" s="3">
        <v>3071.6</v>
      </c>
      <c r="D63" s="2">
        <v>45854</v>
      </c>
      <c r="E63" s="3">
        <v>3201.25</v>
      </c>
      <c r="G63" s="3">
        <v>32090575</v>
      </c>
      <c r="H63" s="3">
        <f t="shared" si="0"/>
        <v>98569410170</v>
      </c>
      <c r="J63" s="3">
        <v>148845000</v>
      </c>
      <c r="K63" s="3">
        <f t="shared" si="1"/>
        <v>476490056250</v>
      </c>
      <c r="M63" s="4">
        <f t="shared" si="2"/>
        <v>0.79313438155300431</v>
      </c>
    </row>
    <row r="64" spans="1:13" x14ac:dyDescent="0.45">
      <c r="A64" s="2">
        <v>45853</v>
      </c>
      <c r="B64" s="3">
        <v>3085.95</v>
      </c>
      <c r="D64" s="2">
        <v>45853</v>
      </c>
      <c r="E64" s="3">
        <v>3226.25</v>
      </c>
      <c r="G64" s="3">
        <v>32090575</v>
      </c>
      <c r="H64" s="3">
        <f t="shared" si="0"/>
        <v>99029909921.25</v>
      </c>
      <c r="J64" s="3">
        <v>148845000</v>
      </c>
      <c r="K64" s="3">
        <f t="shared" si="1"/>
        <v>480211181250</v>
      </c>
      <c r="M64" s="4">
        <f t="shared" si="2"/>
        <v>0.79377841710500574</v>
      </c>
    </row>
    <row r="65" spans="1:13" x14ac:dyDescent="0.45">
      <c r="A65" s="2">
        <v>45852</v>
      </c>
      <c r="B65" s="3">
        <v>3079.4</v>
      </c>
      <c r="D65" s="2">
        <v>45852</v>
      </c>
      <c r="E65" s="3">
        <v>3167.95</v>
      </c>
      <c r="G65" s="3">
        <v>32090575</v>
      </c>
      <c r="H65" s="3">
        <f t="shared" si="0"/>
        <v>98819716655</v>
      </c>
      <c r="J65" s="3">
        <v>148845000</v>
      </c>
      <c r="K65" s="3">
        <f t="shared" si="1"/>
        <v>471533517750</v>
      </c>
      <c r="M65" s="4">
        <f t="shared" si="2"/>
        <v>0.79042907251528038</v>
      </c>
    </row>
    <row r="66" spans="1:13" x14ac:dyDescent="0.45">
      <c r="A66" s="2">
        <v>45849</v>
      </c>
      <c r="B66" s="3">
        <v>3098.75</v>
      </c>
      <c r="D66" s="2">
        <v>45849</v>
      </c>
      <c r="E66" s="3">
        <v>3178.95</v>
      </c>
      <c r="G66" s="3">
        <v>32090575</v>
      </c>
      <c r="H66" s="3">
        <f t="shared" si="0"/>
        <v>99440669281.25</v>
      </c>
      <c r="J66" s="3">
        <v>148845000</v>
      </c>
      <c r="K66" s="3">
        <f t="shared" si="1"/>
        <v>473170812750</v>
      </c>
      <c r="M66" s="4">
        <f t="shared" si="2"/>
        <v>0.78984192050368596</v>
      </c>
    </row>
    <row r="67" spans="1:13" x14ac:dyDescent="0.45">
      <c r="A67" s="2">
        <v>45848</v>
      </c>
      <c r="B67" s="3">
        <v>3103.1</v>
      </c>
      <c r="D67" s="2">
        <v>45848</v>
      </c>
      <c r="E67" s="3">
        <v>3254.8</v>
      </c>
      <c r="G67" s="3">
        <v>32090575</v>
      </c>
      <c r="H67" s="3">
        <f t="shared" si="0"/>
        <v>99580263282.5</v>
      </c>
      <c r="J67" s="3">
        <v>148845000</v>
      </c>
      <c r="K67" s="3">
        <f t="shared" si="1"/>
        <v>484460706000</v>
      </c>
      <c r="M67" s="4">
        <f t="shared" si="2"/>
        <v>0.79445131039688488</v>
      </c>
    </row>
    <row r="68" spans="1:13" x14ac:dyDescent="0.45">
      <c r="A68" s="2">
        <v>45847</v>
      </c>
      <c r="B68" s="3">
        <v>3134.05</v>
      </c>
      <c r="D68" s="2">
        <v>45847</v>
      </c>
      <c r="E68" s="3">
        <v>3279.05</v>
      </c>
      <c r="G68" s="3">
        <v>32090575</v>
      </c>
      <c r="H68" s="3">
        <f t="shared" ref="H68:H131" si="3">+G68*B68</f>
        <v>100573466578.75</v>
      </c>
      <c r="J68" s="3">
        <v>148845000</v>
      </c>
      <c r="K68" s="3">
        <f t="shared" ref="K68:K131" si="4">+J68*E68</f>
        <v>488070197250</v>
      </c>
      <c r="M68" s="4">
        <f t="shared" ref="M68:M131" si="5">1- (H68/K68)</f>
        <v>0.79393647236519516</v>
      </c>
    </row>
    <row r="69" spans="1:13" x14ac:dyDescent="0.45">
      <c r="A69" s="2">
        <v>45846</v>
      </c>
      <c r="B69" s="3">
        <v>3151.35</v>
      </c>
      <c r="D69" s="2">
        <v>45846</v>
      </c>
      <c r="E69" s="3">
        <v>3286.9</v>
      </c>
      <c r="G69" s="3">
        <v>32090575</v>
      </c>
      <c r="H69" s="3">
        <f t="shared" si="3"/>
        <v>101128633526.25</v>
      </c>
      <c r="J69" s="3">
        <v>148845000</v>
      </c>
      <c r="K69" s="3">
        <f t="shared" si="4"/>
        <v>489238630500</v>
      </c>
      <c r="M69" s="4">
        <f t="shared" si="5"/>
        <v>0.79329385044084333</v>
      </c>
    </row>
    <row r="70" spans="1:13" x14ac:dyDescent="0.45">
      <c r="A70" s="2">
        <v>45845</v>
      </c>
      <c r="B70" s="3">
        <v>3133.8</v>
      </c>
      <c r="D70" s="2">
        <v>45845</v>
      </c>
      <c r="E70" s="3">
        <v>3239.5</v>
      </c>
      <c r="G70" s="3">
        <v>32090575</v>
      </c>
      <c r="H70" s="3">
        <f t="shared" si="3"/>
        <v>100565443935</v>
      </c>
      <c r="J70" s="3">
        <v>148845000</v>
      </c>
      <c r="K70" s="3">
        <f t="shared" si="4"/>
        <v>482183377500</v>
      </c>
      <c r="M70" s="4">
        <f t="shared" si="5"/>
        <v>0.79143734805540866</v>
      </c>
    </row>
    <row r="71" spans="1:13" x14ac:dyDescent="0.45">
      <c r="A71" s="2">
        <v>45842</v>
      </c>
      <c r="B71" s="3">
        <v>3180.1</v>
      </c>
      <c r="D71" s="2">
        <v>45842</v>
      </c>
      <c r="E71" s="3">
        <v>3229.9</v>
      </c>
      <c r="G71" s="3">
        <v>32090575</v>
      </c>
      <c r="H71" s="3">
        <f t="shared" si="3"/>
        <v>102051237557.5</v>
      </c>
      <c r="J71" s="3">
        <v>148845000</v>
      </c>
      <c r="K71" s="3">
        <f t="shared" si="4"/>
        <v>480754465500</v>
      </c>
      <c r="M71" s="4">
        <f t="shared" si="5"/>
        <v>0.78772690660010103</v>
      </c>
    </row>
    <row r="72" spans="1:13" x14ac:dyDescent="0.45">
      <c r="A72" s="2">
        <v>45841</v>
      </c>
      <c r="B72" s="3">
        <v>3101.85</v>
      </c>
      <c r="D72" s="2">
        <v>45841</v>
      </c>
      <c r="E72" s="3">
        <v>3233.05</v>
      </c>
      <c r="G72" s="3">
        <v>32090575</v>
      </c>
      <c r="H72" s="3">
        <f t="shared" si="3"/>
        <v>99540150063.75</v>
      </c>
      <c r="J72" s="3">
        <v>148845000</v>
      </c>
      <c r="K72" s="3">
        <f t="shared" si="4"/>
        <v>481223327250</v>
      </c>
      <c r="M72" s="4">
        <f t="shared" si="5"/>
        <v>0.79315186021304829</v>
      </c>
    </row>
    <row r="73" spans="1:13" x14ac:dyDescent="0.45">
      <c r="A73" s="2">
        <v>45840</v>
      </c>
      <c r="B73" s="3">
        <v>3064.05</v>
      </c>
      <c r="D73" s="2">
        <v>45840</v>
      </c>
      <c r="E73" s="3">
        <v>3251.8</v>
      </c>
      <c r="G73" s="3">
        <v>32090575</v>
      </c>
      <c r="H73" s="3">
        <f t="shared" si="3"/>
        <v>98327126328.75</v>
      </c>
      <c r="J73" s="3">
        <v>148845000</v>
      </c>
      <c r="K73" s="3">
        <f t="shared" si="4"/>
        <v>484014171000</v>
      </c>
      <c r="M73" s="4">
        <f t="shared" si="5"/>
        <v>0.79685072830491566</v>
      </c>
    </row>
    <row r="74" spans="1:13" x14ac:dyDescent="0.45">
      <c r="A74" s="2">
        <v>45839</v>
      </c>
      <c r="B74" s="3">
        <v>2960.9</v>
      </c>
      <c r="D74" s="2">
        <v>45839</v>
      </c>
      <c r="E74" s="3">
        <v>3199.05</v>
      </c>
      <c r="G74" s="3">
        <v>32090575</v>
      </c>
      <c r="H74" s="3">
        <f t="shared" si="3"/>
        <v>95016983517.5</v>
      </c>
      <c r="J74" s="3">
        <v>148845000</v>
      </c>
      <c r="K74" s="3">
        <f t="shared" si="4"/>
        <v>476162597250</v>
      </c>
      <c r="M74" s="4">
        <f t="shared" si="5"/>
        <v>0.80045265195910975</v>
      </c>
    </row>
    <row r="75" spans="1:13" x14ac:dyDescent="0.45">
      <c r="A75" s="2">
        <v>45838</v>
      </c>
      <c r="B75" s="3">
        <v>2947.9</v>
      </c>
      <c r="D75" s="2">
        <v>45838</v>
      </c>
      <c r="E75" s="3">
        <v>3244.85</v>
      </c>
      <c r="G75" s="3">
        <v>32090575</v>
      </c>
      <c r="H75" s="3">
        <f t="shared" si="3"/>
        <v>94599806042.5</v>
      </c>
      <c r="J75" s="3">
        <v>148845000</v>
      </c>
      <c r="K75" s="3">
        <f t="shared" si="4"/>
        <v>482979698250</v>
      </c>
      <c r="M75" s="4">
        <f t="shared" si="5"/>
        <v>0.80413295551496811</v>
      </c>
    </row>
    <row r="76" spans="1:13" x14ac:dyDescent="0.45">
      <c r="A76" s="2">
        <v>45835</v>
      </c>
      <c r="B76" s="3">
        <v>2903.1</v>
      </c>
      <c r="D76" s="2">
        <v>45835</v>
      </c>
      <c r="E76" s="3">
        <v>3169.55</v>
      </c>
      <c r="G76" s="3">
        <v>32090575</v>
      </c>
      <c r="H76" s="3">
        <f t="shared" si="3"/>
        <v>93162148282.5</v>
      </c>
      <c r="J76" s="3">
        <v>148845000</v>
      </c>
      <c r="K76" s="3">
        <f t="shared" si="4"/>
        <v>471771669750</v>
      </c>
      <c r="M76" s="4">
        <f t="shared" si="5"/>
        <v>0.80252703954888127</v>
      </c>
    </row>
    <row r="77" spans="1:13" x14ac:dyDescent="0.45">
      <c r="A77" s="2">
        <v>45834</v>
      </c>
      <c r="B77" s="3">
        <v>2946.7</v>
      </c>
      <c r="D77" s="2">
        <v>45834</v>
      </c>
      <c r="E77" s="3">
        <v>3134.3</v>
      </c>
      <c r="G77" s="3">
        <v>32090575</v>
      </c>
      <c r="H77" s="3">
        <f t="shared" si="3"/>
        <v>94561297352.5</v>
      </c>
      <c r="J77" s="3">
        <v>148845000</v>
      </c>
      <c r="K77" s="3">
        <f t="shared" si="4"/>
        <v>466524883500</v>
      </c>
      <c r="M77" s="4">
        <f t="shared" si="5"/>
        <v>0.79730706614602265</v>
      </c>
    </row>
    <row r="78" spans="1:13" x14ac:dyDescent="0.45">
      <c r="A78" s="2">
        <v>45833</v>
      </c>
      <c r="B78" s="3">
        <v>2919.3</v>
      </c>
      <c r="D78" s="2">
        <v>45833</v>
      </c>
      <c r="E78" s="3">
        <v>3081.55</v>
      </c>
      <c r="G78" s="3">
        <v>32090575</v>
      </c>
      <c r="H78" s="3">
        <f t="shared" si="3"/>
        <v>93682015597.5</v>
      </c>
      <c r="J78" s="3">
        <v>148845000</v>
      </c>
      <c r="K78" s="3">
        <f t="shared" si="4"/>
        <v>458673309750</v>
      </c>
      <c r="M78" s="4">
        <f t="shared" si="5"/>
        <v>0.79575437766683788</v>
      </c>
    </row>
    <row r="79" spans="1:13" x14ac:dyDescent="0.45">
      <c r="A79" s="2">
        <v>45832</v>
      </c>
      <c r="B79" s="3">
        <v>2854.15</v>
      </c>
      <c r="D79" s="2">
        <v>45832</v>
      </c>
      <c r="E79" s="3">
        <v>3050.7</v>
      </c>
      <c r="G79" s="3">
        <v>32090575</v>
      </c>
      <c r="H79" s="3">
        <f t="shared" si="3"/>
        <v>91591314636.25</v>
      </c>
      <c r="J79" s="3">
        <v>148845000</v>
      </c>
      <c r="K79" s="3">
        <f t="shared" si="4"/>
        <v>454081441500</v>
      </c>
      <c r="M79" s="4">
        <f t="shared" si="5"/>
        <v>0.79829319970952828</v>
      </c>
    </row>
    <row r="80" spans="1:13" x14ac:dyDescent="0.45">
      <c r="A80" s="2">
        <v>45831</v>
      </c>
      <c r="B80" s="3">
        <v>2848.5</v>
      </c>
      <c r="D80" s="2">
        <v>45831</v>
      </c>
      <c r="E80" s="3">
        <v>3033.3</v>
      </c>
      <c r="G80" s="3">
        <v>32090575</v>
      </c>
      <c r="H80" s="3">
        <f t="shared" si="3"/>
        <v>91410002887.5</v>
      </c>
      <c r="J80" s="3">
        <v>148845000</v>
      </c>
      <c r="K80" s="3">
        <f t="shared" si="4"/>
        <v>451491538500</v>
      </c>
      <c r="M80" s="4">
        <f t="shared" si="5"/>
        <v>0.79753772752598329</v>
      </c>
    </row>
    <row r="81" spans="1:13" x14ac:dyDescent="0.45">
      <c r="A81" s="2">
        <v>45828</v>
      </c>
      <c r="B81" s="3">
        <v>2849.85</v>
      </c>
      <c r="D81" s="2">
        <v>45828</v>
      </c>
      <c r="E81" s="3">
        <v>3030.15</v>
      </c>
      <c r="G81" s="3">
        <v>32090575</v>
      </c>
      <c r="H81" s="3">
        <f t="shared" si="3"/>
        <v>91453325163.75</v>
      </c>
      <c r="J81" s="3">
        <v>148845000</v>
      </c>
      <c r="K81" s="3">
        <f t="shared" si="4"/>
        <v>451022676750</v>
      </c>
      <c r="M81" s="4">
        <f t="shared" si="5"/>
        <v>0.79723120393247493</v>
      </c>
    </row>
    <row r="82" spans="1:13" x14ac:dyDescent="0.45">
      <c r="A82" s="2">
        <v>45827</v>
      </c>
      <c r="B82" s="3">
        <v>2854.8</v>
      </c>
      <c r="D82" s="2">
        <v>45827</v>
      </c>
      <c r="E82" s="3">
        <v>3008.6</v>
      </c>
      <c r="G82" s="3">
        <v>32090575</v>
      </c>
      <c r="H82" s="3">
        <f t="shared" si="3"/>
        <v>91612173510</v>
      </c>
      <c r="J82" s="3">
        <v>148845000</v>
      </c>
      <c r="K82" s="3">
        <f t="shared" si="4"/>
        <v>447815067000</v>
      </c>
      <c r="M82" s="4">
        <f t="shared" si="5"/>
        <v>0.79542409297720207</v>
      </c>
    </row>
    <row r="83" spans="1:13" x14ac:dyDescent="0.45">
      <c r="A83" s="2">
        <v>45826</v>
      </c>
      <c r="B83" s="3">
        <v>2851.5</v>
      </c>
      <c r="D83" s="2">
        <v>45826</v>
      </c>
      <c r="E83" s="3">
        <v>3075.65</v>
      </c>
      <c r="G83" s="3">
        <v>32090575</v>
      </c>
      <c r="H83" s="3">
        <f t="shared" si="3"/>
        <v>91506274612.5</v>
      </c>
      <c r="J83" s="3">
        <v>148845000</v>
      </c>
      <c r="K83" s="3">
        <f t="shared" si="4"/>
        <v>457795124250</v>
      </c>
      <c r="M83" s="4">
        <f t="shared" si="5"/>
        <v>0.80011522673507374</v>
      </c>
    </row>
    <row r="84" spans="1:13" x14ac:dyDescent="0.45">
      <c r="A84" s="2">
        <v>45825</v>
      </c>
      <c r="B84" s="3">
        <v>2856.3</v>
      </c>
      <c r="D84" s="2">
        <v>45825</v>
      </c>
      <c r="E84" s="3">
        <v>3095.15</v>
      </c>
      <c r="G84" s="3">
        <v>32090575</v>
      </c>
      <c r="H84" s="3">
        <f t="shared" si="3"/>
        <v>91660309372.5</v>
      </c>
      <c r="J84" s="3">
        <v>148845000</v>
      </c>
      <c r="K84" s="3">
        <f t="shared" si="4"/>
        <v>460697601750</v>
      </c>
      <c r="M84" s="4">
        <f t="shared" si="5"/>
        <v>0.80104018552664413</v>
      </c>
    </row>
    <row r="85" spans="1:13" x14ac:dyDescent="0.45">
      <c r="A85" s="2">
        <v>45824</v>
      </c>
      <c r="B85" s="3">
        <v>2854.6</v>
      </c>
      <c r="D85" s="2">
        <v>45824</v>
      </c>
      <c r="E85" s="3">
        <v>3099.15</v>
      </c>
      <c r="G85" s="3">
        <v>32090575</v>
      </c>
      <c r="H85" s="3">
        <f t="shared" si="3"/>
        <v>91605755395</v>
      </c>
      <c r="J85" s="3">
        <v>148845000</v>
      </c>
      <c r="K85" s="3">
        <f t="shared" si="4"/>
        <v>461292981750</v>
      </c>
      <c r="M85" s="4">
        <f t="shared" si="5"/>
        <v>0.80141524146437981</v>
      </c>
    </row>
    <row r="86" spans="1:13" x14ac:dyDescent="0.45">
      <c r="A86" s="2">
        <v>45821</v>
      </c>
      <c r="B86" s="3">
        <v>2745.65</v>
      </c>
      <c r="D86" s="2">
        <v>45821</v>
      </c>
      <c r="E86" s="3">
        <v>3098.1</v>
      </c>
      <c r="G86" s="3">
        <v>32090575</v>
      </c>
      <c r="H86" s="3">
        <f t="shared" si="3"/>
        <v>88109487248.75</v>
      </c>
      <c r="J86" s="3">
        <v>148845000</v>
      </c>
      <c r="K86" s="3">
        <f t="shared" si="4"/>
        <v>461136694500</v>
      </c>
      <c r="M86" s="4">
        <f t="shared" si="5"/>
        <v>0.80892978524668246</v>
      </c>
    </row>
    <row r="87" spans="1:13" x14ac:dyDescent="0.45">
      <c r="A87" s="2">
        <v>45820</v>
      </c>
      <c r="B87" s="3">
        <v>2772.2</v>
      </c>
      <c r="D87" s="2">
        <v>45820</v>
      </c>
      <c r="E87" s="3">
        <v>3106.8</v>
      </c>
      <c r="G87" s="3">
        <v>32090575</v>
      </c>
      <c r="H87" s="3">
        <f t="shared" si="3"/>
        <v>88961492015</v>
      </c>
      <c r="J87" s="3">
        <v>148845000</v>
      </c>
      <c r="K87" s="3">
        <f t="shared" si="4"/>
        <v>462431646000</v>
      </c>
      <c r="M87" s="4">
        <f t="shared" si="5"/>
        <v>0.80762239612165299</v>
      </c>
    </row>
    <row r="88" spans="1:13" x14ac:dyDescent="0.45">
      <c r="A88" s="2">
        <v>45819</v>
      </c>
      <c r="B88" s="3">
        <v>2788.8</v>
      </c>
      <c r="D88" s="2">
        <v>45819</v>
      </c>
      <c r="E88" s="3">
        <v>3084.35</v>
      </c>
      <c r="G88" s="3">
        <v>32090575</v>
      </c>
      <c r="H88" s="3">
        <f t="shared" si="3"/>
        <v>89494195560</v>
      </c>
      <c r="J88" s="3">
        <v>148845000</v>
      </c>
      <c r="K88" s="3">
        <f t="shared" si="4"/>
        <v>459090075750</v>
      </c>
      <c r="M88" s="4">
        <f t="shared" si="5"/>
        <v>0.80506179443370374</v>
      </c>
    </row>
    <row r="89" spans="1:13" x14ac:dyDescent="0.45">
      <c r="A89" s="2">
        <v>45818</v>
      </c>
      <c r="B89" s="3">
        <v>2803.3</v>
      </c>
      <c r="D89" s="2">
        <v>45818</v>
      </c>
      <c r="E89" s="3">
        <v>3089.8</v>
      </c>
      <c r="G89" s="3">
        <v>32090575</v>
      </c>
      <c r="H89" s="3">
        <f t="shared" si="3"/>
        <v>89959508897.5</v>
      </c>
      <c r="J89" s="3">
        <v>148845000</v>
      </c>
      <c r="K89" s="3">
        <f t="shared" si="4"/>
        <v>459901281000</v>
      </c>
      <c r="M89" s="4">
        <f t="shared" si="5"/>
        <v>0.8043938718720377</v>
      </c>
    </row>
    <row r="90" spans="1:13" x14ac:dyDescent="0.45">
      <c r="A90" s="2">
        <v>45817</v>
      </c>
      <c r="B90" s="3">
        <v>2780.75</v>
      </c>
      <c r="D90" s="2">
        <v>45817</v>
      </c>
      <c r="E90" s="3">
        <v>3130.55</v>
      </c>
      <c r="G90" s="3">
        <v>32090575</v>
      </c>
      <c r="H90" s="3">
        <f t="shared" si="3"/>
        <v>89235866431.25</v>
      </c>
      <c r="J90" s="3">
        <v>148845000</v>
      </c>
      <c r="K90" s="3">
        <f t="shared" si="4"/>
        <v>465966714750</v>
      </c>
      <c r="M90" s="4">
        <f t="shared" si="5"/>
        <v>0.80849304551908441</v>
      </c>
    </row>
    <row r="91" spans="1:13" x14ac:dyDescent="0.45">
      <c r="A91" s="2">
        <v>45814</v>
      </c>
      <c r="B91" s="3">
        <v>2728.65</v>
      </c>
      <c r="D91" s="2">
        <v>45814</v>
      </c>
      <c r="E91" s="3">
        <v>3122.5</v>
      </c>
      <c r="G91" s="3">
        <v>32090575</v>
      </c>
      <c r="H91" s="3">
        <f t="shared" si="3"/>
        <v>87563947473.75</v>
      </c>
      <c r="J91" s="3">
        <v>148845000</v>
      </c>
      <c r="K91" s="3">
        <f t="shared" si="4"/>
        <v>464768512500</v>
      </c>
      <c r="M91" s="4">
        <f t="shared" si="5"/>
        <v>0.81159664409548404</v>
      </c>
    </row>
    <row r="92" spans="1:13" x14ac:dyDescent="0.45">
      <c r="A92" s="2">
        <v>45813</v>
      </c>
      <c r="B92" s="3">
        <v>2700.7</v>
      </c>
      <c r="D92" s="2">
        <v>45813</v>
      </c>
      <c r="E92" s="3">
        <v>3104.4</v>
      </c>
      <c r="G92" s="3">
        <v>32090575</v>
      </c>
      <c r="H92" s="3">
        <f t="shared" si="3"/>
        <v>86667015902.5</v>
      </c>
      <c r="J92" s="3">
        <v>148845000</v>
      </c>
      <c r="K92" s="3">
        <f t="shared" si="4"/>
        <v>462074418000</v>
      </c>
      <c r="M92" s="4">
        <f t="shared" si="5"/>
        <v>0.81243926838100777</v>
      </c>
    </row>
    <row r="93" spans="1:13" x14ac:dyDescent="0.45">
      <c r="A93" s="2">
        <v>45812</v>
      </c>
      <c r="B93" s="3">
        <v>2650.45</v>
      </c>
      <c r="D93" s="2">
        <v>45812</v>
      </c>
      <c r="E93" s="3">
        <v>3047.35</v>
      </c>
      <c r="G93" s="3">
        <v>32090575</v>
      </c>
      <c r="H93" s="3">
        <f t="shared" si="3"/>
        <v>85054464508.75</v>
      </c>
      <c r="J93" s="3">
        <v>148845000</v>
      </c>
      <c r="K93" s="3">
        <f t="shared" si="4"/>
        <v>453582810750</v>
      </c>
      <c r="M93" s="4">
        <f t="shared" si="5"/>
        <v>0.81248305162157208</v>
      </c>
    </row>
    <row r="94" spans="1:13" x14ac:dyDescent="0.45">
      <c r="A94" s="2">
        <v>45811</v>
      </c>
      <c r="B94" s="3">
        <v>2645.65</v>
      </c>
      <c r="D94" s="2">
        <v>45811</v>
      </c>
      <c r="E94" s="3">
        <v>2955.95</v>
      </c>
      <c r="G94" s="3">
        <v>32090575</v>
      </c>
      <c r="H94" s="3">
        <f t="shared" si="3"/>
        <v>84900429748.75</v>
      </c>
      <c r="J94" s="3">
        <v>148845000</v>
      </c>
      <c r="K94" s="3">
        <f t="shared" si="4"/>
        <v>439978377750</v>
      </c>
      <c r="M94" s="4">
        <f t="shared" si="5"/>
        <v>0.80703499525835509</v>
      </c>
    </row>
    <row r="95" spans="1:13" x14ac:dyDescent="0.45">
      <c r="A95" s="2">
        <v>45810</v>
      </c>
      <c r="B95" s="3">
        <v>2631.4</v>
      </c>
      <c r="D95" s="2">
        <v>45810</v>
      </c>
      <c r="E95" s="3">
        <v>2899.3</v>
      </c>
      <c r="G95" s="3">
        <v>32090575</v>
      </c>
      <c r="H95" s="3">
        <f t="shared" si="3"/>
        <v>84443139055</v>
      </c>
      <c r="J95" s="3">
        <v>148845000</v>
      </c>
      <c r="K95" s="3">
        <f t="shared" si="4"/>
        <v>431546308500</v>
      </c>
      <c r="M95" s="4">
        <f t="shared" si="5"/>
        <v>0.80432426974404303</v>
      </c>
    </row>
    <row r="96" spans="1:13" x14ac:dyDescent="0.45">
      <c r="A96" s="2">
        <v>45807</v>
      </c>
      <c r="B96" s="3">
        <v>2675.65</v>
      </c>
      <c r="D96" s="2">
        <v>45807</v>
      </c>
      <c r="E96" s="3">
        <v>2859.2</v>
      </c>
      <c r="G96" s="3">
        <v>32090575</v>
      </c>
      <c r="H96" s="3">
        <f t="shared" si="3"/>
        <v>85863146998.75</v>
      </c>
      <c r="J96" s="3">
        <v>148845000</v>
      </c>
      <c r="K96" s="3">
        <f t="shared" si="4"/>
        <v>425577624000</v>
      </c>
      <c r="M96" s="4">
        <f t="shared" si="5"/>
        <v>0.79824327653384808</v>
      </c>
    </row>
    <row r="97" spans="1:13" x14ac:dyDescent="0.45">
      <c r="A97" s="2">
        <v>45806</v>
      </c>
      <c r="B97" s="3">
        <v>2708.45</v>
      </c>
      <c r="D97" s="2">
        <v>45806</v>
      </c>
      <c r="E97" s="3">
        <v>2892.1</v>
      </c>
      <c r="G97" s="3">
        <v>32090575</v>
      </c>
      <c r="H97" s="3">
        <f t="shared" si="3"/>
        <v>86915717858.75</v>
      </c>
      <c r="J97" s="3">
        <v>148845000</v>
      </c>
      <c r="K97" s="3">
        <f t="shared" si="4"/>
        <v>430474624500</v>
      </c>
      <c r="M97" s="4">
        <f t="shared" si="5"/>
        <v>0.79809328375696165</v>
      </c>
    </row>
    <row r="98" spans="1:13" x14ac:dyDescent="0.45">
      <c r="A98" s="2">
        <v>45805</v>
      </c>
      <c r="B98" s="3">
        <v>2728.8</v>
      </c>
      <c r="D98" s="2">
        <v>45805</v>
      </c>
      <c r="E98" s="3">
        <v>2892.4</v>
      </c>
      <c r="G98" s="3">
        <v>32090575</v>
      </c>
      <c r="H98" s="3">
        <f t="shared" si="3"/>
        <v>87568761060</v>
      </c>
      <c r="J98" s="3">
        <v>148845000</v>
      </c>
      <c r="K98" s="3">
        <f t="shared" si="4"/>
        <v>430519278000</v>
      </c>
      <c r="M98" s="4">
        <f t="shared" si="5"/>
        <v>0.79659735223285399</v>
      </c>
    </row>
    <row r="99" spans="1:13" x14ac:dyDescent="0.45">
      <c r="A99" s="2">
        <v>45804</v>
      </c>
      <c r="B99" s="3">
        <v>2707.5</v>
      </c>
      <c r="D99" s="2">
        <v>45804</v>
      </c>
      <c r="E99" s="3">
        <v>2882.8</v>
      </c>
      <c r="G99" s="3">
        <v>32090575</v>
      </c>
      <c r="H99" s="3">
        <f t="shared" si="3"/>
        <v>86885231812.5</v>
      </c>
      <c r="J99" s="3">
        <v>148845000</v>
      </c>
      <c r="K99" s="3">
        <f t="shared" si="4"/>
        <v>429090366000</v>
      </c>
      <c r="M99" s="4">
        <f t="shared" si="5"/>
        <v>0.79751297466207849</v>
      </c>
    </row>
    <row r="100" spans="1:13" x14ac:dyDescent="0.45">
      <c r="A100" s="2">
        <v>45803</v>
      </c>
      <c r="B100" s="3">
        <v>2715.6</v>
      </c>
      <c r="D100" s="2">
        <v>45803</v>
      </c>
      <c r="E100" s="3">
        <v>2891.3</v>
      </c>
      <c r="G100" s="3">
        <v>32090575</v>
      </c>
      <c r="H100" s="3">
        <f t="shared" si="3"/>
        <v>87145165470</v>
      </c>
      <c r="J100" s="3">
        <v>148845000</v>
      </c>
      <c r="K100" s="3">
        <f t="shared" si="4"/>
        <v>430355548500</v>
      </c>
      <c r="M100" s="4">
        <f t="shared" si="5"/>
        <v>0.79750425950416204</v>
      </c>
    </row>
    <row r="101" spans="1:13" x14ac:dyDescent="0.45">
      <c r="A101" s="2">
        <v>45800</v>
      </c>
      <c r="B101" s="3">
        <v>2729.85</v>
      </c>
      <c r="D101" s="2">
        <v>45800</v>
      </c>
      <c r="E101" s="3">
        <v>2900.1</v>
      </c>
      <c r="G101" s="3">
        <v>32090575</v>
      </c>
      <c r="H101" s="3">
        <f t="shared" si="3"/>
        <v>87602456163.75</v>
      </c>
      <c r="J101" s="3">
        <v>148845000</v>
      </c>
      <c r="K101" s="3">
        <f t="shared" si="4"/>
        <v>431665384500</v>
      </c>
      <c r="M101" s="4">
        <f t="shared" si="5"/>
        <v>0.79705934432240766</v>
      </c>
    </row>
    <row r="102" spans="1:13" x14ac:dyDescent="0.45">
      <c r="A102" s="2">
        <v>45799</v>
      </c>
      <c r="B102" s="3">
        <v>2744.55</v>
      </c>
      <c r="D102" s="2">
        <v>45799</v>
      </c>
      <c r="E102" s="3">
        <v>2904.95</v>
      </c>
      <c r="G102" s="3">
        <v>32090575</v>
      </c>
      <c r="H102" s="3">
        <f t="shared" si="3"/>
        <v>88074187616.25</v>
      </c>
      <c r="J102" s="3">
        <v>148845000</v>
      </c>
      <c r="K102" s="3">
        <f t="shared" si="4"/>
        <v>432387282750</v>
      </c>
      <c r="M102" s="4">
        <f t="shared" si="5"/>
        <v>0.79630717384633809</v>
      </c>
    </row>
    <row r="103" spans="1:13" x14ac:dyDescent="0.45">
      <c r="A103" s="2">
        <v>45798</v>
      </c>
      <c r="B103" s="3">
        <v>2750.15</v>
      </c>
      <c r="D103" s="2">
        <v>45798</v>
      </c>
      <c r="E103" s="3">
        <v>2949.9</v>
      </c>
      <c r="G103" s="3">
        <v>32090575</v>
      </c>
      <c r="H103" s="3">
        <f t="shared" si="3"/>
        <v>88253894836.25</v>
      </c>
      <c r="J103" s="3">
        <v>148845000</v>
      </c>
      <c r="K103" s="3">
        <f t="shared" si="4"/>
        <v>439077865500</v>
      </c>
      <c r="M103" s="4">
        <f t="shared" si="5"/>
        <v>0.79900172208464471</v>
      </c>
    </row>
    <row r="104" spans="1:13" x14ac:dyDescent="0.45">
      <c r="A104" s="2">
        <v>45797</v>
      </c>
      <c r="B104" s="3">
        <v>2762</v>
      </c>
      <c r="D104" s="2">
        <v>45797</v>
      </c>
      <c r="E104" s="3">
        <v>2949.25</v>
      </c>
      <c r="G104" s="3">
        <v>32090575</v>
      </c>
      <c r="H104" s="3">
        <f t="shared" si="3"/>
        <v>88634168150</v>
      </c>
      <c r="J104" s="3">
        <v>148845000</v>
      </c>
      <c r="K104" s="3">
        <f t="shared" si="4"/>
        <v>438981116250</v>
      </c>
      <c r="M104" s="4">
        <f t="shared" si="5"/>
        <v>0.79809115957616095</v>
      </c>
    </row>
    <row r="105" spans="1:13" x14ac:dyDescent="0.45">
      <c r="A105" s="2">
        <v>45796</v>
      </c>
      <c r="B105" s="3">
        <v>2753</v>
      </c>
      <c r="D105" s="2">
        <v>45796</v>
      </c>
      <c r="E105" s="3">
        <v>2979.3</v>
      </c>
      <c r="G105" s="3">
        <v>32090575</v>
      </c>
      <c r="H105" s="3">
        <f t="shared" si="3"/>
        <v>88345352975</v>
      </c>
      <c r="J105" s="3">
        <v>148845000</v>
      </c>
      <c r="K105" s="3">
        <f t="shared" si="4"/>
        <v>443453908500</v>
      </c>
      <c r="M105" s="4">
        <f t="shared" si="5"/>
        <v>0.80077895068321403</v>
      </c>
    </row>
    <row r="106" spans="1:13" x14ac:dyDescent="0.45">
      <c r="A106" s="2">
        <v>45793</v>
      </c>
      <c r="B106" s="3">
        <v>2740.75</v>
      </c>
      <c r="D106" s="2">
        <v>45793</v>
      </c>
      <c r="E106" s="3">
        <v>2918.1</v>
      </c>
      <c r="G106" s="3">
        <v>32090575</v>
      </c>
      <c r="H106" s="3">
        <f t="shared" si="3"/>
        <v>87952243431.25</v>
      </c>
      <c r="J106" s="3">
        <v>148845000</v>
      </c>
      <c r="K106" s="3">
        <f t="shared" si="4"/>
        <v>434344594500</v>
      </c>
      <c r="M106" s="4">
        <f t="shared" si="5"/>
        <v>0.79750584088079401</v>
      </c>
    </row>
    <row r="107" spans="1:13" x14ac:dyDescent="0.45">
      <c r="A107" s="2">
        <v>45792</v>
      </c>
      <c r="B107" s="3">
        <v>2749.3</v>
      </c>
      <c r="D107" s="2">
        <v>45792</v>
      </c>
      <c r="E107" s="3">
        <v>2875.5</v>
      </c>
      <c r="G107" s="3">
        <v>32090575</v>
      </c>
      <c r="H107" s="3">
        <f t="shared" si="3"/>
        <v>88226617847.5</v>
      </c>
      <c r="J107" s="3">
        <v>148845000</v>
      </c>
      <c r="K107" s="3">
        <f t="shared" si="4"/>
        <v>428003797500</v>
      </c>
      <c r="M107" s="4">
        <f t="shared" si="5"/>
        <v>0.79386487138002559</v>
      </c>
    </row>
    <row r="108" spans="1:13" x14ac:dyDescent="0.45">
      <c r="A108" s="2">
        <v>45791</v>
      </c>
      <c r="B108" s="3">
        <v>2724.8</v>
      </c>
      <c r="D108" s="2">
        <v>45791</v>
      </c>
      <c r="E108" s="3">
        <v>2881.95</v>
      </c>
      <c r="G108" s="3">
        <v>32090575</v>
      </c>
      <c r="H108" s="3">
        <f t="shared" si="3"/>
        <v>87440398760</v>
      </c>
      <c r="J108" s="3">
        <v>148845000</v>
      </c>
      <c r="K108" s="3">
        <f t="shared" si="4"/>
        <v>428963847750</v>
      </c>
      <c r="M108" s="4">
        <f t="shared" si="5"/>
        <v>0.79615904879014365</v>
      </c>
    </row>
    <row r="109" spans="1:13" x14ac:dyDescent="0.45">
      <c r="A109" s="2">
        <v>45790</v>
      </c>
      <c r="B109" s="3">
        <v>2659.7</v>
      </c>
      <c r="D109" s="2">
        <v>45790</v>
      </c>
      <c r="E109" s="3">
        <v>2924.85</v>
      </c>
      <c r="G109" s="3">
        <v>32090575</v>
      </c>
      <c r="H109" s="3">
        <f t="shared" si="3"/>
        <v>85351302327.5</v>
      </c>
      <c r="J109" s="3">
        <v>148845000</v>
      </c>
      <c r="K109" s="3">
        <f t="shared" si="4"/>
        <v>435349298250</v>
      </c>
      <c r="M109" s="4">
        <f t="shared" si="5"/>
        <v>0.80394753667780838</v>
      </c>
    </row>
    <row r="110" spans="1:13" x14ac:dyDescent="0.45">
      <c r="A110" s="2">
        <v>45789</v>
      </c>
      <c r="B110" s="3">
        <v>2668.4</v>
      </c>
      <c r="D110" s="2">
        <v>45789</v>
      </c>
      <c r="E110" s="3">
        <v>3013.35</v>
      </c>
      <c r="G110" s="3">
        <v>32090575</v>
      </c>
      <c r="H110" s="3">
        <f t="shared" si="3"/>
        <v>85630490330</v>
      </c>
      <c r="J110" s="3">
        <v>148845000</v>
      </c>
      <c r="K110" s="3">
        <f t="shared" si="4"/>
        <v>448522080750</v>
      </c>
      <c r="M110" s="4">
        <f t="shared" si="5"/>
        <v>0.80908299946613049</v>
      </c>
    </row>
    <row r="111" spans="1:13" x14ac:dyDescent="0.45">
      <c r="A111" s="2">
        <v>45786</v>
      </c>
      <c r="B111" s="3">
        <v>2646.5</v>
      </c>
      <c r="D111" s="2">
        <v>45786</v>
      </c>
      <c r="E111" s="3">
        <v>3007.6</v>
      </c>
      <c r="G111" s="3">
        <v>32090575</v>
      </c>
      <c r="H111" s="3">
        <f t="shared" si="3"/>
        <v>84927706737.5</v>
      </c>
      <c r="J111" s="3">
        <v>148845000</v>
      </c>
      <c r="K111" s="3">
        <f t="shared" si="4"/>
        <v>447666222000</v>
      </c>
      <c r="M111" s="4">
        <f t="shared" si="5"/>
        <v>0.81028788288275189</v>
      </c>
    </row>
    <row r="112" spans="1:13" x14ac:dyDescent="0.45">
      <c r="A112" s="2">
        <v>45785</v>
      </c>
      <c r="B112" s="3">
        <v>2638.75</v>
      </c>
      <c r="D112" s="2">
        <v>45785</v>
      </c>
      <c r="E112" s="3">
        <v>2947.35</v>
      </c>
      <c r="G112" s="3">
        <v>32090575</v>
      </c>
      <c r="H112" s="3">
        <f t="shared" si="3"/>
        <v>84679004781.25</v>
      </c>
      <c r="J112" s="3">
        <v>148845000</v>
      </c>
      <c r="K112" s="3">
        <f t="shared" si="4"/>
        <v>438698310750</v>
      </c>
      <c r="M112" s="4">
        <f t="shared" si="5"/>
        <v>0.80697667917507476</v>
      </c>
    </row>
    <row r="113" spans="1:13" x14ac:dyDescent="0.45">
      <c r="A113" s="2">
        <v>45784</v>
      </c>
      <c r="B113" s="3">
        <v>2691.2</v>
      </c>
      <c r="D113" s="2">
        <v>45784</v>
      </c>
      <c r="E113" s="3">
        <v>3053.25</v>
      </c>
      <c r="G113" s="3">
        <v>32090575</v>
      </c>
      <c r="H113" s="3">
        <f t="shared" si="3"/>
        <v>86362155440</v>
      </c>
      <c r="J113" s="3">
        <v>148845000</v>
      </c>
      <c r="K113" s="3">
        <f t="shared" si="4"/>
        <v>454460996250</v>
      </c>
      <c r="M113" s="4">
        <f t="shared" si="5"/>
        <v>0.8099679485090685</v>
      </c>
    </row>
    <row r="114" spans="1:13" x14ac:dyDescent="0.45">
      <c r="A114" s="2">
        <v>45783</v>
      </c>
      <c r="B114" s="3">
        <v>2632.1</v>
      </c>
      <c r="D114" s="2">
        <v>45783</v>
      </c>
      <c r="E114" s="3">
        <v>2924.85</v>
      </c>
      <c r="G114" s="3">
        <v>32090575</v>
      </c>
      <c r="H114" s="3">
        <f t="shared" si="3"/>
        <v>84465602457.5</v>
      </c>
      <c r="J114" s="3">
        <v>148845000</v>
      </c>
      <c r="K114" s="3">
        <f t="shared" si="4"/>
        <v>435349298250</v>
      </c>
      <c r="M114" s="4">
        <f t="shared" si="5"/>
        <v>0.80598199469476228</v>
      </c>
    </row>
    <row r="115" spans="1:13" x14ac:dyDescent="0.45">
      <c r="A115" s="2">
        <v>45782</v>
      </c>
      <c r="B115" s="3">
        <v>2551.0500000000002</v>
      </c>
      <c r="D115" s="2">
        <v>45782</v>
      </c>
      <c r="E115" s="3">
        <v>2980.45</v>
      </c>
      <c r="G115" s="3">
        <v>32090575</v>
      </c>
      <c r="H115" s="3">
        <f t="shared" si="3"/>
        <v>81864661353.75</v>
      </c>
      <c r="J115" s="3">
        <v>148845000</v>
      </c>
      <c r="K115" s="3">
        <f t="shared" si="4"/>
        <v>443625080250</v>
      </c>
      <c r="M115" s="4">
        <f t="shared" si="5"/>
        <v>0.81546430759141009</v>
      </c>
    </row>
    <row r="116" spans="1:13" x14ac:dyDescent="0.45">
      <c r="A116" s="2">
        <v>45779</v>
      </c>
      <c r="B116" s="3">
        <v>2574.6999999999998</v>
      </c>
      <c r="D116" s="2">
        <v>45779</v>
      </c>
      <c r="E116" s="3">
        <v>2969.85</v>
      </c>
      <c r="G116" s="3">
        <v>32090575</v>
      </c>
      <c r="H116" s="3">
        <f t="shared" si="3"/>
        <v>82623603452.5</v>
      </c>
      <c r="J116" s="3">
        <v>148845000</v>
      </c>
      <c r="K116" s="3">
        <f t="shared" si="4"/>
        <v>442047323250</v>
      </c>
      <c r="M116" s="4">
        <f t="shared" si="5"/>
        <v>0.8130887823388715</v>
      </c>
    </row>
    <row r="117" spans="1:13" x14ac:dyDescent="0.45">
      <c r="A117" s="2">
        <v>45777</v>
      </c>
      <c r="B117" s="3">
        <v>2603.9499999999998</v>
      </c>
      <c r="D117" s="2">
        <v>45777</v>
      </c>
      <c r="E117" s="3">
        <v>3006.25</v>
      </c>
      <c r="G117" s="3">
        <v>32090575</v>
      </c>
      <c r="H117" s="3">
        <f t="shared" si="3"/>
        <v>83562252771.25</v>
      </c>
      <c r="J117" s="3">
        <v>148845000</v>
      </c>
      <c r="K117" s="3">
        <f t="shared" si="4"/>
        <v>447465281250</v>
      </c>
      <c r="M117" s="4">
        <f t="shared" si="5"/>
        <v>0.81325422044405826</v>
      </c>
    </row>
    <row r="118" spans="1:13" x14ac:dyDescent="0.45">
      <c r="A118" s="2">
        <v>45776</v>
      </c>
      <c r="B118" s="3">
        <v>2629.9</v>
      </c>
      <c r="D118" s="2">
        <v>45776</v>
      </c>
      <c r="E118" s="3">
        <v>3021.1</v>
      </c>
      <c r="G118" s="3">
        <v>32090575</v>
      </c>
      <c r="H118" s="3">
        <f t="shared" si="3"/>
        <v>84395003192.5</v>
      </c>
      <c r="J118" s="3">
        <v>148845000</v>
      </c>
      <c r="K118" s="3">
        <f t="shared" si="4"/>
        <v>449675629500</v>
      </c>
      <c r="M118" s="4">
        <f t="shared" si="5"/>
        <v>0.81232026452858952</v>
      </c>
    </row>
    <row r="119" spans="1:13" x14ac:dyDescent="0.45">
      <c r="A119" s="2">
        <v>45775</v>
      </c>
      <c r="B119" s="3">
        <v>2620.1</v>
      </c>
      <c r="D119" s="2">
        <v>45775</v>
      </c>
      <c r="E119" s="3">
        <v>3043.7</v>
      </c>
      <c r="G119" s="3">
        <v>32090575</v>
      </c>
      <c r="H119" s="3">
        <f t="shared" si="3"/>
        <v>84080515557.5</v>
      </c>
      <c r="J119" s="3">
        <v>148845000</v>
      </c>
      <c r="K119" s="3">
        <f t="shared" si="4"/>
        <v>453039526500</v>
      </c>
      <c r="M119" s="4">
        <f t="shared" si="5"/>
        <v>0.81440799171085132</v>
      </c>
    </row>
    <row r="120" spans="1:13" x14ac:dyDescent="0.45">
      <c r="A120" s="2">
        <v>45772</v>
      </c>
      <c r="B120" s="3">
        <v>2583.15</v>
      </c>
      <c r="D120" s="2">
        <v>45772</v>
      </c>
      <c r="E120" s="3">
        <v>2970.5</v>
      </c>
      <c r="G120" s="3">
        <v>32090575</v>
      </c>
      <c r="H120" s="3">
        <f t="shared" si="3"/>
        <v>82894768811.25</v>
      </c>
      <c r="J120" s="3">
        <v>148845000</v>
      </c>
      <c r="K120" s="3">
        <f t="shared" si="4"/>
        <v>442144072500</v>
      </c>
      <c r="M120" s="4">
        <f t="shared" si="5"/>
        <v>0.81251638556966066</v>
      </c>
    </row>
    <row r="121" spans="1:13" x14ac:dyDescent="0.45">
      <c r="A121" s="2">
        <v>45771</v>
      </c>
      <c r="B121" s="3">
        <v>2632.75</v>
      </c>
      <c r="D121" s="2">
        <v>45771</v>
      </c>
      <c r="E121" s="3">
        <v>3038.2</v>
      </c>
      <c r="G121" s="3">
        <v>32090575</v>
      </c>
      <c r="H121" s="3">
        <f t="shared" si="3"/>
        <v>84486461331.25</v>
      </c>
      <c r="J121" s="3">
        <v>148845000</v>
      </c>
      <c r="K121" s="3">
        <f t="shared" si="4"/>
        <v>452220879000</v>
      </c>
      <c r="M121" s="4">
        <f t="shared" si="5"/>
        <v>0.81317434631042329</v>
      </c>
    </row>
    <row r="122" spans="1:13" x14ac:dyDescent="0.45">
      <c r="A122" s="2">
        <v>45770</v>
      </c>
      <c r="B122" s="3">
        <v>2656.3</v>
      </c>
      <c r="D122" s="2">
        <v>45770</v>
      </c>
      <c r="E122" s="3">
        <v>3001.8</v>
      </c>
      <c r="G122" s="3">
        <v>32090575</v>
      </c>
      <c r="H122" s="3">
        <f t="shared" si="3"/>
        <v>85242194372.5</v>
      </c>
      <c r="J122" s="3">
        <v>148845000</v>
      </c>
      <c r="K122" s="3">
        <f t="shared" si="4"/>
        <v>446802921000</v>
      </c>
      <c r="M122" s="4">
        <f t="shared" si="5"/>
        <v>0.80921746397333871</v>
      </c>
    </row>
    <row r="123" spans="1:13" x14ac:dyDescent="0.45">
      <c r="A123" s="2">
        <v>45769</v>
      </c>
      <c r="B123" s="3">
        <v>2669.65</v>
      </c>
      <c r="D123" s="2">
        <v>45769</v>
      </c>
      <c r="E123" s="3">
        <v>3011.45</v>
      </c>
      <c r="G123" s="3">
        <v>32090575</v>
      </c>
      <c r="H123" s="3">
        <f t="shared" si="3"/>
        <v>85670603548.75</v>
      </c>
      <c r="J123" s="3">
        <v>148845000</v>
      </c>
      <c r="K123" s="3">
        <f t="shared" si="4"/>
        <v>448239275250</v>
      </c>
      <c r="M123" s="4">
        <f t="shared" si="5"/>
        <v>0.80887305446188695</v>
      </c>
    </row>
    <row r="124" spans="1:13" x14ac:dyDescent="0.45">
      <c r="A124" s="2">
        <v>45768</v>
      </c>
      <c r="B124" s="3">
        <v>2619.5500000000002</v>
      </c>
      <c r="D124" s="2">
        <v>45768</v>
      </c>
      <c r="E124" s="3">
        <v>3030.8</v>
      </c>
      <c r="G124" s="3">
        <v>32090575</v>
      </c>
      <c r="H124" s="3">
        <f t="shared" si="3"/>
        <v>84062865741.25</v>
      </c>
      <c r="J124" s="3">
        <v>148845000</v>
      </c>
      <c r="K124" s="3">
        <f t="shared" si="4"/>
        <v>451119426000</v>
      </c>
      <c r="M124" s="4">
        <f t="shared" si="5"/>
        <v>0.81365718056830039</v>
      </c>
    </row>
    <row r="125" spans="1:13" x14ac:dyDescent="0.45">
      <c r="A125" s="2">
        <v>45764</v>
      </c>
      <c r="B125" s="3">
        <v>2594.85</v>
      </c>
      <c r="D125" s="2">
        <v>45764</v>
      </c>
      <c r="E125" s="3">
        <v>2989.35</v>
      </c>
      <c r="G125" s="3">
        <v>32090575</v>
      </c>
      <c r="H125" s="3">
        <f t="shared" si="3"/>
        <v>83270228538.75</v>
      </c>
      <c r="J125" s="3">
        <v>148845000</v>
      </c>
      <c r="K125" s="3">
        <f t="shared" si="4"/>
        <v>444949800750</v>
      </c>
      <c r="M125" s="4">
        <f t="shared" si="5"/>
        <v>0.81285477957650265</v>
      </c>
    </row>
    <row r="126" spans="1:13" x14ac:dyDescent="0.45">
      <c r="A126" s="2">
        <v>45763</v>
      </c>
      <c r="B126" s="3">
        <v>2608.6</v>
      </c>
      <c r="D126" s="2">
        <v>45763</v>
      </c>
      <c r="E126" s="3">
        <v>2991.85</v>
      </c>
      <c r="G126" s="3">
        <v>32090575</v>
      </c>
      <c r="H126" s="3">
        <f t="shared" si="3"/>
        <v>83711473945</v>
      </c>
      <c r="J126" s="3">
        <v>148845000</v>
      </c>
      <c r="K126" s="3">
        <f t="shared" si="4"/>
        <v>445321913250</v>
      </c>
      <c r="M126" s="4">
        <f t="shared" si="5"/>
        <v>0.81202031282479226</v>
      </c>
    </row>
    <row r="127" spans="1:13" x14ac:dyDescent="0.45">
      <c r="A127" s="2">
        <v>45762</v>
      </c>
      <c r="B127" s="3">
        <v>2605.1999999999998</v>
      </c>
      <c r="D127" s="2">
        <v>45762</v>
      </c>
      <c r="E127" s="3">
        <v>3009.25</v>
      </c>
      <c r="G127" s="3">
        <v>32090575</v>
      </c>
      <c r="H127" s="3">
        <f t="shared" si="3"/>
        <v>83602365990</v>
      </c>
      <c r="J127" s="3">
        <v>148845000</v>
      </c>
      <c r="K127" s="3">
        <f t="shared" si="4"/>
        <v>447911816250</v>
      </c>
      <c r="M127" s="4">
        <f t="shared" si="5"/>
        <v>0.81335083613124037</v>
      </c>
    </row>
    <row r="128" spans="1:13" x14ac:dyDescent="0.45">
      <c r="A128" s="2">
        <v>45758</v>
      </c>
      <c r="B128" s="3">
        <v>2559</v>
      </c>
      <c r="D128" s="2">
        <v>45758</v>
      </c>
      <c r="E128" s="3">
        <v>2946.35</v>
      </c>
      <c r="G128" s="3">
        <v>32090575</v>
      </c>
      <c r="H128" s="3">
        <f t="shared" si="3"/>
        <v>82119781425</v>
      </c>
      <c r="J128" s="3">
        <v>148845000</v>
      </c>
      <c r="K128" s="3">
        <f t="shared" si="4"/>
        <v>438549465750</v>
      </c>
      <c r="M128" s="4">
        <f t="shared" si="5"/>
        <v>0.81274682142284649</v>
      </c>
    </row>
    <row r="129" spans="1:13" x14ac:dyDescent="0.45">
      <c r="A129" s="2">
        <v>45756</v>
      </c>
      <c r="B129" s="3">
        <v>2441.25</v>
      </c>
      <c r="D129" s="2">
        <v>45756</v>
      </c>
      <c r="E129" s="3">
        <v>2743.8</v>
      </c>
      <c r="G129" s="3">
        <v>32090575</v>
      </c>
      <c r="H129" s="3">
        <f t="shared" si="3"/>
        <v>78341116218.75</v>
      </c>
      <c r="J129" s="3">
        <v>148845000</v>
      </c>
      <c r="K129" s="3">
        <f t="shared" si="4"/>
        <v>408400911000</v>
      </c>
      <c r="M129" s="4">
        <f t="shared" si="5"/>
        <v>0.80817595135396258</v>
      </c>
    </row>
    <row r="130" spans="1:13" x14ac:dyDescent="0.45">
      <c r="A130" s="2">
        <v>45755</v>
      </c>
      <c r="B130" s="3">
        <v>2438.85</v>
      </c>
      <c r="D130" s="2">
        <v>45755</v>
      </c>
      <c r="E130" s="3">
        <v>2759.5</v>
      </c>
      <c r="G130" s="3">
        <v>32090575</v>
      </c>
      <c r="H130" s="3">
        <f t="shared" si="3"/>
        <v>78264098838.75</v>
      </c>
      <c r="J130" s="3">
        <v>148845000</v>
      </c>
      <c r="K130" s="3">
        <f t="shared" si="4"/>
        <v>410737777500</v>
      </c>
      <c r="M130" s="4">
        <f t="shared" si="5"/>
        <v>0.80945483194871204</v>
      </c>
    </row>
    <row r="131" spans="1:13" x14ac:dyDescent="0.45">
      <c r="A131" s="2">
        <v>45754</v>
      </c>
      <c r="B131" s="3">
        <v>2418.4</v>
      </c>
      <c r="D131" s="2">
        <v>45754</v>
      </c>
      <c r="E131" s="3">
        <v>2713.65</v>
      </c>
      <c r="G131" s="3">
        <v>32090575</v>
      </c>
      <c r="H131" s="3">
        <f t="shared" si="3"/>
        <v>77607846580</v>
      </c>
      <c r="J131" s="3">
        <v>148845000</v>
      </c>
      <c r="K131" s="3">
        <f t="shared" si="4"/>
        <v>403913234250</v>
      </c>
      <c r="M131" s="4">
        <f t="shared" si="5"/>
        <v>0.80786010459868951</v>
      </c>
    </row>
    <row r="132" spans="1:13" x14ac:dyDescent="0.45">
      <c r="A132" s="2">
        <v>45751</v>
      </c>
      <c r="B132" s="3">
        <v>2562.75</v>
      </c>
      <c r="D132" s="2">
        <v>45751</v>
      </c>
      <c r="E132" s="3">
        <v>2855.5</v>
      </c>
      <c r="G132" s="3">
        <v>32090575</v>
      </c>
      <c r="H132" s="3">
        <f t="shared" ref="H132:H195" si="6">+G132*B132</f>
        <v>82240121081.25</v>
      </c>
      <c r="J132" s="3">
        <v>148845000</v>
      </c>
      <c r="K132" s="3">
        <f t="shared" ref="K132:K195" si="7">+J132*E132</f>
        <v>425026897500</v>
      </c>
      <c r="M132" s="4">
        <f t="shared" ref="M132:M195" si="8">1- (H132/K132)</f>
        <v>0.80650607863882307</v>
      </c>
    </row>
    <row r="133" spans="1:13" x14ac:dyDescent="0.45">
      <c r="A133" s="2">
        <v>45750</v>
      </c>
      <c r="B133" s="3">
        <v>2635.35</v>
      </c>
      <c r="D133" s="2">
        <v>45750</v>
      </c>
      <c r="E133" s="3">
        <v>2898.75</v>
      </c>
      <c r="G133" s="3">
        <v>32090575</v>
      </c>
      <c r="H133" s="3">
        <f t="shared" si="6"/>
        <v>84569896826.25</v>
      </c>
      <c r="J133" s="3">
        <v>148845000</v>
      </c>
      <c r="K133" s="3">
        <f t="shared" si="7"/>
        <v>431464443750</v>
      </c>
      <c r="M133" s="4">
        <f t="shared" si="8"/>
        <v>0.80399335785070702</v>
      </c>
    </row>
    <row r="134" spans="1:13" x14ac:dyDescent="0.45">
      <c r="A134" s="2">
        <v>45749</v>
      </c>
      <c r="B134" s="3">
        <v>2615</v>
      </c>
      <c r="D134" s="2">
        <v>45749</v>
      </c>
      <c r="E134" s="3">
        <v>2981.15</v>
      </c>
      <c r="G134" s="3">
        <v>32090575</v>
      </c>
      <c r="H134" s="3">
        <f t="shared" si="6"/>
        <v>83916853625</v>
      </c>
      <c r="J134" s="3">
        <v>148845000</v>
      </c>
      <c r="K134" s="3">
        <f t="shared" si="7"/>
        <v>443729271750</v>
      </c>
      <c r="M134" s="4">
        <f t="shared" si="8"/>
        <v>0.81088276350567356</v>
      </c>
    </row>
    <row r="135" spans="1:13" x14ac:dyDescent="0.45">
      <c r="A135" s="2">
        <v>45748</v>
      </c>
      <c r="B135" s="3">
        <v>2583.8000000000002</v>
      </c>
      <c r="D135" s="2">
        <v>45748</v>
      </c>
      <c r="E135" s="3">
        <v>2878.5</v>
      </c>
      <c r="G135" s="3">
        <v>32090575</v>
      </c>
      <c r="H135" s="3">
        <f t="shared" si="6"/>
        <v>82915627685</v>
      </c>
      <c r="J135" s="3">
        <v>148845000</v>
      </c>
      <c r="K135" s="3">
        <f t="shared" si="7"/>
        <v>428450332500</v>
      </c>
      <c r="M135" s="4">
        <f t="shared" si="8"/>
        <v>0.80647552027515346</v>
      </c>
    </row>
    <row r="136" spans="1:13" x14ac:dyDescent="0.45">
      <c r="A136" s="2">
        <v>45744</v>
      </c>
      <c r="B136" s="3">
        <v>2545.65</v>
      </c>
      <c r="D136" s="2">
        <v>45744</v>
      </c>
      <c r="E136" s="3">
        <v>2939.35</v>
      </c>
      <c r="G136" s="3">
        <v>32090575</v>
      </c>
      <c r="H136" s="3">
        <f t="shared" si="6"/>
        <v>81691372248.75</v>
      </c>
      <c r="J136" s="3">
        <v>148845000</v>
      </c>
      <c r="K136" s="3">
        <f t="shared" si="7"/>
        <v>437507550750</v>
      </c>
      <c r="M136" s="4">
        <f t="shared" si="8"/>
        <v>0.8132800860037499</v>
      </c>
    </row>
    <row r="137" spans="1:13" x14ac:dyDescent="0.45">
      <c r="A137" s="2">
        <v>45743</v>
      </c>
      <c r="B137" s="3">
        <v>2608.4499999999998</v>
      </c>
      <c r="D137" s="2">
        <v>45743</v>
      </c>
      <c r="E137" s="3">
        <v>2940.5</v>
      </c>
      <c r="G137" s="3">
        <v>32090575</v>
      </c>
      <c r="H137" s="3">
        <f t="shared" si="6"/>
        <v>83706660358.75</v>
      </c>
      <c r="J137" s="3">
        <v>148845000</v>
      </c>
      <c r="K137" s="3">
        <f t="shared" si="7"/>
        <v>437678722500</v>
      </c>
      <c r="M137" s="4">
        <f t="shared" si="8"/>
        <v>0.80874861843723733</v>
      </c>
    </row>
    <row r="138" spans="1:13" x14ac:dyDescent="0.45">
      <c r="A138" s="2">
        <v>45742</v>
      </c>
      <c r="B138" s="3">
        <v>2593.15</v>
      </c>
      <c r="D138" s="2">
        <v>45742</v>
      </c>
      <c r="E138" s="3">
        <v>2870.45</v>
      </c>
      <c r="G138" s="3">
        <v>32090575</v>
      </c>
      <c r="H138" s="3">
        <f t="shared" si="6"/>
        <v>83215674561.25</v>
      </c>
      <c r="J138" s="3">
        <v>148845000</v>
      </c>
      <c r="K138" s="3">
        <f t="shared" si="7"/>
        <v>427252130250</v>
      </c>
      <c r="M138" s="4">
        <f t="shared" si="8"/>
        <v>0.8052305215832215</v>
      </c>
    </row>
    <row r="139" spans="1:13" x14ac:dyDescent="0.45">
      <c r="A139" s="2">
        <v>45741</v>
      </c>
      <c r="B139" s="3">
        <v>2641.15</v>
      </c>
      <c r="D139" s="2">
        <v>45741</v>
      </c>
      <c r="E139" s="3">
        <v>2944.25</v>
      </c>
      <c r="G139" s="3">
        <v>32090575</v>
      </c>
      <c r="H139" s="3">
        <f t="shared" si="6"/>
        <v>84756022161.25</v>
      </c>
      <c r="J139" s="3">
        <v>148845000</v>
      </c>
      <c r="K139" s="3">
        <f t="shared" si="7"/>
        <v>438236891250</v>
      </c>
      <c r="M139" s="4">
        <f t="shared" si="8"/>
        <v>0.80659770125810926</v>
      </c>
    </row>
    <row r="140" spans="1:13" x14ac:dyDescent="0.45">
      <c r="A140" s="2">
        <v>45740</v>
      </c>
      <c r="B140" s="3">
        <v>2665.75</v>
      </c>
      <c r="D140" s="2">
        <v>45740</v>
      </c>
      <c r="E140" s="3">
        <v>2991.75</v>
      </c>
      <c r="G140" s="3">
        <v>32090575</v>
      </c>
      <c r="H140" s="3">
        <f t="shared" si="6"/>
        <v>85545450306.25</v>
      </c>
      <c r="J140" s="3">
        <v>148845000</v>
      </c>
      <c r="K140" s="3">
        <f t="shared" si="7"/>
        <v>445307028750</v>
      </c>
      <c r="M140" s="4">
        <f t="shared" si="8"/>
        <v>0.80789557589876693</v>
      </c>
    </row>
    <row r="141" spans="1:13" x14ac:dyDescent="0.45">
      <c r="A141" s="2">
        <v>45737</v>
      </c>
      <c r="B141" s="3">
        <v>2676.7</v>
      </c>
      <c r="D141" s="2">
        <v>45737</v>
      </c>
      <c r="E141" s="3">
        <v>3023.9</v>
      </c>
      <c r="G141" s="3">
        <v>32090575</v>
      </c>
      <c r="H141" s="3">
        <f t="shared" si="6"/>
        <v>85896842102.5</v>
      </c>
      <c r="J141" s="3">
        <v>148845000</v>
      </c>
      <c r="K141" s="3">
        <f t="shared" si="7"/>
        <v>450092395500</v>
      </c>
      <c r="M141" s="4">
        <f t="shared" si="8"/>
        <v>0.8091573131177241</v>
      </c>
    </row>
    <row r="142" spans="1:13" x14ac:dyDescent="0.45">
      <c r="A142" s="2">
        <v>45736</v>
      </c>
      <c r="B142" s="3">
        <v>2651.75</v>
      </c>
      <c r="D142" s="2">
        <v>45736</v>
      </c>
      <c r="E142" s="3">
        <v>2989.7</v>
      </c>
      <c r="G142" s="3">
        <v>32090575</v>
      </c>
      <c r="H142" s="3">
        <f t="shared" si="6"/>
        <v>85096182256.25</v>
      </c>
      <c r="J142" s="3">
        <v>148845000</v>
      </c>
      <c r="K142" s="3">
        <f t="shared" si="7"/>
        <v>445001896500</v>
      </c>
      <c r="M142" s="4">
        <f t="shared" si="8"/>
        <v>0.80877343911218591</v>
      </c>
    </row>
    <row r="143" spans="1:13" x14ac:dyDescent="0.45">
      <c r="A143" s="2">
        <v>45735</v>
      </c>
      <c r="B143" s="3">
        <v>2646.8</v>
      </c>
      <c r="D143" s="2">
        <v>45735</v>
      </c>
      <c r="E143" s="3">
        <v>3001.7</v>
      </c>
      <c r="G143" s="3">
        <v>32090575</v>
      </c>
      <c r="H143" s="3">
        <f t="shared" si="6"/>
        <v>84937333910</v>
      </c>
      <c r="J143" s="3">
        <v>148845000</v>
      </c>
      <c r="K143" s="3">
        <f t="shared" si="7"/>
        <v>446788036500</v>
      </c>
      <c r="M143" s="4">
        <f t="shared" si="8"/>
        <v>0.8098934461733287</v>
      </c>
    </row>
    <row r="144" spans="1:13" x14ac:dyDescent="0.45">
      <c r="A144" s="2">
        <v>45734</v>
      </c>
      <c r="B144" s="3">
        <v>2517.65</v>
      </c>
      <c r="D144" s="2">
        <v>45734</v>
      </c>
      <c r="E144" s="3">
        <v>2987.85</v>
      </c>
      <c r="G144" s="3">
        <v>32090575</v>
      </c>
      <c r="H144" s="3">
        <f t="shared" si="6"/>
        <v>80792836148.75</v>
      </c>
      <c r="J144" s="3">
        <v>148845000</v>
      </c>
      <c r="K144" s="3">
        <f t="shared" si="7"/>
        <v>444726533250</v>
      </c>
      <c r="M144" s="4">
        <f t="shared" si="8"/>
        <v>0.81833142367664213</v>
      </c>
    </row>
    <row r="145" spans="1:13" x14ac:dyDescent="0.45">
      <c r="A145" s="2">
        <v>45733</v>
      </c>
      <c r="B145" s="3">
        <v>2444.3000000000002</v>
      </c>
      <c r="D145" s="2">
        <v>45733</v>
      </c>
      <c r="E145" s="3">
        <v>3016.3</v>
      </c>
      <c r="G145" s="3">
        <v>32090575</v>
      </c>
      <c r="H145" s="3">
        <f t="shared" si="6"/>
        <v>78438992472.5</v>
      </c>
      <c r="J145" s="3">
        <v>148845000</v>
      </c>
      <c r="K145" s="3">
        <f t="shared" si="7"/>
        <v>448961173500</v>
      </c>
      <c r="M145" s="4">
        <f t="shared" si="8"/>
        <v>0.82528780415240077</v>
      </c>
    </row>
    <row r="146" spans="1:13" x14ac:dyDescent="0.45">
      <c r="A146" s="2">
        <v>45729</v>
      </c>
      <c r="B146" s="3">
        <v>2415.0500000000002</v>
      </c>
      <c r="D146" s="2">
        <v>45729</v>
      </c>
      <c r="E146" s="3">
        <v>2946.4</v>
      </c>
      <c r="G146" s="3">
        <v>32090575</v>
      </c>
      <c r="H146" s="3">
        <f t="shared" si="6"/>
        <v>77500343153.75</v>
      </c>
      <c r="J146" s="3">
        <v>148845000</v>
      </c>
      <c r="K146" s="3">
        <f t="shared" si="7"/>
        <v>438556908000</v>
      </c>
      <c r="M146" s="4">
        <f t="shared" si="8"/>
        <v>0.82328326896688631</v>
      </c>
    </row>
    <row r="147" spans="1:13" x14ac:dyDescent="0.45">
      <c r="A147" s="2">
        <v>45728</v>
      </c>
      <c r="B147" s="3">
        <v>2439.6</v>
      </c>
      <c r="D147" s="2">
        <v>45728</v>
      </c>
      <c r="E147" s="3">
        <v>2957.2</v>
      </c>
      <c r="G147" s="3">
        <v>32090575</v>
      </c>
      <c r="H147" s="3">
        <f t="shared" si="6"/>
        <v>78288166770</v>
      </c>
      <c r="J147" s="3">
        <v>148845000</v>
      </c>
      <c r="K147" s="3">
        <f t="shared" si="7"/>
        <v>440164434000</v>
      </c>
      <c r="M147" s="4">
        <f t="shared" si="8"/>
        <v>0.8221388173993176</v>
      </c>
    </row>
    <row r="148" spans="1:13" x14ac:dyDescent="0.45">
      <c r="A148" s="2">
        <v>45727</v>
      </c>
      <c r="B148" s="3">
        <v>2410.5</v>
      </c>
      <c r="D148" s="2">
        <v>45727</v>
      </c>
      <c r="E148" s="3">
        <v>2928.5</v>
      </c>
      <c r="G148" s="3">
        <v>32090575</v>
      </c>
      <c r="H148" s="3">
        <f t="shared" si="6"/>
        <v>77354331037.5</v>
      </c>
      <c r="J148" s="3">
        <v>148845000</v>
      </c>
      <c r="K148" s="3">
        <f t="shared" si="7"/>
        <v>435892582500</v>
      </c>
      <c r="M148" s="4">
        <f t="shared" si="8"/>
        <v>0.82253808818253982</v>
      </c>
    </row>
    <row r="149" spans="1:13" x14ac:dyDescent="0.45">
      <c r="A149" s="2">
        <v>45726</v>
      </c>
      <c r="B149" s="3">
        <v>2437.85</v>
      </c>
      <c r="D149" s="2">
        <v>45726</v>
      </c>
      <c r="E149" s="3">
        <v>2925.3</v>
      </c>
      <c r="G149" s="3">
        <v>32090575</v>
      </c>
      <c r="H149" s="3">
        <f t="shared" si="6"/>
        <v>78232008263.75</v>
      </c>
      <c r="J149" s="3">
        <v>148845000</v>
      </c>
      <c r="K149" s="3">
        <f t="shared" si="7"/>
        <v>435416278500</v>
      </c>
      <c r="M149" s="4">
        <f t="shared" si="8"/>
        <v>0.82032824189932074</v>
      </c>
    </row>
    <row r="150" spans="1:13" x14ac:dyDescent="0.45">
      <c r="A150" s="2">
        <v>45723</v>
      </c>
      <c r="B150" s="3">
        <v>2434.85</v>
      </c>
      <c r="D150" s="2">
        <v>45723</v>
      </c>
      <c r="E150" s="3">
        <v>2934.35</v>
      </c>
      <c r="G150" s="3">
        <v>32090575</v>
      </c>
      <c r="H150" s="3">
        <f t="shared" si="6"/>
        <v>78135736538.75</v>
      </c>
      <c r="J150" s="3">
        <v>148845000</v>
      </c>
      <c r="K150" s="3">
        <f t="shared" si="7"/>
        <v>436763325750</v>
      </c>
      <c r="M150" s="4">
        <f t="shared" si="8"/>
        <v>0.82110279885661852</v>
      </c>
    </row>
    <row r="151" spans="1:13" x14ac:dyDescent="0.45">
      <c r="A151" s="2">
        <v>45722</v>
      </c>
      <c r="B151" s="3">
        <v>2434.4499999999998</v>
      </c>
      <c r="D151" s="2">
        <v>45722</v>
      </c>
      <c r="E151" s="3">
        <v>2848.75</v>
      </c>
      <c r="G151" s="3">
        <v>32090575</v>
      </c>
      <c r="H151" s="3">
        <f t="shared" si="6"/>
        <v>78122900308.75</v>
      </c>
      <c r="J151" s="3">
        <v>148845000</v>
      </c>
      <c r="K151" s="3">
        <f t="shared" si="7"/>
        <v>424022193750</v>
      </c>
      <c r="M151" s="4">
        <f t="shared" si="8"/>
        <v>0.8157575205725891</v>
      </c>
    </row>
    <row r="152" spans="1:13" x14ac:dyDescent="0.45">
      <c r="A152" s="2">
        <v>45721</v>
      </c>
      <c r="B152" s="3">
        <v>2429.25</v>
      </c>
      <c r="D152" s="2">
        <v>45721</v>
      </c>
      <c r="E152" s="3">
        <v>2846.05</v>
      </c>
      <c r="G152" s="3">
        <v>32090575</v>
      </c>
      <c r="H152" s="3">
        <f t="shared" si="6"/>
        <v>77956029318.75</v>
      </c>
      <c r="J152" s="3">
        <v>148845000</v>
      </c>
      <c r="K152" s="3">
        <f t="shared" si="7"/>
        <v>423620312250</v>
      </c>
      <c r="M152" s="4">
        <f t="shared" si="8"/>
        <v>0.81597664921991708</v>
      </c>
    </row>
    <row r="153" spans="1:13" x14ac:dyDescent="0.45">
      <c r="A153" s="2">
        <v>45720</v>
      </c>
      <c r="B153" s="3">
        <v>2425.6</v>
      </c>
      <c r="D153" s="2">
        <v>45720</v>
      </c>
      <c r="E153" s="3">
        <v>2853.55</v>
      </c>
      <c r="G153" s="3">
        <v>32090575</v>
      </c>
      <c r="H153" s="3">
        <f t="shared" si="6"/>
        <v>77838898720</v>
      </c>
      <c r="J153" s="3">
        <v>148845000</v>
      </c>
      <c r="K153" s="3">
        <f t="shared" si="7"/>
        <v>424736649750</v>
      </c>
      <c r="M153" s="4">
        <f t="shared" si="8"/>
        <v>0.8167360910205983</v>
      </c>
    </row>
    <row r="154" spans="1:13" x14ac:dyDescent="0.45">
      <c r="A154" s="2">
        <v>45719</v>
      </c>
      <c r="B154" s="3">
        <v>2432.1</v>
      </c>
      <c r="D154" s="2">
        <v>45719</v>
      </c>
      <c r="E154" s="3">
        <v>2826.9</v>
      </c>
      <c r="G154" s="3">
        <v>32090575</v>
      </c>
      <c r="H154" s="3">
        <f t="shared" si="6"/>
        <v>78047487457.5</v>
      </c>
      <c r="J154" s="3">
        <v>148845000</v>
      </c>
      <c r="K154" s="3">
        <f t="shared" si="7"/>
        <v>420769930500</v>
      </c>
      <c r="M154" s="4">
        <f t="shared" si="8"/>
        <v>0.81451267830674989</v>
      </c>
    </row>
    <row r="155" spans="1:13" x14ac:dyDescent="0.45">
      <c r="A155" s="2">
        <v>45716</v>
      </c>
      <c r="B155" s="3">
        <v>2421.4499999999998</v>
      </c>
      <c r="D155" s="2">
        <v>45716</v>
      </c>
      <c r="E155" s="3">
        <v>2795.2</v>
      </c>
      <c r="G155" s="3">
        <v>32090575</v>
      </c>
      <c r="H155" s="3">
        <f t="shared" si="6"/>
        <v>77705722833.75</v>
      </c>
      <c r="J155" s="3">
        <v>148845000</v>
      </c>
      <c r="K155" s="3">
        <f t="shared" si="7"/>
        <v>416051544000</v>
      </c>
      <c r="M155" s="4">
        <f t="shared" si="8"/>
        <v>0.81323053848888005</v>
      </c>
    </row>
    <row r="156" spans="1:13" x14ac:dyDescent="0.45">
      <c r="A156" s="2">
        <v>45715</v>
      </c>
      <c r="B156" s="3">
        <v>2472.9</v>
      </c>
      <c r="D156" s="2">
        <v>45715</v>
      </c>
      <c r="E156" s="3">
        <v>2854</v>
      </c>
      <c r="G156" s="3">
        <v>32090575</v>
      </c>
      <c r="H156" s="3">
        <f t="shared" si="6"/>
        <v>79356782917.5</v>
      </c>
      <c r="J156" s="3">
        <v>148845000</v>
      </c>
      <c r="K156" s="3">
        <f t="shared" si="7"/>
        <v>424803630000</v>
      </c>
      <c r="M156" s="4">
        <f t="shared" si="8"/>
        <v>0.81319184368198549</v>
      </c>
    </row>
    <row r="157" spans="1:13" x14ac:dyDescent="0.45">
      <c r="A157" s="2">
        <v>45713</v>
      </c>
      <c r="B157" s="3">
        <v>2457.1999999999998</v>
      </c>
      <c r="D157" s="2">
        <v>45713</v>
      </c>
      <c r="E157" s="3">
        <v>2762.9</v>
      </c>
      <c r="G157" s="3">
        <v>32090575</v>
      </c>
      <c r="H157" s="3">
        <f t="shared" si="6"/>
        <v>78852960890</v>
      </c>
      <c r="J157" s="3">
        <v>148845000</v>
      </c>
      <c r="K157" s="3">
        <f t="shared" si="7"/>
        <v>411243850500</v>
      </c>
      <c r="M157" s="4">
        <f t="shared" si="8"/>
        <v>0.80825741030746423</v>
      </c>
    </row>
    <row r="158" spans="1:13" x14ac:dyDescent="0.45">
      <c r="A158" s="2">
        <v>45712</v>
      </c>
      <c r="B158" s="3">
        <v>2483.85</v>
      </c>
      <c r="D158" s="2">
        <v>45712</v>
      </c>
      <c r="E158" s="3">
        <v>2757.65</v>
      </c>
      <c r="G158" s="3">
        <v>32090575</v>
      </c>
      <c r="H158" s="3">
        <f t="shared" si="6"/>
        <v>79708174713.75</v>
      </c>
      <c r="J158" s="3">
        <v>148845000</v>
      </c>
      <c r="K158" s="3">
        <f t="shared" si="7"/>
        <v>410462414250</v>
      </c>
      <c r="M158" s="4">
        <f t="shared" si="8"/>
        <v>0.80580883426465888</v>
      </c>
    </row>
    <row r="159" spans="1:13" x14ac:dyDescent="0.45">
      <c r="A159" s="2">
        <v>45709</v>
      </c>
      <c r="B159" s="3">
        <v>2502.65</v>
      </c>
      <c r="D159" s="2">
        <v>45709</v>
      </c>
      <c r="E159" s="3">
        <v>2776.2</v>
      </c>
      <c r="G159" s="3">
        <v>32090575</v>
      </c>
      <c r="H159" s="3">
        <f t="shared" si="6"/>
        <v>80311477523.75</v>
      </c>
      <c r="J159" s="3">
        <v>148845000</v>
      </c>
      <c r="K159" s="3">
        <f t="shared" si="7"/>
        <v>413223489000</v>
      </c>
      <c r="M159" s="4">
        <f t="shared" si="8"/>
        <v>0.80564638830647406</v>
      </c>
    </row>
    <row r="160" spans="1:13" x14ac:dyDescent="0.45">
      <c r="A160" s="2">
        <v>45708</v>
      </c>
      <c r="B160" s="3">
        <v>2496.25</v>
      </c>
      <c r="D160" s="2">
        <v>45708</v>
      </c>
      <c r="E160" s="3">
        <v>2795.45</v>
      </c>
      <c r="G160" s="3">
        <v>32090575</v>
      </c>
      <c r="H160" s="3">
        <f t="shared" si="6"/>
        <v>80106097843.75</v>
      </c>
      <c r="J160" s="3">
        <v>148845000</v>
      </c>
      <c r="K160" s="3">
        <f t="shared" si="7"/>
        <v>416088755250</v>
      </c>
      <c r="M160" s="4">
        <f t="shared" si="8"/>
        <v>0.807478340058434</v>
      </c>
    </row>
    <row r="161" spans="1:13" x14ac:dyDescent="0.45">
      <c r="A161" s="2">
        <v>45707</v>
      </c>
      <c r="B161" s="3">
        <v>2500.65</v>
      </c>
      <c r="D161" s="2">
        <v>45707</v>
      </c>
      <c r="E161" s="3">
        <v>2727.25</v>
      </c>
      <c r="G161" s="3">
        <v>32090575</v>
      </c>
      <c r="H161" s="3">
        <f t="shared" si="6"/>
        <v>80247296373.75</v>
      </c>
      <c r="J161" s="3">
        <v>148845000</v>
      </c>
      <c r="K161" s="3">
        <f t="shared" si="7"/>
        <v>405937526250</v>
      </c>
      <c r="M161" s="4">
        <f t="shared" si="8"/>
        <v>0.80231614180865596</v>
      </c>
    </row>
    <row r="162" spans="1:13" x14ac:dyDescent="0.45">
      <c r="A162" s="2">
        <v>45706</v>
      </c>
      <c r="B162" s="3">
        <v>2475.5500000000002</v>
      </c>
      <c r="D162" s="2">
        <v>45706</v>
      </c>
      <c r="E162" s="3">
        <v>2741.4</v>
      </c>
      <c r="G162" s="3">
        <v>32090575</v>
      </c>
      <c r="H162" s="3">
        <f t="shared" si="6"/>
        <v>79441822941.25</v>
      </c>
      <c r="J162" s="3">
        <v>148845000</v>
      </c>
      <c r="K162" s="3">
        <f t="shared" si="7"/>
        <v>408043683000</v>
      </c>
      <c r="M162" s="4">
        <f t="shared" si="8"/>
        <v>0.80531049431477175</v>
      </c>
    </row>
    <row r="163" spans="1:13" x14ac:dyDescent="0.45">
      <c r="A163" s="2">
        <v>45705</v>
      </c>
      <c r="B163" s="3">
        <v>2518.9499999999998</v>
      </c>
      <c r="D163" s="2">
        <v>45705</v>
      </c>
      <c r="E163" s="3">
        <v>2748.85</v>
      </c>
      <c r="G163" s="3">
        <v>32090575</v>
      </c>
      <c r="H163" s="3">
        <f t="shared" si="6"/>
        <v>80834553896.25</v>
      </c>
      <c r="J163" s="3">
        <v>148845000</v>
      </c>
      <c r="K163" s="3">
        <f t="shared" si="7"/>
        <v>409152578250</v>
      </c>
      <c r="M163" s="4">
        <f t="shared" si="8"/>
        <v>0.80243420622695294</v>
      </c>
    </row>
    <row r="164" spans="1:13" x14ac:dyDescent="0.45">
      <c r="A164" s="2">
        <v>45702</v>
      </c>
      <c r="B164" s="3">
        <v>2533.85</v>
      </c>
      <c r="D164" s="2">
        <v>45702</v>
      </c>
      <c r="E164" s="3">
        <v>2751.35</v>
      </c>
      <c r="G164" s="3">
        <v>32090575</v>
      </c>
      <c r="H164" s="3">
        <f t="shared" si="6"/>
        <v>81312703463.75</v>
      </c>
      <c r="J164" s="3">
        <v>148845000</v>
      </c>
      <c r="K164" s="3">
        <f t="shared" si="7"/>
        <v>409524690750</v>
      </c>
      <c r="M164" s="4">
        <f t="shared" si="8"/>
        <v>0.80144615135455055</v>
      </c>
    </row>
    <row r="165" spans="1:13" x14ac:dyDescent="0.45">
      <c r="A165" s="2">
        <v>45701</v>
      </c>
      <c r="B165" s="3">
        <v>2626.8</v>
      </c>
      <c r="D165" s="2">
        <v>45701</v>
      </c>
      <c r="E165" s="3">
        <v>2841.4</v>
      </c>
      <c r="G165" s="3">
        <v>32090575</v>
      </c>
      <c r="H165" s="3">
        <f t="shared" si="6"/>
        <v>84295522410</v>
      </c>
      <c r="J165" s="3">
        <v>148845000</v>
      </c>
      <c r="K165" s="3">
        <f t="shared" si="7"/>
        <v>422928183000</v>
      </c>
      <c r="M165" s="4">
        <f t="shared" si="8"/>
        <v>0.80068596561227512</v>
      </c>
    </row>
    <row r="166" spans="1:13" x14ac:dyDescent="0.45">
      <c r="A166" s="2">
        <v>45700</v>
      </c>
      <c r="B166" s="3">
        <v>2599.4</v>
      </c>
      <c r="D166" s="2">
        <v>45700</v>
      </c>
      <c r="E166" s="3">
        <v>2823.8</v>
      </c>
      <c r="G166" s="3">
        <v>32090575</v>
      </c>
      <c r="H166" s="3">
        <f t="shared" si="6"/>
        <v>83416240655</v>
      </c>
      <c r="J166" s="3">
        <v>148845000</v>
      </c>
      <c r="K166" s="3">
        <f t="shared" si="7"/>
        <v>420308511000</v>
      </c>
      <c r="M166" s="4">
        <f t="shared" si="8"/>
        <v>0.80153568516484308</v>
      </c>
    </row>
    <row r="167" spans="1:13" x14ac:dyDescent="0.45">
      <c r="A167" s="2">
        <v>45699</v>
      </c>
      <c r="B167" s="3">
        <v>2611.1</v>
      </c>
      <c r="D167" s="2">
        <v>45699</v>
      </c>
      <c r="E167" s="3">
        <v>2809.35</v>
      </c>
      <c r="G167" s="3">
        <v>32090575</v>
      </c>
      <c r="H167" s="3">
        <f t="shared" si="6"/>
        <v>83791700382.5</v>
      </c>
      <c r="J167" s="3">
        <v>148845000</v>
      </c>
      <c r="K167" s="3">
        <f t="shared" si="7"/>
        <v>418157700750</v>
      </c>
      <c r="M167" s="4">
        <f t="shared" si="8"/>
        <v>0.79961698605044762</v>
      </c>
    </row>
    <row r="168" spans="1:13" x14ac:dyDescent="0.45">
      <c r="A168" s="2">
        <v>45698</v>
      </c>
      <c r="B168" s="3">
        <v>2668.95</v>
      </c>
      <c r="D168" s="2">
        <v>45698</v>
      </c>
      <c r="E168" s="3">
        <v>2857.15</v>
      </c>
      <c r="G168" s="3">
        <v>32090575</v>
      </c>
      <c r="H168" s="3">
        <f t="shared" si="6"/>
        <v>85648140146.25</v>
      </c>
      <c r="J168" s="3">
        <v>148845000</v>
      </c>
      <c r="K168" s="3">
        <f t="shared" si="7"/>
        <v>425272491750</v>
      </c>
      <c r="M168" s="4">
        <f t="shared" si="8"/>
        <v>0.79860409077058536</v>
      </c>
    </row>
    <row r="169" spans="1:13" x14ac:dyDescent="0.45">
      <c r="A169" s="2">
        <v>45695</v>
      </c>
      <c r="B169" s="3">
        <v>2715.2</v>
      </c>
      <c r="D169" s="2">
        <v>45695</v>
      </c>
      <c r="E169" s="3">
        <v>2881.5</v>
      </c>
      <c r="G169" s="3">
        <v>32090575</v>
      </c>
      <c r="H169" s="3">
        <f t="shared" si="6"/>
        <v>87132329240</v>
      </c>
      <c r="J169" s="3">
        <v>148845000</v>
      </c>
      <c r="K169" s="3">
        <f t="shared" si="7"/>
        <v>428896867500</v>
      </c>
      <c r="M169" s="4">
        <f t="shared" si="8"/>
        <v>0.79684549866757881</v>
      </c>
    </row>
    <row r="170" spans="1:13" x14ac:dyDescent="0.45">
      <c r="A170" s="2">
        <v>45694</v>
      </c>
      <c r="B170" s="3">
        <v>2713.5</v>
      </c>
      <c r="D170" s="2">
        <v>45694</v>
      </c>
      <c r="E170" s="3">
        <v>2894.45</v>
      </c>
      <c r="G170" s="3">
        <v>32090575</v>
      </c>
      <c r="H170" s="3">
        <f t="shared" si="6"/>
        <v>87077775262.5</v>
      </c>
      <c r="J170" s="3">
        <v>148845000</v>
      </c>
      <c r="K170" s="3">
        <f t="shared" si="7"/>
        <v>430824410250</v>
      </c>
      <c r="M170" s="4">
        <f t="shared" si="8"/>
        <v>0.79788105504056683</v>
      </c>
    </row>
    <row r="171" spans="1:13" x14ac:dyDescent="0.45">
      <c r="A171" s="2">
        <v>45693</v>
      </c>
      <c r="B171" s="3">
        <v>2747.8</v>
      </c>
      <c r="D171" s="2">
        <v>45693</v>
      </c>
      <c r="E171" s="3">
        <v>2960.05</v>
      </c>
      <c r="G171" s="3">
        <v>32090575</v>
      </c>
      <c r="H171" s="3">
        <f t="shared" si="6"/>
        <v>88178481985</v>
      </c>
      <c r="J171" s="3">
        <v>148845000</v>
      </c>
      <c r="K171" s="3">
        <f t="shared" si="7"/>
        <v>440588642250</v>
      </c>
      <c r="M171" s="4">
        <f t="shared" si="8"/>
        <v>0.79986210825887438</v>
      </c>
    </row>
    <row r="172" spans="1:13" x14ac:dyDescent="0.45">
      <c r="A172" s="2">
        <v>45692</v>
      </c>
      <c r="B172" s="3">
        <v>2725.95</v>
      </c>
      <c r="D172" s="2">
        <v>45692</v>
      </c>
      <c r="E172" s="3">
        <v>2968.15</v>
      </c>
      <c r="G172" s="3">
        <v>32090575</v>
      </c>
      <c r="H172" s="3">
        <f t="shared" si="6"/>
        <v>87477302921.25</v>
      </c>
      <c r="J172" s="3">
        <v>148845000</v>
      </c>
      <c r="K172" s="3">
        <f t="shared" si="7"/>
        <v>441794286750</v>
      </c>
      <c r="M172" s="4">
        <f t="shared" si="8"/>
        <v>0.80199539571965728</v>
      </c>
    </row>
    <row r="173" spans="1:13" x14ac:dyDescent="0.45">
      <c r="A173" s="2">
        <v>45691</v>
      </c>
      <c r="B173" s="3">
        <v>2668.45</v>
      </c>
      <c r="D173" s="2">
        <v>45691</v>
      </c>
      <c r="E173" s="3">
        <v>2944.45</v>
      </c>
      <c r="G173" s="3">
        <v>32090575</v>
      </c>
      <c r="H173" s="3">
        <f t="shared" si="6"/>
        <v>85632094858.75</v>
      </c>
      <c r="J173" s="3">
        <v>148845000</v>
      </c>
      <c r="K173" s="3">
        <f t="shared" si="7"/>
        <v>438266660250</v>
      </c>
      <c r="M173" s="4">
        <f t="shared" si="8"/>
        <v>0.804611889004053</v>
      </c>
    </row>
    <row r="174" spans="1:13" x14ac:dyDescent="0.45">
      <c r="A174" s="2">
        <v>45689</v>
      </c>
      <c r="B174" s="3">
        <v>2612.0500000000002</v>
      </c>
      <c r="D174" s="2">
        <v>45689</v>
      </c>
      <c r="E174" s="3">
        <v>2826.55</v>
      </c>
      <c r="G174" s="3">
        <v>32090575</v>
      </c>
      <c r="H174" s="3">
        <f t="shared" si="6"/>
        <v>83822186428.75</v>
      </c>
      <c r="J174" s="3">
        <v>148845000</v>
      </c>
      <c r="K174" s="3">
        <f t="shared" si="7"/>
        <v>420717834750</v>
      </c>
      <c r="M174" s="4">
        <f t="shared" si="8"/>
        <v>0.80076388613627703</v>
      </c>
    </row>
    <row r="175" spans="1:13" x14ac:dyDescent="0.45">
      <c r="A175" s="2">
        <v>45688</v>
      </c>
      <c r="B175" s="3">
        <v>2599.0500000000002</v>
      </c>
      <c r="D175" s="2">
        <v>45688</v>
      </c>
      <c r="E175" s="3">
        <v>2809.55</v>
      </c>
      <c r="G175" s="3">
        <v>32090575</v>
      </c>
      <c r="H175" s="3">
        <f t="shared" si="6"/>
        <v>83405008953.75</v>
      </c>
      <c r="J175" s="3">
        <v>148845000</v>
      </c>
      <c r="K175" s="3">
        <f t="shared" si="7"/>
        <v>418187469750</v>
      </c>
      <c r="M175" s="4">
        <f t="shared" si="8"/>
        <v>0.80055593486908871</v>
      </c>
    </row>
    <row r="176" spans="1:13" x14ac:dyDescent="0.45">
      <c r="A176" s="2">
        <v>45687</v>
      </c>
      <c r="B176" s="3">
        <v>2631.8</v>
      </c>
      <c r="D176" s="2">
        <v>45687</v>
      </c>
      <c r="E176" s="3">
        <v>2829.75</v>
      </c>
      <c r="G176" s="3">
        <v>32090575</v>
      </c>
      <c r="H176" s="3">
        <f t="shared" si="6"/>
        <v>84455975285</v>
      </c>
      <c r="J176" s="3">
        <v>148845000</v>
      </c>
      <c r="K176" s="3">
        <f t="shared" si="7"/>
        <v>421194138750</v>
      </c>
      <c r="M176" s="4">
        <f t="shared" si="8"/>
        <v>0.7994844478708929</v>
      </c>
    </row>
    <row r="177" spans="1:13" x14ac:dyDescent="0.45">
      <c r="A177" s="2">
        <v>45686</v>
      </c>
      <c r="B177" s="3">
        <v>2509.4499999999998</v>
      </c>
      <c r="D177" s="2">
        <v>45686</v>
      </c>
      <c r="E177" s="3">
        <v>2666.55</v>
      </c>
      <c r="G177" s="3">
        <v>32090575</v>
      </c>
      <c r="H177" s="3">
        <f t="shared" si="6"/>
        <v>80529693433.75</v>
      </c>
      <c r="J177" s="3">
        <v>148845000</v>
      </c>
      <c r="K177" s="3">
        <f t="shared" si="7"/>
        <v>396902634750</v>
      </c>
      <c r="M177" s="4">
        <f t="shared" si="8"/>
        <v>0.79710466400790247</v>
      </c>
    </row>
    <row r="178" spans="1:13" x14ac:dyDescent="0.45">
      <c r="A178" s="2">
        <v>45685</v>
      </c>
      <c r="B178" s="3">
        <v>2465.1999999999998</v>
      </c>
      <c r="D178" s="2">
        <v>45685</v>
      </c>
      <c r="E178" s="3">
        <v>2600</v>
      </c>
      <c r="G178" s="3">
        <v>32090575</v>
      </c>
      <c r="H178" s="3">
        <f t="shared" si="6"/>
        <v>79109685490</v>
      </c>
      <c r="J178" s="3">
        <v>148845000</v>
      </c>
      <c r="K178" s="3">
        <f t="shared" si="7"/>
        <v>386997000000</v>
      </c>
      <c r="M178" s="4">
        <f t="shared" si="8"/>
        <v>0.79558062338984536</v>
      </c>
    </row>
    <row r="179" spans="1:13" x14ac:dyDescent="0.45">
      <c r="A179" s="2">
        <v>45684</v>
      </c>
      <c r="B179" s="3">
        <v>2401.4499999999998</v>
      </c>
      <c r="D179" s="2">
        <v>45684</v>
      </c>
      <c r="E179" s="3">
        <v>2569.65</v>
      </c>
      <c r="G179" s="3">
        <v>32090575</v>
      </c>
      <c r="H179" s="3">
        <f t="shared" si="6"/>
        <v>77063911333.75</v>
      </c>
      <c r="J179" s="3">
        <v>148845000</v>
      </c>
      <c r="K179" s="3">
        <f t="shared" si="7"/>
        <v>382479554250</v>
      </c>
      <c r="M179" s="4">
        <f t="shared" si="8"/>
        <v>0.79851495203485112</v>
      </c>
    </row>
    <row r="180" spans="1:13" x14ac:dyDescent="0.45">
      <c r="A180" s="2">
        <v>45681</v>
      </c>
      <c r="B180" s="3">
        <v>2477.5</v>
      </c>
      <c r="D180" s="2">
        <v>45681</v>
      </c>
      <c r="E180" s="3">
        <v>2582.5500000000002</v>
      </c>
      <c r="G180" s="3">
        <v>32090575</v>
      </c>
      <c r="H180" s="3">
        <f t="shared" si="6"/>
        <v>79504399562.5</v>
      </c>
      <c r="J180" s="3">
        <v>148845000</v>
      </c>
      <c r="K180" s="3">
        <f t="shared" si="7"/>
        <v>384399654750</v>
      </c>
      <c r="M180" s="4">
        <f t="shared" si="8"/>
        <v>0.79317255210802196</v>
      </c>
    </row>
    <row r="181" spans="1:13" x14ac:dyDescent="0.45">
      <c r="A181" s="2">
        <v>45680</v>
      </c>
      <c r="B181" s="3">
        <v>2514.5</v>
      </c>
      <c r="D181" s="2">
        <v>45680</v>
      </c>
      <c r="E181" s="3">
        <v>2596.6999999999998</v>
      </c>
      <c r="G181" s="3">
        <v>32090575</v>
      </c>
      <c r="H181" s="3">
        <f t="shared" si="6"/>
        <v>80691750837.5</v>
      </c>
      <c r="J181" s="3">
        <v>148845000</v>
      </c>
      <c r="K181" s="3">
        <f t="shared" si="7"/>
        <v>386505811500</v>
      </c>
      <c r="M181" s="4">
        <f t="shared" si="8"/>
        <v>0.79122758717562003</v>
      </c>
    </row>
    <row r="182" spans="1:13" x14ac:dyDescent="0.45">
      <c r="A182" s="2">
        <v>45679</v>
      </c>
      <c r="B182" s="3">
        <v>2436.1999999999998</v>
      </c>
      <c r="D182" s="2">
        <v>45679</v>
      </c>
      <c r="E182" s="3">
        <v>2521.8000000000002</v>
      </c>
      <c r="G182" s="3">
        <v>32090575</v>
      </c>
      <c r="H182" s="3">
        <f t="shared" si="6"/>
        <v>78179058815</v>
      </c>
      <c r="J182" s="3">
        <v>148845000</v>
      </c>
      <c r="K182" s="3">
        <f t="shared" si="7"/>
        <v>375357321000</v>
      </c>
      <c r="M182" s="4">
        <f t="shared" si="8"/>
        <v>0.79172096975031425</v>
      </c>
    </row>
    <row r="183" spans="1:13" x14ac:dyDescent="0.45">
      <c r="A183" s="2">
        <v>45678</v>
      </c>
      <c r="B183" s="3">
        <v>2512.4499999999998</v>
      </c>
      <c r="D183" s="2">
        <v>45678</v>
      </c>
      <c r="E183" s="3">
        <v>2574.35</v>
      </c>
      <c r="G183" s="3">
        <v>32090575</v>
      </c>
      <c r="H183" s="3">
        <f t="shared" si="6"/>
        <v>80625965158.75</v>
      </c>
      <c r="J183" s="3">
        <v>148845000</v>
      </c>
      <c r="K183" s="3">
        <f t="shared" si="7"/>
        <v>383179125750</v>
      </c>
      <c r="M183" s="4">
        <f t="shared" si="8"/>
        <v>0.78958675005863099</v>
      </c>
    </row>
    <row r="184" spans="1:13" x14ac:dyDescent="0.45">
      <c r="A184" s="2">
        <v>45677</v>
      </c>
      <c r="B184" s="3">
        <v>2565.35</v>
      </c>
      <c r="D184" s="2">
        <v>45677</v>
      </c>
      <c r="E184" s="3">
        <v>2610.8000000000002</v>
      </c>
      <c r="G184" s="3">
        <v>32090575</v>
      </c>
      <c r="H184" s="3">
        <f t="shared" si="6"/>
        <v>82323556576.25</v>
      </c>
      <c r="J184" s="3">
        <v>148845000</v>
      </c>
      <c r="K184" s="3">
        <f t="shared" si="7"/>
        <v>388604526000</v>
      </c>
      <c r="M184" s="4">
        <f t="shared" si="8"/>
        <v>0.78815595015419349</v>
      </c>
    </row>
    <row r="185" spans="1:13" x14ac:dyDescent="0.45">
      <c r="A185" s="2">
        <v>45674</v>
      </c>
      <c r="B185" s="3">
        <v>2557</v>
      </c>
      <c r="D185" s="2">
        <v>45674</v>
      </c>
      <c r="E185" s="3">
        <v>2604.85</v>
      </c>
      <c r="G185" s="3">
        <v>32090575</v>
      </c>
      <c r="H185" s="3">
        <f t="shared" si="6"/>
        <v>82055600275</v>
      </c>
      <c r="J185" s="3">
        <v>148845000</v>
      </c>
      <c r="K185" s="3">
        <f t="shared" si="7"/>
        <v>387718898250</v>
      </c>
      <c r="M185" s="4">
        <f t="shared" si="8"/>
        <v>0.78836316556823904</v>
      </c>
    </row>
    <row r="186" spans="1:13" x14ac:dyDescent="0.45">
      <c r="A186" s="2">
        <v>45673</v>
      </c>
      <c r="B186" s="3">
        <v>2570.9</v>
      </c>
      <c r="D186" s="2">
        <v>45673</v>
      </c>
      <c r="E186" s="3">
        <v>2585.5</v>
      </c>
      <c r="G186" s="3">
        <v>32090575</v>
      </c>
      <c r="H186" s="3">
        <f t="shared" si="6"/>
        <v>82501659267.5</v>
      </c>
      <c r="J186" s="3">
        <v>148845000</v>
      </c>
      <c r="K186" s="3">
        <f t="shared" si="7"/>
        <v>384838747500</v>
      </c>
      <c r="M186" s="4">
        <f t="shared" si="8"/>
        <v>0.78562018558825086</v>
      </c>
    </row>
    <row r="187" spans="1:13" x14ac:dyDescent="0.45">
      <c r="A187" s="2">
        <v>45672</v>
      </c>
      <c r="B187" s="3">
        <v>2492.5</v>
      </c>
      <c r="D187" s="2">
        <v>45672</v>
      </c>
      <c r="E187" s="3">
        <v>2491.5500000000002</v>
      </c>
      <c r="G187" s="3">
        <v>32090575</v>
      </c>
      <c r="H187" s="3">
        <f t="shared" si="6"/>
        <v>79985758187.5</v>
      </c>
      <c r="J187" s="3">
        <v>148845000</v>
      </c>
      <c r="K187" s="3">
        <f t="shared" si="7"/>
        <v>370854759750</v>
      </c>
      <c r="M187" s="4">
        <f t="shared" si="8"/>
        <v>0.78432052957492071</v>
      </c>
    </row>
    <row r="188" spans="1:13" x14ac:dyDescent="0.45">
      <c r="A188" s="2">
        <v>45671</v>
      </c>
      <c r="B188" s="3">
        <v>2508.3000000000002</v>
      </c>
      <c r="D188" s="2">
        <v>45671</v>
      </c>
      <c r="E188" s="3">
        <v>2509.8000000000002</v>
      </c>
      <c r="G188" s="3">
        <v>32090575</v>
      </c>
      <c r="H188" s="3">
        <f t="shared" si="6"/>
        <v>80492789272.5</v>
      </c>
      <c r="J188" s="3">
        <v>148845000</v>
      </c>
      <c r="K188" s="3">
        <f t="shared" si="7"/>
        <v>373571181000</v>
      </c>
      <c r="M188" s="4">
        <f t="shared" si="8"/>
        <v>0.7845315876427309</v>
      </c>
    </row>
    <row r="189" spans="1:13" x14ac:dyDescent="0.45">
      <c r="A189" s="2">
        <v>45670</v>
      </c>
      <c r="B189" s="3">
        <v>2483.6</v>
      </c>
      <c r="D189" s="2">
        <v>45670</v>
      </c>
      <c r="E189" s="3">
        <v>2516.9</v>
      </c>
      <c r="G189" s="3">
        <v>32090575</v>
      </c>
      <c r="H189" s="3">
        <f t="shared" si="6"/>
        <v>79700152070</v>
      </c>
      <c r="J189" s="3">
        <v>148845000</v>
      </c>
      <c r="K189" s="3">
        <f t="shared" si="7"/>
        <v>374627980500</v>
      </c>
      <c r="M189" s="4">
        <f t="shared" si="8"/>
        <v>0.78725520724952891</v>
      </c>
    </row>
    <row r="190" spans="1:13" x14ac:dyDescent="0.45">
      <c r="A190" s="2">
        <v>45667</v>
      </c>
      <c r="B190" s="3">
        <v>2650.6</v>
      </c>
      <c r="D190" s="2">
        <v>45667</v>
      </c>
      <c r="E190" s="3">
        <v>2602.9499999999998</v>
      </c>
      <c r="G190" s="3">
        <v>32090575</v>
      </c>
      <c r="H190" s="3">
        <f t="shared" si="6"/>
        <v>85059278095</v>
      </c>
      <c r="J190" s="3">
        <v>148845000</v>
      </c>
      <c r="K190" s="3">
        <f t="shared" si="7"/>
        <v>387436092750</v>
      </c>
      <c r="M190" s="4">
        <f t="shared" si="8"/>
        <v>0.78045597793624766</v>
      </c>
    </row>
    <row r="191" spans="1:13" x14ac:dyDescent="0.45">
      <c r="A191" s="2">
        <v>45666</v>
      </c>
      <c r="B191" s="3">
        <v>2663.65</v>
      </c>
      <c r="D191" s="2">
        <v>45666</v>
      </c>
      <c r="E191" s="3">
        <v>2672.25</v>
      </c>
      <c r="G191" s="3">
        <v>32090575</v>
      </c>
      <c r="H191" s="3">
        <f t="shared" si="6"/>
        <v>85478060098.75</v>
      </c>
      <c r="J191" s="3">
        <v>148845000</v>
      </c>
      <c r="K191" s="3">
        <f t="shared" si="7"/>
        <v>397751051250</v>
      </c>
      <c r="M191" s="4">
        <f t="shared" si="8"/>
        <v>0.78509658282455641</v>
      </c>
    </row>
    <row r="192" spans="1:13" x14ac:dyDescent="0.45">
      <c r="A192" s="2">
        <v>45665</v>
      </c>
      <c r="B192" s="3">
        <v>2466.4</v>
      </c>
      <c r="D192" s="2">
        <v>45665</v>
      </c>
      <c r="E192" s="3">
        <v>2350.9</v>
      </c>
      <c r="G192" s="3">
        <v>32090575</v>
      </c>
      <c r="H192" s="3">
        <f t="shared" si="6"/>
        <v>79148194180</v>
      </c>
      <c r="J192" s="3">
        <v>148845000</v>
      </c>
      <c r="K192" s="3">
        <f t="shared" si="7"/>
        <v>349919710500</v>
      </c>
      <c r="M192" s="4">
        <f t="shared" si="8"/>
        <v>0.77381041477513457</v>
      </c>
    </row>
    <row r="193" spans="1:13" x14ac:dyDescent="0.45">
      <c r="A193" s="2">
        <v>45664</v>
      </c>
      <c r="B193" s="3">
        <v>2459.15</v>
      </c>
      <c r="D193" s="2">
        <v>45664</v>
      </c>
      <c r="E193" s="3">
        <v>2306.75</v>
      </c>
      <c r="G193" s="3">
        <v>32090575</v>
      </c>
      <c r="H193" s="3">
        <f t="shared" si="6"/>
        <v>78915537511.25</v>
      </c>
      <c r="J193" s="3">
        <v>148845000</v>
      </c>
      <c r="K193" s="3">
        <f t="shared" si="7"/>
        <v>343348203750</v>
      </c>
      <c r="M193" s="4">
        <f t="shared" si="8"/>
        <v>0.77015887472441746</v>
      </c>
    </row>
    <row r="194" spans="1:13" x14ac:dyDescent="0.45">
      <c r="A194" s="2">
        <v>45663</v>
      </c>
      <c r="B194" s="3">
        <v>2466.4</v>
      </c>
      <c r="D194" s="2">
        <v>45663</v>
      </c>
      <c r="E194" s="3">
        <v>2273.5500000000002</v>
      </c>
      <c r="G194" s="3">
        <v>32090575</v>
      </c>
      <c r="H194" s="3">
        <f t="shared" si="6"/>
        <v>79148194180</v>
      </c>
      <c r="J194" s="3">
        <v>148845000</v>
      </c>
      <c r="K194" s="3">
        <f t="shared" si="7"/>
        <v>338406549750</v>
      </c>
      <c r="M194" s="4">
        <f t="shared" si="8"/>
        <v>0.76611506414851827</v>
      </c>
    </row>
    <row r="195" spans="1:13" x14ac:dyDescent="0.45">
      <c r="A195" s="2">
        <v>45660</v>
      </c>
      <c r="B195" s="3">
        <v>2491.6999999999998</v>
      </c>
      <c r="D195" s="2">
        <v>45660</v>
      </c>
      <c r="E195" s="3">
        <v>2284.9499999999998</v>
      </c>
      <c r="G195" s="3">
        <v>32090575</v>
      </c>
      <c r="H195" s="3">
        <f t="shared" si="6"/>
        <v>79960085727.5</v>
      </c>
      <c r="J195" s="3">
        <v>148845000</v>
      </c>
      <c r="K195" s="3">
        <f t="shared" si="7"/>
        <v>340103382750</v>
      </c>
      <c r="M195" s="4">
        <f t="shared" si="8"/>
        <v>0.76489476499480658</v>
      </c>
    </row>
    <row r="196" spans="1:13" x14ac:dyDescent="0.45">
      <c r="A196" s="2">
        <v>45659</v>
      </c>
      <c r="B196" s="3">
        <v>2484.4</v>
      </c>
      <c r="D196" s="2">
        <v>45659</v>
      </c>
      <c r="E196" s="3">
        <v>2223.0500000000002</v>
      </c>
      <c r="G196" s="3">
        <v>32090575</v>
      </c>
      <c r="H196" s="3">
        <f t="shared" ref="H196:H259" si="9">+G196*B196</f>
        <v>79725824530</v>
      </c>
      <c r="J196" s="3">
        <v>148845000</v>
      </c>
      <c r="K196" s="3">
        <f t="shared" ref="K196:K259" si="10">+J196*E196</f>
        <v>330889877250</v>
      </c>
      <c r="M196" s="4">
        <f t="shared" ref="M196:M259" si="11">1- (H196/K196)</f>
        <v>0.7590563205118418</v>
      </c>
    </row>
    <row r="197" spans="1:13" x14ac:dyDescent="0.45">
      <c r="A197" s="2">
        <v>45658</v>
      </c>
      <c r="B197" s="3">
        <v>2471.15</v>
      </c>
      <c r="D197" s="2">
        <v>45658</v>
      </c>
      <c r="E197" s="3">
        <v>2212.15</v>
      </c>
      <c r="G197" s="3">
        <v>32090575</v>
      </c>
      <c r="H197" s="3">
        <f t="shared" si="9"/>
        <v>79300624411.25</v>
      </c>
      <c r="J197" s="3">
        <v>148845000</v>
      </c>
      <c r="K197" s="3">
        <f t="shared" si="10"/>
        <v>329267466750</v>
      </c>
      <c r="M197" s="4">
        <f t="shared" si="11"/>
        <v>0.75916046248365043</v>
      </c>
    </row>
    <row r="198" spans="1:13" x14ac:dyDescent="0.45">
      <c r="A198" s="2">
        <v>45657</v>
      </c>
      <c r="B198" s="3">
        <v>2442.0500000000002</v>
      </c>
      <c r="D198" s="2">
        <v>45657</v>
      </c>
      <c r="E198" s="3">
        <v>2237.5</v>
      </c>
      <c r="G198" s="3">
        <v>32090575</v>
      </c>
      <c r="H198" s="3">
        <f t="shared" si="9"/>
        <v>78366788678.75</v>
      </c>
      <c r="J198" s="3">
        <v>148845000</v>
      </c>
      <c r="K198" s="3">
        <f t="shared" si="10"/>
        <v>333040687500</v>
      </c>
      <c r="M198" s="4">
        <f t="shared" si="11"/>
        <v>0.76469304916760361</v>
      </c>
    </row>
    <row r="199" spans="1:13" x14ac:dyDescent="0.45">
      <c r="A199" s="2">
        <v>45656</v>
      </c>
      <c r="B199" s="3">
        <v>2471.1</v>
      </c>
      <c r="D199" s="2">
        <v>45656</v>
      </c>
      <c r="E199" s="3">
        <v>2248</v>
      </c>
      <c r="G199" s="3">
        <v>32090575</v>
      </c>
      <c r="H199" s="3">
        <f t="shared" si="9"/>
        <v>79299019882.5</v>
      </c>
      <c r="J199" s="3">
        <v>148845000</v>
      </c>
      <c r="K199" s="3">
        <f t="shared" si="10"/>
        <v>334603560000</v>
      </c>
      <c r="M199" s="4">
        <f t="shared" si="11"/>
        <v>0.76300604846374021</v>
      </c>
    </row>
    <row r="200" spans="1:13" x14ac:dyDescent="0.45">
      <c r="A200" s="2">
        <v>45653</v>
      </c>
      <c r="B200" s="3">
        <v>2486.6</v>
      </c>
      <c r="D200" s="2">
        <v>45653</v>
      </c>
      <c r="E200" s="3">
        <v>2259.9499999999998</v>
      </c>
      <c r="G200" s="3">
        <v>32090575</v>
      </c>
      <c r="H200" s="3">
        <f t="shared" si="9"/>
        <v>79796423795</v>
      </c>
      <c r="J200" s="3">
        <v>148845000</v>
      </c>
      <c r="K200" s="3">
        <f t="shared" si="10"/>
        <v>336382257750</v>
      </c>
      <c r="M200" s="4">
        <f t="shared" si="11"/>
        <v>0.7627805213962715</v>
      </c>
    </row>
    <row r="201" spans="1:13" x14ac:dyDescent="0.45">
      <c r="A201" s="2">
        <v>45652</v>
      </c>
      <c r="B201" s="3">
        <v>2476.6</v>
      </c>
      <c r="D201" s="2">
        <v>45652</v>
      </c>
      <c r="E201" s="3">
        <v>2261.1999999999998</v>
      </c>
      <c r="G201" s="3">
        <v>32090575</v>
      </c>
      <c r="H201" s="3">
        <f t="shared" si="9"/>
        <v>79475518045</v>
      </c>
      <c r="J201" s="3">
        <v>148845000</v>
      </c>
      <c r="K201" s="3">
        <f t="shared" si="10"/>
        <v>336568314000</v>
      </c>
      <c r="M201" s="4">
        <f t="shared" si="11"/>
        <v>0.76386512116823924</v>
      </c>
    </row>
    <row r="202" spans="1:13" x14ac:dyDescent="0.45">
      <c r="A202" s="2">
        <v>45650</v>
      </c>
      <c r="B202" s="3">
        <v>2535.5500000000002</v>
      </c>
      <c r="D202" s="2">
        <v>45650</v>
      </c>
      <c r="E202" s="3">
        <v>2275.5</v>
      </c>
      <c r="G202" s="3">
        <v>32090575</v>
      </c>
      <c r="H202" s="3">
        <f t="shared" si="9"/>
        <v>81367257441.25</v>
      </c>
      <c r="J202" s="3">
        <v>148845000</v>
      </c>
      <c r="K202" s="3">
        <f t="shared" si="10"/>
        <v>338696797500</v>
      </c>
      <c r="M202" s="4">
        <f t="shared" si="11"/>
        <v>0.75976372365537348</v>
      </c>
    </row>
    <row r="203" spans="1:13" x14ac:dyDescent="0.45">
      <c r="A203" s="2">
        <v>45649</v>
      </c>
      <c r="B203" s="3">
        <v>2450.6</v>
      </c>
      <c r="D203" s="2">
        <v>45649</v>
      </c>
      <c r="E203" s="3">
        <v>2283.0500000000002</v>
      </c>
      <c r="G203" s="3">
        <v>32090575</v>
      </c>
      <c r="H203" s="3">
        <f t="shared" si="9"/>
        <v>78641163095</v>
      </c>
      <c r="J203" s="3">
        <v>148845000</v>
      </c>
      <c r="K203" s="3">
        <f t="shared" si="10"/>
        <v>339820577250</v>
      </c>
      <c r="M203" s="4">
        <f t="shared" si="11"/>
        <v>0.76858033809663895</v>
      </c>
    </row>
    <row r="204" spans="1:13" x14ac:dyDescent="0.45">
      <c r="A204" s="2">
        <v>45646</v>
      </c>
      <c r="B204" s="3">
        <v>2479.5</v>
      </c>
      <c r="D204" s="2">
        <v>45646</v>
      </c>
      <c r="E204" s="3">
        <v>2276.8000000000002</v>
      </c>
      <c r="G204" s="3">
        <v>32090575</v>
      </c>
      <c r="H204" s="3">
        <f t="shared" si="9"/>
        <v>79568580712.5</v>
      </c>
      <c r="J204" s="3">
        <v>148845000</v>
      </c>
      <c r="K204" s="3">
        <f t="shared" si="10"/>
        <v>338890296000</v>
      </c>
      <c r="M204" s="4">
        <f t="shared" si="11"/>
        <v>0.76520844163534263</v>
      </c>
    </row>
    <row r="205" spans="1:13" x14ac:dyDescent="0.45">
      <c r="A205" s="2">
        <v>45645</v>
      </c>
      <c r="B205" s="3">
        <v>2527.35</v>
      </c>
      <c r="D205" s="2">
        <v>45645</v>
      </c>
      <c r="E205" s="3">
        <v>2285.4499999999998</v>
      </c>
      <c r="G205" s="3">
        <v>32090575</v>
      </c>
      <c r="H205" s="3">
        <f t="shared" si="9"/>
        <v>81104114726.25</v>
      </c>
      <c r="J205" s="3">
        <v>148845000</v>
      </c>
      <c r="K205" s="3">
        <f t="shared" si="10"/>
        <v>340177805250</v>
      </c>
      <c r="M205" s="4">
        <f t="shared" si="11"/>
        <v>0.76158316775944335</v>
      </c>
    </row>
    <row r="206" spans="1:13" x14ac:dyDescent="0.45">
      <c r="A206" s="2">
        <v>45644</v>
      </c>
      <c r="B206" s="3">
        <v>2560.1</v>
      </c>
      <c r="D206" s="2">
        <v>45644</v>
      </c>
      <c r="E206" s="3">
        <v>2269.5500000000002</v>
      </c>
      <c r="G206" s="3">
        <v>32090575</v>
      </c>
      <c r="H206" s="3">
        <f t="shared" si="9"/>
        <v>82155081057.5</v>
      </c>
      <c r="J206" s="3">
        <v>148845000</v>
      </c>
      <c r="K206" s="3">
        <f t="shared" si="10"/>
        <v>337811169750</v>
      </c>
      <c r="M206" s="4">
        <f t="shared" si="11"/>
        <v>0.75680176259920728</v>
      </c>
    </row>
    <row r="207" spans="1:13" x14ac:dyDescent="0.45">
      <c r="A207" s="2">
        <v>45643</v>
      </c>
      <c r="B207" s="3">
        <v>2583.4499999999998</v>
      </c>
      <c r="D207" s="2">
        <v>45643</v>
      </c>
      <c r="E207" s="3">
        <v>2280.5500000000002</v>
      </c>
      <c r="G207" s="3">
        <v>32090575</v>
      </c>
      <c r="H207" s="3">
        <f t="shared" si="9"/>
        <v>82904395983.75</v>
      </c>
      <c r="J207" s="3">
        <v>148845000</v>
      </c>
      <c r="K207" s="3">
        <f t="shared" si="10"/>
        <v>339448464750</v>
      </c>
      <c r="M207" s="4">
        <f t="shared" si="11"/>
        <v>0.75576735618819735</v>
      </c>
    </row>
    <row r="208" spans="1:13" x14ac:dyDescent="0.45">
      <c r="A208" s="2">
        <v>45642</v>
      </c>
      <c r="B208" s="3">
        <v>2612.5500000000002</v>
      </c>
      <c r="D208" s="2">
        <v>45642</v>
      </c>
      <c r="E208" s="3">
        <v>2306.3000000000002</v>
      </c>
      <c r="G208" s="3">
        <v>32090575</v>
      </c>
      <c r="H208" s="3">
        <f t="shared" si="9"/>
        <v>83838231716.25</v>
      </c>
      <c r="J208" s="3">
        <v>148845000</v>
      </c>
      <c r="K208" s="3">
        <f t="shared" si="10"/>
        <v>343281223500</v>
      </c>
      <c r="M208" s="4">
        <f t="shared" si="11"/>
        <v>0.75577390787221432</v>
      </c>
    </row>
    <row r="209" spans="1:13" x14ac:dyDescent="0.45">
      <c r="A209" s="2">
        <v>45639</v>
      </c>
      <c r="B209" s="3">
        <v>2520.25</v>
      </c>
      <c r="D209" s="2">
        <v>45639</v>
      </c>
      <c r="E209" s="3">
        <v>2296.6999999999998</v>
      </c>
      <c r="G209" s="3">
        <v>32090575</v>
      </c>
      <c r="H209" s="3">
        <f t="shared" si="9"/>
        <v>80876271643.75</v>
      </c>
      <c r="J209" s="3">
        <v>148845000</v>
      </c>
      <c r="K209" s="3">
        <f t="shared" si="10"/>
        <v>341852311500</v>
      </c>
      <c r="M209" s="4">
        <f t="shared" si="11"/>
        <v>0.76341750831265043</v>
      </c>
    </row>
    <row r="210" spans="1:13" x14ac:dyDescent="0.45">
      <c r="A210" s="2">
        <v>45638</v>
      </c>
      <c r="B210" s="3">
        <v>2529.3000000000002</v>
      </c>
      <c r="D210" s="2">
        <v>45638</v>
      </c>
      <c r="E210" s="3">
        <v>2298.1</v>
      </c>
      <c r="G210" s="3">
        <v>32090575</v>
      </c>
      <c r="H210" s="3">
        <f t="shared" si="9"/>
        <v>81166691347.5</v>
      </c>
      <c r="J210" s="3">
        <v>148845000</v>
      </c>
      <c r="K210" s="3">
        <f t="shared" si="10"/>
        <v>342060694500</v>
      </c>
      <c r="M210" s="4">
        <f t="shared" si="11"/>
        <v>0.76271260436355104</v>
      </c>
    </row>
    <row r="211" spans="1:13" x14ac:dyDescent="0.45">
      <c r="A211" s="2">
        <v>45637</v>
      </c>
      <c r="B211" s="3">
        <v>2543.1999999999998</v>
      </c>
      <c r="D211" s="2">
        <v>45637</v>
      </c>
      <c r="E211" s="3">
        <v>2337.0500000000002</v>
      </c>
      <c r="G211" s="3">
        <v>32090575</v>
      </c>
      <c r="H211" s="3">
        <f t="shared" si="9"/>
        <v>81612750340</v>
      </c>
      <c r="J211" s="3">
        <v>148845000</v>
      </c>
      <c r="K211" s="3">
        <f t="shared" si="10"/>
        <v>347858207250</v>
      </c>
      <c r="M211" s="4">
        <f t="shared" si="11"/>
        <v>0.76538500849184721</v>
      </c>
    </row>
    <row r="212" spans="1:13" x14ac:dyDescent="0.45">
      <c r="A212" s="2">
        <v>45636</v>
      </c>
      <c r="B212" s="3">
        <v>2562.65</v>
      </c>
      <c r="D212" s="2">
        <v>45636</v>
      </c>
      <c r="E212" s="3">
        <v>2345.5500000000002</v>
      </c>
      <c r="G212" s="3">
        <v>32090575</v>
      </c>
      <c r="H212" s="3">
        <f t="shared" si="9"/>
        <v>82236912023.75</v>
      </c>
      <c r="J212" s="3">
        <v>148845000</v>
      </c>
      <c r="K212" s="3">
        <f t="shared" si="10"/>
        <v>349123389750</v>
      </c>
      <c r="M212" s="4">
        <f t="shared" si="11"/>
        <v>0.76444742908048025</v>
      </c>
    </row>
    <row r="213" spans="1:13" x14ac:dyDescent="0.45">
      <c r="A213" s="2">
        <v>45635</v>
      </c>
      <c r="B213" s="3">
        <v>2524.9</v>
      </c>
      <c r="D213" s="2">
        <v>45635</v>
      </c>
      <c r="E213" s="3">
        <v>2306.5500000000002</v>
      </c>
      <c r="G213" s="3">
        <v>32090575</v>
      </c>
      <c r="H213" s="3">
        <f t="shared" si="9"/>
        <v>81025492817.5</v>
      </c>
      <c r="J213" s="3">
        <v>148845000</v>
      </c>
      <c r="K213" s="3">
        <f t="shared" si="10"/>
        <v>343318434750</v>
      </c>
      <c r="M213" s="4">
        <f t="shared" si="11"/>
        <v>0.76399317771414843</v>
      </c>
    </row>
    <row r="214" spans="1:13" x14ac:dyDescent="0.45">
      <c r="A214" s="2">
        <v>45632</v>
      </c>
      <c r="B214" s="3">
        <v>2533.85</v>
      </c>
      <c r="D214" s="2">
        <v>45632</v>
      </c>
      <c r="E214" s="3">
        <v>2294.4499999999998</v>
      </c>
      <c r="G214" s="3">
        <v>32090575</v>
      </c>
      <c r="H214" s="3">
        <f t="shared" si="9"/>
        <v>81312703463.75</v>
      </c>
      <c r="J214" s="3">
        <v>148845000</v>
      </c>
      <c r="K214" s="3">
        <f t="shared" si="10"/>
        <v>341517410250</v>
      </c>
      <c r="M214" s="4">
        <f t="shared" si="11"/>
        <v>0.7619075894132985</v>
      </c>
    </row>
    <row r="215" spans="1:13" x14ac:dyDescent="0.45">
      <c r="A215" s="2">
        <v>45631</v>
      </c>
      <c r="B215" s="3">
        <v>2546.35</v>
      </c>
      <c r="D215" s="2">
        <v>45631</v>
      </c>
      <c r="E215" s="3">
        <v>2320.4</v>
      </c>
      <c r="G215" s="3">
        <v>32090575</v>
      </c>
      <c r="H215" s="3">
        <f t="shared" si="9"/>
        <v>81713835651.25</v>
      </c>
      <c r="J215" s="3">
        <v>148845000</v>
      </c>
      <c r="K215" s="3">
        <f t="shared" si="10"/>
        <v>345379938000</v>
      </c>
      <c r="M215" s="4">
        <f t="shared" si="11"/>
        <v>0.76340885308963724</v>
      </c>
    </row>
    <row r="216" spans="1:13" x14ac:dyDescent="0.45">
      <c r="A216" s="2">
        <v>45630</v>
      </c>
      <c r="B216" s="3">
        <v>2545.15</v>
      </c>
      <c r="D216" s="2">
        <v>45630</v>
      </c>
      <c r="E216" s="3">
        <v>2332.6</v>
      </c>
      <c r="G216" s="3">
        <v>32090575</v>
      </c>
      <c r="H216" s="3">
        <f t="shared" si="9"/>
        <v>81675326961.25</v>
      </c>
      <c r="J216" s="3">
        <v>148845000</v>
      </c>
      <c r="K216" s="3">
        <f t="shared" si="10"/>
        <v>347195847000</v>
      </c>
      <c r="M216" s="4">
        <f t="shared" si="11"/>
        <v>0.76475718915713298</v>
      </c>
    </row>
    <row r="217" spans="1:13" x14ac:dyDescent="0.45">
      <c r="A217" s="2">
        <v>45629</v>
      </c>
      <c r="B217" s="3">
        <v>2542.4499999999998</v>
      </c>
      <c r="D217" s="2">
        <v>45629</v>
      </c>
      <c r="E217" s="3">
        <v>2311.1</v>
      </c>
      <c r="G217" s="3">
        <v>32090575</v>
      </c>
      <c r="H217" s="3">
        <f t="shared" si="9"/>
        <v>81588682408.75</v>
      </c>
      <c r="J217" s="3">
        <v>148845000</v>
      </c>
      <c r="K217" s="3">
        <f t="shared" si="10"/>
        <v>343995679500</v>
      </c>
      <c r="M217" s="4">
        <f t="shared" si="11"/>
        <v>0.76282061877248086</v>
      </c>
    </row>
    <row r="218" spans="1:13" x14ac:dyDescent="0.45">
      <c r="A218" s="2">
        <v>45628</v>
      </c>
      <c r="B218" s="3">
        <v>2527.15</v>
      </c>
      <c r="D218" s="2">
        <v>45628</v>
      </c>
      <c r="E218" s="3">
        <v>2296.1999999999998</v>
      </c>
      <c r="G218" s="3">
        <v>32090575</v>
      </c>
      <c r="H218" s="3">
        <f t="shared" si="9"/>
        <v>81097696611.25</v>
      </c>
      <c r="J218" s="3">
        <v>148845000</v>
      </c>
      <c r="K218" s="3">
        <f t="shared" si="10"/>
        <v>341777889000</v>
      </c>
      <c r="M218" s="4">
        <f t="shared" si="11"/>
        <v>0.76271813004483158</v>
      </c>
    </row>
    <row r="219" spans="1:13" x14ac:dyDescent="0.45">
      <c r="A219" s="2">
        <v>45625</v>
      </c>
      <c r="B219" s="3">
        <v>2537.6999999999998</v>
      </c>
      <c r="D219" s="2">
        <v>45625</v>
      </c>
      <c r="E219" s="3">
        <v>2263.9499999999998</v>
      </c>
      <c r="G219" s="3">
        <v>32090575</v>
      </c>
      <c r="H219" s="3">
        <f t="shared" si="9"/>
        <v>81436252177.5</v>
      </c>
      <c r="J219" s="3">
        <v>148845000</v>
      </c>
      <c r="K219" s="3">
        <f t="shared" si="10"/>
        <v>336977637750</v>
      </c>
      <c r="M219" s="4">
        <f t="shared" si="11"/>
        <v>0.75833336383609917</v>
      </c>
    </row>
    <row r="220" spans="1:13" x14ac:dyDescent="0.45">
      <c r="A220" s="2">
        <v>45624</v>
      </c>
      <c r="B220" s="3">
        <v>2564.3000000000002</v>
      </c>
      <c r="D220" s="2">
        <v>45624</v>
      </c>
      <c r="E220" s="3">
        <v>2263.4</v>
      </c>
      <c r="G220" s="3">
        <v>32090575</v>
      </c>
      <c r="H220" s="3">
        <f t="shared" si="9"/>
        <v>82289861472.5</v>
      </c>
      <c r="J220" s="3">
        <v>148845000</v>
      </c>
      <c r="K220" s="3">
        <f t="shared" si="10"/>
        <v>336895773000</v>
      </c>
      <c r="M220" s="4">
        <f t="shared" si="11"/>
        <v>0.75574089060327865</v>
      </c>
    </row>
    <row r="221" spans="1:13" x14ac:dyDescent="0.45">
      <c r="A221" s="2">
        <v>45623</v>
      </c>
      <c r="B221" s="3">
        <v>2555.0500000000002</v>
      </c>
      <c r="D221" s="2">
        <v>45623</v>
      </c>
      <c r="E221" s="3">
        <v>2296.1999999999998</v>
      </c>
      <c r="G221" s="3">
        <v>32090575</v>
      </c>
      <c r="H221" s="3">
        <f t="shared" si="9"/>
        <v>81993023653.75</v>
      </c>
      <c r="J221" s="3">
        <v>148845000</v>
      </c>
      <c r="K221" s="3">
        <f t="shared" si="10"/>
        <v>341777889000</v>
      </c>
      <c r="M221" s="4">
        <f t="shared" si="11"/>
        <v>0.76009851341275625</v>
      </c>
    </row>
    <row r="222" spans="1:13" x14ac:dyDescent="0.45">
      <c r="A222" s="2">
        <v>45622</v>
      </c>
      <c r="B222" s="3">
        <v>2527.5500000000002</v>
      </c>
      <c r="D222" s="2">
        <v>45622</v>
      </c>
      <c r="E222" s="3">
        <v>2231.8000000000002</v>
      </c>
      <c r="G222" s="3">
        <v>32090575</v>
      </c>
      <c r="H222" s="3">
        <f t="shared" si="9"/>
        <v>81110532841.25</v>
      </c>
      <c r="J222" s="3">
        <v>148845000</v>
      </c>
      <c r="K222" s="3">
        <f t="shared" si="10"/>
        <v>332192271000</v>
      </c>
      <c r="M222" s="4">
        <f t="shared" si="11"/>
        <v>0.75583257070646903</v>
      </c>
    </row>
    <row r="223" spans="1:13" x14ac:dyDescent="0.45">
      <c r="A223" s="2">
        <v>45621</v>
      </c>
      <c r="B223" s="3">
        <v>2523.6999999999998</v>
      </c>
      <c r="D223" s="2">
        <v>45621</v>
      </c>
      <c r="E223" s="3">
        <v>2222.9</v>
      </c>
      <c r="G223" s="3">
        <v>32090575</v>
      </c>
      <c r="H223" s="3">
        <f t="shared" si="9"/>
        <v>80986984127.5</v>
      </c>
      <c r="J223" s="3">
        <v>148845000</v>
      </c>
      <c r="K223" s="3">
        <f t="shared" si="10"/>
        <v>330867550500</v>
      </c>
      <c r="M223" s="4">
        <f t="shared" si="11"/>
        <v>0.75522838669094572</v>
      </c>
    </row>
    <row r="224" spans="1:13" x14ac:dyDescent="0.45">
      <c r="A224" s="2">
        <v>45618</v>
      </c>
      <c r="B224" s="3">
        <v>2561.1999999999998</v>
      </c>
      <c r="D224" s="2">
        <v>45618</v>
      </c>
      <c r="E224" s="3">
        <v>2165.85</v>
      </c>
      <c r="G224" s="3">
        <v>32090575</v>
      </c>
      <c r="H224" s="3">
        <f t="shared" si="9"/>
        <v>82190380690</v>
      </c>
      <c r="J224" s="3">
        <v>148845000</v>
      </c>
      <c r="K224" s="3">
        <f t="shared" si="10"/>
        <v>322375943250</v>
      </c>
      <c r="M224" s="4">
        <f t="shared" si="11"/>
        <v>0.74504803348101567</v>
      </c>
    </row>
    <row r="225" spans="1:13" x14ac:dyDescent="0.45">
      <c r="A225" s="2">
        <v>45617</v>
      </c>
      <c r="B225" s="3">
        <v>2527.6</v>
      </c>
      <c r="D225" s="2">
        <v>45617</v>
      </c>
      <c r="E225" s="3">
        <v>2142.25</v>
      </c>
      <c r="G225" s="3">
        <v>32090575</v>
      </c>
      <c r="H225" s="3">
        <f t="shared" si="9"/>
        <v>81112137370</v>
      </c>
      <c r="J225" s="3">
        <v>148845000</v>
      </c>
      <c r="K225" s="3">
        <f t="shared" si="10"/>
        <v>318863201250</v>
      </c>
      <c r="M225" s="4">
        <f t="shared" si="11"/>
        <v>0.74562088992387299</v>
      </c>
    </row>
    <row r="226" spans="1:13" x14ac:dyDescent="0.45">
      <c r="A226" s="2">
        <v>45615</v>
      </c>
      <c r="B226" s="3">
        <v>2597.3000000000002</v>
      </c>
      <c r="D226" s="2">
        <v>45615</v>
      </c>
      <c r="E226" s="3">
        <v>2198.6999999999998</v>
      </c>
      <c r="G226" s="3">
        <v>32090575</v>
      </c>
      <c r="H226" s="3">
        <f t="shared" si="9"/>
        <v>83348850447.5</v>
      </c>
      <c r="J226" s="3">
        <v>148845000</v>
      </c>
      <c r="K226" s="3">
        <f t="shared" si="10"/>
        <v>327265501500</v>
      </c>
      <c r="M226" s="4">
        <f t="shared" si="11"/>
        <v>0.74531733389105792</v>
      </c>
    </row>
    <row r="227" spans="1:13" x14ac:dyDescent="0.45">
      <c r="A227" s="2">
        <v>45614</v>
      </c>
      <c r="B227" s="3">
        <v>2590.4499999999998</v>
      </c>
      <c r="D227" s="2">
        <v>45614</v>
      </c>
      <c r="E227" s="3">
        <v>2179.3000000000002</v>
      </c>
      <c r="G227" s="3">
        <v>32090575</v>
      </c>
      <c r="H227" s="3">
        <f t="shared" si="9"/>
        <v>83129030008.75</v>
      </c>
      <c r="J227" s="3">
        <v>148845000</v>
      </c>
      <c r="K227" s="3">
        <f t="shared" si="10"/>
        <v>324377908500</v>
      </c>
      <c r="M227" s="4">
        <f t="shared" si="11"/>
        <v>0.74372783154944722</v>
      </c>
    </row>
    <row r="228" spans="1:13" x14ac:dyDescent="0.45">
      <c r="A228" s="2">
        <v>45610</v>
      </c>
      <c r="B228" s="3">
        <v>2546.3000000000002</v>
      </c>
      <c r="D228" s="2">
        <v>45610</v>
      </c>
      <c r="E228" s="3">
        <v>2236.15</v>
      </c>
      <c r="G228" s="3">
        <v>32090575</v>
      </c>
      <c r="H228" s="3">
        <f t="shared" si="9"/>
        <v>81712231122.5</v>
      </c>
      <c r="J228" s="3">
        <v>148845000</v>
      </c>
      <c r="K228" s="3">
        <f t="shared" si="10"/>
        <v>332839746750</v>
      </c>
      <c r="M228" s="4">
        <f t="shared" si="11"/>
        <v>0.75449977978779359</v>
      </c>
    </row>
    <row r="229" spans="1:13" x14ac:dyDescent="0.45">
      <c r="A229" s="2">
        <v>45609</v>
      </c>
      <c r="B229" s="3">
        <v>2534.9</v>
      </c>
      <c r="D229" s="2">
        <v>45609</v>
      </c>
      <c r="E229" s="3">
        <v>2201</v>
      </c>
      <c r="G229" s="3">
        <v>32090575</v>
      </c>
      <c r="H229" s="3">
        <f t="shared" si="9"/>
        <v>81346398567.5</v>
      </c>
      <c r="J229" s="3">
        <v>148845000</v>
      </c>
      <c r="K229" s="3">
        <f t="shared" si="10"/>
        <v>327607845000</v>
      </c>
      <c r="M229" s="4">
        <f t="shared" si="11"/>
        <v>0.75169581617467063</v>
      </c>
    </row>
    <row r="230" spans="1:13" x14ac:dyDescent="0.45">
      <c r="A230" s="2">
        <v>45608</v>
      </c>
      <c r="B230" s="3">
        <v>2587</v>
      </c>
      <c r="D230" s="2">
        <v>45608</v>
      </c>
      <c r="E230" s="3">
        <v>2250.6</v>
      </c>
      <c r="G230" s="3">
        <v>32090575</v>
      </c>
      <c r="H230" s="3">
        <f t="shared" si="9"/>
        <v>83018317525</v>
      </c>
      <c r="J230" s="3">
        <v>148845000</v>
      </c>
      <c r="K230" s="3">
        <f t="shared" si="10"/>
        <v>334990557000</v>
      </c>
      <c r="M230" s="4">
        <f t="shared" si="11"/>
        <v>0.75217714114550405</v>
      </c>
    </row>
    <row r="231" spans="1:13" x14ac:dyDescent="0.45">
      <c r="A231" s="2">
        <v>45607</v>
      </c>
      <c r="B231" s="3">
        <v>2619.3000000000002</v>
      </c>
      <c r="D231" s="2">
        <v>45607</v>
      </c>
      <c r="E231" s="3">
        <v>2293.3000000000002</v>
      </c>
      <c r="G231" s="3">
        <v>32090575</v>
      </c>
      <c r="H231" s="3">
        <f t="shared" si="9"/>
        <v>84054843097.5</v>
      </c>
      <c r="J231" s="3">
        <v>148845000</v>
      </c>
      <c r="K231" s="3">
        <f t="shared" si="10"/>
        <v>341346238500</v>
      </c>
      <c r="M231" s="4">
        <f t="shared" si="11"/>
        <v>0.75375488692399928</v>
      </c>
    </row>
    <row r="232" spans="1:13" x14ac:dyDescent="0.45">
      <c r="A232" s="2">
        <v>45604</v>
      </c>
      <c r="B232" s="3">
        <v>2583.25</v>
      </c>
      <c r="D232" s="2">
        <v>45604</v>
      </c>
      <c r="E232" s="3">
        <v>2299.3000000000002</v>
      </c>
      <c r="G232" s="3">
        <v>32090575</v>
      </c>
      <c r="H232" s="3">
        <f t="shared" si="9"/>
        <v>82897977868.75</v>
      </c>
      <c r="J232" s="3">
        <v>148845000</v>
      </c>
      <c r="K232" s="3">
        <f t="shared" si="10"/>
        <v>342239308500</v>
      </c>
      <c r="M232" s="4">
        <f t="shared" si="11"/>
        <v>0.75777774262084807</v>
      </c>
    </row>
    <row r="233" spans="1:13" x14ac:dyDescent="0.45">
      <c r="A233" s="2">
        <v>45603</v>
      </c>
      <c r="B233" s="3">
        <v>2559.6999999999998</v>
      </c>
      <c r="D233" s="2">
        <v>45603</v>
      </c>
      <c r="E233" s="3">
        <v>2373.9499999999998</v>
      </c>
      <c r="G233" s="3">
        <v>32090575</v>
      </c>
      <c r="H233" s="3">
        <f t="shared" si="9"/>
        <v>82142244827.5</v>
      </c>
      <c r="J233" s="3">
        <v>148845000</v>
      </c>
      <c r="K233" s="3">
        <f t="shared" si="10"/>
        <v>353350587750</v>
      </c>
      <c r="M233" s="4">
        <f t="shared" si="11"/>
        <v>0.76753330070695491</v>
      </c>
    </row>
    <row r="234" spans="1:13" x14ac:dyDescent="0.45">
      <c r="A234" s="2">
        <v>45602</v>
      </c>
      <c r="B234" s="3">
        <v>2585.6</v>
      </c>
      <c r="D234" s="2">
        <v>45602</v>
      </c>
      <c r="E234" s="3">
        <v>2344.3000000000002</v>
      </c>
      <c r="G234" s="3">
        <v>32090575</v>
      </c>
      <c r="H234" s="3">
        <f t="shared" si="9"/>
        <v>82973390720</v>
      </c>
      <c r="J234" s="3">
        <v>148845000</v>
      </c>
      <c r="K234" s="3">
        <f t="shared" si="10"/>
        <v>348937333500</v>
      </c>
      <c r="M234" s="4">
        <f t="shared" si="11"/>
        <v>0.76221119738682241</v>
      </c>
    </row>
    <row r="235" spans="1:13" x14ac:dyDescent="0.45">
      <c r="A235" s="2">
        <v>45601</v>
      </c>
      <c r="B235" s="3">
        <v>2597.1</v>
      </c>
      <c r="D235" s="2">
        <v>45601</v>
      </c>
      <c r="E235" s="3">
        <v>2298.5500000000002</v>
      </c>
      <c r="G235" s="3">
        <v>32090575</v>
      </c>
      <c r="H235" s="3">
        <f t="shared" si="9"/>
        <v>83342432332.5</v>
      </c>
      <c r="J235" s="3">
        <v>148845000</v>
      </c>
      <c r="K235" s="3">
        <f t="shared" si="10"/>
        <v>342127674750</v>
      </c>
      <c r="M235" s="4">
        <f t="shared" si="11"/>
        <v>0.75639961779356168</v>
      </c>
    </row>
    <row r="236" spans="1:13" x14ac:dyDescent="0.45">
      <c r="A236" s="2">
        <v>45600</v>
      </c>
      <c r="B236" s="3">
        <v>2584.9499999999998</v>
      </c>
      <c r="D236" s="2">
        <v>45600</v>
      </c>
      <c r="E236" s="3">
        <v>2245.9499999999998</v>
      </c>
      <c r="G236" s="3">
        <v>32090575</v>
      </c>
      <c r="H236" s="3">
        <f t="shared" si="9"/>
        <v>82952531846.25</v>
      </c>
      <c r="J236" s="3">
        <v>148845000</v>
      </c>
      <c r="K236" s="3">
        <f t="shared" si="10"/>
        <v>334298427750</v>
      </c>
      <c r="M236" s="4">
        <f t="shared" si="11"/>
        <v>0.75186083762175282</v>
      </c>
    </row>
    <row r="237" spans="1:13" x14ac:dyDescent="0.45">
      <c r="A237" s="2">
        <v>45597</v>
      </c>
      <c r="B237" s="3">
        <v>2617.75</v>
      </c>
      <c r="D237" s="2">
        <v>45597</v>
      </c>
      <c r="E237" s="3">
        <v>2251.4</v>
      </c>
      <c r="G237" s="3">
        <v>32090575</v>
      </c>
      <c r="H237" s="3">
        <f t="shared" si="9"/>
        <v>84005102706.25</v>
      </c>
      <c r="J237" s="3">
        <v>148845000</v>
      </c>
      <c r="K237" s="3">
        <f t="shared" si="10"/>
        <v>335109633000</v>
      </c>
      <c r="M237" s="4">
        <f t="shared" si="11"/>
        <v>0.74932053741871996</v>
      </c>
    </row>
    <row r="238" spans="1:13" x14ac:dyDescent="0.45">
      <c r="A238" s="2">
        <v>45596</v>
      </c>
      <c r="B238" s="3">
        <v>2591.35</v>
      </c>
      <c r="D238" s="2">
        <v>45596</v>
      </c>
      <c r="E238" s="3">
        <v>2243.5</v>
      </c>
      <c r="G238" s="3">
        <v>32090575</v>
      </c>
      <c r="H238" s="3">
        <f t="shared" si="9"/>
        <v>83157911526.25</v>
      </c>
      <c r="J238" s="3">
        <v>148845000</v>
      </c>
      <c r="K238" s="3">
        <f t="shared" si="10"/>
        <v>333933757500</v>
      </c>
      <c r="M238" s="4">
        <f t="shared" si="11"/>
        <v>0.75097482761607293</v>
      </c>
    </row>
    <row r="239" spans="1:13" x14ac:dyDescent="0.45">
      <c r="A239" s="2">
        <v>45595</v>
      </c>
      <c r="B239" s="3">
        <v>2572.3000000000002</v>
      </c>
      <c r="D239" s="2">
        <v>45595</v>
      </c>
      <c r="E239" s="3">
        <v>2260.65</v>
      </c>
      <c r="G239" s="3">
        <v>32090575</v>
      </c>
      <c r="H239" s="3">
        <f t="shared" si="9"/>
        <v>82546586072.5</v>
      </c>
      <c r="J239" s="3">
        <v>148845000</v>
      </c>
      <c r="K239" s="3">
        <f t="shared" si="10"/>
        <v>336486449250</v>
      </c>
      <c r="M239" s="4">
        <f t="shared" si="11"/>
        <v>0.75468080139188554</v>
      </c>
    </row>
    <row r="240" spans="1:13" x14ac:dyDescent="0.45">
      <c r="A240" s="2">
        <v>45594</v>
      </c>
      <c r="B240" s="3">
        <v>2542.9499999999998</v>
      </c>
      <c r="D240" s="2">
        <v>45594</v>
      </c>
      <c r="E240" s="3">
        <v>2258.75</v>
      </c>
      <c r="G240" s="3">
        <v>32090575</v>
      </c>
      <c r="H240" s="3">
        <f t="shared" si="9"/>
        <v>81604727696.25</v>
      </c>
      <c r="J240" s="3">
        <v>148845000</v>
      </c>
      <c r="K240" s="3">
        <f t="shared" si="10"/>
        <v>336203643750</v>
      </c>
      <c r="M240" s="4">
        <f t="shared" si="11"/>
        <v>0.75727589747084645</v>
      </c>
    </row>
    <row r="241" spans="1:13" x14ac:dyDescent="0.45">
      <c r="A241" s="2">
        <v>45593</v>
      </c>
      <c r="B241" s="3">
        <v>2525.85</v>
      </c>
      <c r="D241" s="2">
        <v>45593</v>
      </c>
      <c r="E241" s="3">
        <v>2256.35</v>
      </c>
      <c r="G241" s="3">
        <v>32090575</v>
      </c>
      <c r="H241" s="3">
        <f t="shared" si="9"/>
        <v>81055978863.75</v>
      </c>
      <c r="J241" s="3">
        <v>148845000</v>
      </c>
      <c r="K241" s="3">
        <f t="shared" si="10"/>
        <v>335846415750</v>
      </c>
      <c r="M241" s="4">
        <f t="shared" si="11"/>
        <v>0.75865164830555432</v>
      </c>
    </row>
    <row r="242" spans="1:13" x14ac:dyDescent="0.45">
      <c r="A242" s="2">
        <v>45590</v>
      </c>
      <c r="B242" s="3">
        <v>2487.25</v>
      </c>
      <c r="D242" s="2">
        <v>45590</v>
      </c>
      <c r="E242" s="3">
        <v>2206.85</v>
      </c>
      <c r="G242" s="3">
        <v>32090575</v>
      </c>
      <c r="H242" s="3">
        <f t="shared" si="9"/>
        <v>79817282668.75</v>
      </c>
      <c r="J242" s="3">
        <v>148845000</v>
      </c>
      <c r="K242" s="3">
        <f t="shared" si="10"/>
        <v>328478588250</v>
      </c>
      <c r="M242" s="4">
        <f t="shared" si="11"/>
        <v>0.75700917647636046</v>
      </c>
    </row>
    <row r="243" spans="1:13" x14ac:dyDescent="0.45">
      <c r="A243" s="2">
        <v>45589</v>
      </c>
      <c r="B243" s="3">
        <v>2635.15</v>
      </c>
      <c r="D243" s="2">
        <v>45589</v>
      </c>
      <c r="E243" s="3">
        <v>2256</v>
      </c>
      <c r="G243" s="3">
        <v>32090575</v>
      </c>
      <c r="H243" s="3">
        <f t="shared" si="9"/>
        <v>84563478711.25</v>
      </c>
      <c r="J243" s="3">
        <v>148845000</v>
      </c>
      <c r="K243" s="3">
        <f t="shared" si="10"/>
        <v>335794320000</v>
      </c>
      <c r="M243" s="4">
        <f t="shared" si="11"/>
        <v>0.74816882337006174</v>
      </c>
    </row>
    <row r="244" spans="1:13" x14ac:dyDescent="0.45">
      <c r="A244" s="2">
        <v>45588</v>
      </c>
      <c r="B244" s="3">
        <v>2575.0500000000002</v>
      </c>
      <c r="D244" s="2">
        <v>45588</v>
      </c>
      <c r="E244" s="3">
        <v>2246.6</v>
      </c>
      <c r="G244" s="3">
        <v>32090575</v>
      </c>
      <c r="H244" s="3">
        <f t="shared" si="9"/>
        <v>82634835153.75</v>
      </c>
      <c r="J244" s="3">
        <v>148845000</v>
      </c>
      <c r="K244" s="3">
        <f t="shared" si="10"/>
        <v>334395177000</v>
      </c>
      <c r="M244" s="4">
        <f t="shared" si="11"/>
        <v>0.75288269437645028</v>
      </c>
    </row>
    <row r="245" spans="1:13" x14ac:dyDescent="0.45">
      <c r="A245" s="2">
        <v>45587</v>
      </c>
      <c r="B245" s="3">
        <v>2557.75</v>
      </c>
      <c r="D245" s="2">
        <v>45587</v>
      </c>
      <c r="E245" s="3">
        <v>2176.4499999999998</v>
      </c>
      <c r="G245" s="3">
        <v>32090575</v>
      </c>
      <c r="H245" s="3">
        <f t="shared" si="9"/>
        <v>82079668206.25</v>
      </c>
      <c r="J245" s="3">
        <v>148845000</v>
      </c>
      <c r="K245" s="3">
        <f t="shared" si="10"/>
        <v>323953700250</v>
      </c>
      <c r="M245" s="4">
        <f t="shared" si="11"/>
        <v>0.74663148424324877</v>
      </c>
    </row>
    <row r="246" spans="1:13" x14ac:dyDescent="0.45">
      <c r="A246" s="2">
        <v>45586</v>
      </c>
      <c r="B246" s="3">
        <v>2685.55</v>
      </c>
      <c r="D246" s="2">
        <v>45586</v>
      </c>
      <c r="E246" s="3">
        <v>2277.6</v>
      </c>
      <c r="G246" s="3">
        <v>32090575</v>
      </c>
      <c r="H246" s="3">
        <f t="shared" si="9"/>
        <v>86180843691.25</v>
      </c>
      <c r="J246" s="3">
        <v>148845000</v>
      </c>
      <c r="K246" s="3">
        <f t="shared" si="10"/>
        <v>339009372000</v>
      </c>
      <c r="M246" s="4">
        <f t="shared" si="11"/>
        <v>0.74578625014753275</v>
      </c>
    </row>
    <row r="247" spans="1:13" x14ac:dyDescent="0.45">
      <c r="A247" s="2">
        <v>45583</v>
      </c>
      <c r="B247" s="3">
        <v>2619.85</v>
      </c>
      <c r="D247" s="2">
        <v>45583</v>
      </c>
      <c r="E247" s="3">
        <v>2325.5</v>
      </c>
      <c r="G247" s="3">
        <v>32090575</v>
      </c>
      <c r="H247" s="3">
        <f t="shared" si="9"/>
        <v>84072492913.75</v>
      </c>
      <c r="J247" s="3">
        <v>148845000</v>
      </c>
      <c r="K247" s="3">
        <f t="shared" si="10"/>
        <v>346139047500</v>
      </c>
      <c r="M247" s="4">
        <f t="shared" si="11"/>
        <v>0.75711352555868461</v>
      </c>
    </row>
    <row r="248" spans="1:13" x14ac:dyDescent="0.45">
      <c r="A248" s="2">
        <v>45582</v>
      </c>
      <c r="B248" s="3">
        <v>2592.85</v>
      </c>
      <c r="D248" s="2">
        <v>45582</v>
      </c>
      <c r="E248" s="3">
        <v>2262.8000000000002</v>
      </c>
      <c r="G248" s="3">
        <v>32090575</v>
      </c>
      <c r="H248" s="3">
        <f t="shared" si="9"/>
        <v>83206047388.75</v>
      </c>
      <c r="J248" s="3">
        <v>148845000</v>
      </c>
      <c r="K248" s="3">
        <f t="shared" si="10"/>
        <v>336806466000</v>
      </c>
      <c r="M248" s="4">
        <f t="shared" si="11"/>
        <v>0.75295590854615602</v>
      </c>
    </row>
    <row r="249" spans="1:13" x14ac:dyDescent="0.45">
      <c r="A249" s="2">
        <v>45581</v>
      </c>
      <c r="B249" s="3">
        <v>2648.2</v>
      </c>
      <c r="D249" s="2">
        <v>45581</v>
      </c>
      <c r="E249" s="3">
        <v>2303.3000000000002</v>
      </c>
      <c r="G249" s="3">
        <v>32090575</v>
      </c>
      <c r="H249" s="3">
        <f t="shared" si="9"/>
        <v>84982260715</v>
      </c>
      <c r="J249" s="3">
        <v>148845000</v>
      </c>
      <c r="K249" s="3">
        <f t="shared" si="10"/>
        <v>342834688500</v>
      </c>
      <c r="M249" s="4">
        <f t="shared" si="11"/>
        <v>0.75211883871255347</v>
      </c>
    </row>
    <row r="250" spans="1:13" x14ac:dyDescent="0.45">
      <c r="A250" s="2">
        <v>45580</v>
      </c>
      <c r="B250" s="3">
        <v>2602.4</v>
      </c>
      <c r="D250" s="2">
        <v>45580</v>
      </c>
      <c r="E250" s="3">
        <v>2350.5</v>
      </c>
      <c r="G250" s="3">
        <v>32090575</v>
      </c>
      <c r="H250" s="3">
        <f t="shared" si="9"/>
        <v>83512512380</v>
      </c>
      <c r="J250" s="3">
        <v>148845000</v>
      </c>
      <c r="K250" s="3">
        <f t="shared" si="10"/>
        <v>349860172500</v>
      </c>
      <c r="M250" s="4">
        <f t="shared" si="11"/>
        <v>0.76129745840104168</v>
      </c>
    </row>
    <row r="251" spans="1:13" x14ac:dyDescent="0.45">
      <c r="A251" s="2">
        <v>45579</v>
      </c>
      <c r="B251" s="3">
        <v>2594.15</v>
      </c>
      <c r="D251" s="2">
        <v>45579</v>
      </c>
      <c r="E251" s="3">
        <v>2341.35</v>
      </c>
      <c r="G251" s="3">
        <v>32090575</v>
      </c>
      <c r="H251" s="3">
        <f t="shared" si="9"/>
        <v>83247765136.25</v>
      </c>
      <c r="J251" s="3">
        <v>148845000</v>
      </c>
      <c r="K251" s="3">
        <f t="shared" si="10"/>
        <v>348498240750</v>
      </c>
      <c r="M251" s="4">
        <f t="shared" si="11"/>
        <v>0.76112428872784776</v>
      </c>
    </row>
    <row r="252" spans="1:13" x14ac:dyDescent="0.45">
      <c r="A252" s="2">
        <v>45576</v>
      </c>
      <c r="B252" s="3">
        <v>2613.6</v>
      </c>
      <c r="D252" s="2">
        <v>45576</v>
      </c>
      <c r="E252" s="3">
        <v>2347.6999999999998</v>
      </c>
      <c r="G252" s="3">
        <v>32090575</v>
      </c>
      <c r="H252" s="3">
        <f t="shared" si="9"/>
        <v>83871926820</v>
      </c>
      <c r="J252" s="3">
        <v>148845000</v>
      </c>
      <c r="K252" s="3">
        <f t="shared" si="10"/>
        <v>349443406500</v>
      </c>
      <c r="M252" s="4">
        <f t="shared" si="11"/>
        <v>0.75998423418528571</v>
      </c>
    </row>
    <row r="253" spans="1:13" x14ac:dyDescent="0.45">
      <c r="A253" s="2">
        <v>45575</v>
      </c>
      <c r="B253" s="3">
        <v>2603.3000000000002</v>
      </c>
      <c r="D253" s="2">
        <v>45575</v>
      </c>
      <c r="E253" s="3">
        <v>2343.5</v>
      </c>
      <c r="G253" s="3">
        <v>32090575</v>
      </c>
      <c r="H253" s="3">
        <f t="shared" si="9"/>
        <v>83541393897.5</v>
      </c>
      <c r="J253" s="3">
        <v>148845000</v>
      </c>
      <c r="K253" s="3">
        <f t="shared" si="10"/>
        <v>348818257500</v>
      </c>
      <c r="M253" s="4">
        <f t="shared" si="11"/>
        <v>0.76050165924156077</v>
      </c>
    </row>
    <row r="254" spans="1:13" x14ac:dyDescent="0.45">
      <c r="A254" s="2">
        <v>45574</v>
      </c>
      <c r="B254" s="3">
        <v>2590.75</v>
      </c>
      <c r="D254" s="2">
        <v>45574</v>
      </c>
      <c r="E254" s="3">
        <v>2333.9499999999998</v>
      </c>
      <c r="G254" s="3">
        <v>32090575</v>
      </c>
      <c r="H254" s="3">
        <f t="shared" si="9"/>
        <v>83138657181.25</v>
      </c>
      <c r="J254" s="3">
        <v>148845000</v>
      </c>
      <c r="K254" s="3">
        <f t="shared" si="10"/>
        <v>347396787750</v>
      </c>
      <c r="M254" s="4">
        <f t="shared" si="11"/>
        <v>0.76068098464664058</v>
      </c>
    </row>
    <row r="255" spans="1:13" x14ac:dyDescent="0.45">
      <c r="A255" s="2">
        <v>45573</v>
      </c>
      <c r="B255" s="3">
        <v>2615.0500000000002</v>
      </c>
      <c r="D255" s="2">
        <v>45573</v>
      </c>
      <c r="E255" s="3">
        <v>2331.8000000000002</v>
      </c>
      <c r="G255" s="3">
        <v>32090575</v>
      </c>
      <c r="H255" s="3">
        <f t="shared" si="9"/>
        <v>83918458153.75</v>
      </c>
      <c r="J255" s="3">
        <v>148845000</v>
      </c>
      <c r="K255" s="3">
        <f t="shared" si="10"/>
        <v>347076771000</v>
      </c>
      <c r="M255" s="4">
        <f t="shared" si="11"/>
        <v>0.75821355629198817</v>
      </c>
    </row>
    <row r="256" spans="1:13" x14ac:dyDescent="0.45">
      <c r="A256" s="2">
        <v>45572</v>
      </c>
      <c r="B256" s="3">
        <v>2572.8000000000002</v>
      </c>
      <c r="D256" s="2">
        <v>45572</v>
      </c>
      <c r="E256" s="3">
        <v>2307.4499999999998</v>
      </c>
      <c r="G256" s="3">
        <v>32090575</v>
      </c>
      <c r="H256" s="3">
        <f t="shared" si="9"/>
        <v>82562631360</v>
      </c>
      <c r="J256" s="3">
        <v>148845000</v>
      </c>
      <c r="K256" s="3">
        <f t="shared" si="10"/>
        <v>343452395250</v>
      </c>
      <c r="M256" s="4">
        <f t="shared" si="11"/>
        <v>0.75960967953098013</v>
      </c>
    </row>
    <row r="257" spans="1:13" x14ac:dyDescent="0.45">
      <c r="A257" s="2">
        <v>45569</v>
      </c>
      <c r="B257" s="3">
        <v>2610.9499999999998</v>
      </c>
      <c r="D257" s="2">
        <v>45569</v>
      </c>
      <c r="E257" s="3">
        <v>2350.25</v>
      </c>
      <c r="G257" s="3">
        <v>32090575</v>
      </c>
      <c r="H257" s="3">
        <f t="shared" si="9"/>
        <v>83786886796.25</v>
      </c>
      <c r="J257" s="3">
        <v>148845000</v>
      </c>
      <c r="K257" s="3">
        <f t="shared" si="10"/>
        <v>349822961250</v>
      </c>
      <c r="M257" s="4">
        <f t="shared" si="11"/>
        <v>0.76048774358075388</v>
      </c>
    </row>
    <row r="258" spans="1:13" x14ac:dyDescent="0.45">
      <c r="A258" s="2">
        <v>45568</v>
      </c>
      <c r="B258" s="3">
        <v>2646.55</v>
      </c>
      <c r="D258" s="2">
        <v>45568</v>
      </c>
      <c r="E258" s="3">
        <v>2420.3000000000002</v>
      </c>
      <c r="G258" s="3">
        <v>32090575</v>
      </c>
      <c r="H258" s="3">
        <f t="shared" si="9"/>
        <v>84929311266.25</v>
      </c>
      <c r="J258" s="3">
        <v>148845000</v>
      </c>
      <c r="K258" s="3">
        <f t="shared" si="10"/>
        <v>360249553500</v>
      </c>
      <c r="M258" s="4">
        <f t="shared" si="11"/>
        <v>0.7642486702866933</v>
      </c>
    </row>
    <row r="259" spans="1:13" x14ac:dyDescent="0.45">
      <c r="A259" s="2">
        <v>45566</v>
      </c>
      <c r="B259" s="3">
        <v>2697</v>
      </c>
      <c r="D259" s="2">
        <v>45566</v>
      </c>
      <c r="E259" s="3">
        <v>2482.65</v>
      </c>
      <c r="G259" s="3">
        <v>32090575</v>
      </c>
      <c r="H259" s="3">
        <f t="shared" si="9"/>
        <v>86548280775</v>
      </c>
      <c r="J259" s="3">
        <v>148845000</v>
      </c>
      <c r="K259" s="3">
        <f t="shared" si="10"/>
        <v>369530039250</v>
      </c>
      <c r="M259" s="4">
        <f t="shared" si="11"/>
        <v>0.76578824024520764</v>
      </c>
    </row>
    <row r="260" spans="1:13" x14ac:dyDescent="0.45">
      <c r="A260" s="2">
        <v>45565</v>
      </c>
      <c r="B260" s="3">
        <v>2669.7</v>
      </c>
      <c r="D260" s="2">
        <v>45565</v>
      </c>
      <c r="E260" s="3">
        <v>2497.3000000000002</v>
      </c>
      <c r="G260" s="3">
        <v>32090575</v>
      </c>
      <c r="H260" s="3">
        <f t="shared" ref="H260:H323" si="12">+G260*B260</f>
        <v>85672208077.5</v>
      </c>
      <c r="J260" s="3">
        <v>148845000</v>
      </c>
      <c r="K260" s="3">
        <f t="shared" ref="K260:K323" si="13">+J260*E260</f>
        <v>371710618500</v>
      </c>
      <c r="M260" s="4">
        <f t="shared" ref="M260:M323" si="14">1- (H260/K260)</f>
        <v>0.76951907259679209</v>
      </c>
    </row>
    <row r="261" spans="1:13" x14ac:dyDescent="0.45">
      <c r="A261" s="2">
        <v>45562</v>
      </c>
      <c r="B261" s="3">
        <v>2650.05</v>
      </c>
      <c r="D261" s="2">
        <v>45562</v>
      </c>
      <c r="E261" s="3">
        <v>2462.25</v>
      </c>
      <c r="G261" s="3">
        <v>32090575</v>
      </c>
      <c r="H261" s="3">
        <f t="shared" si="12"/>
        <v>85041628278.75</v>
      </c>
      <c r="J261" s="3">
        <v>148845000</v>
      </c>
      <c r="K261" s="3">
        <f t="shared" si="13"/>
        <v>366493601250</v>
      </c>
      <c r="M261" s="4">
        <f t="shared" si="14"/>
        <v>0.76795876384008221</v>
      </c>
    </row>
    <row r="262" spans="1:13" x14ac:dyDescent="0.45">
      <c r="A262" s="2">
        <v>45561</v>
      </c>
      <c r="B262" s="3">
        <v>2614</v>
      </c>
      <c r="D262" s="2">
        <v>45561</v>
      </c>
      <c r="E262" s="3">
        <v>2456.85</v>
      </c>
      <c r="G262" s="3">
        <v>32090575</v>
      </c>
      <c r="H262" s="3">
        <f t="shared" si="12"/>
        <v>83884763050</v>
      </c>
      <c r="J262" s="3">
        <v>148845000</v>
      </c>
      <c r="K262" s="3">
        <f t="shared" si="13"/>
        <v>365689838250</v>
      </c>
      <c r="M262" s="4">
        <f t="shared" si="14"/>
        <v>0.77061226680120909</v>
      </c>
    </row>
    <row r="263" spans="1:13" x14ac:dyDescent="0.45">
      <c r="A263" s="2">
        <v>45560</v>
      </c>
      <c r="B263" s="3">
        <v>2608.9499999999998</v>
      </c>
      <c r="D263" s="2">
        <v>45560</v>
      </c>
      <c r="E263" s="3">
        <v>2451.6</v>
      </c>
      <c r="G263" s="3">
        <v>32090575</v>
      </c>
      <c r="H263" s="3">
        <f t="shared" si="12"/>
        <v>83722705646.25</v>
      </c>
      <c r="J263" s="3">
        <v>148845000</v>
      </c>
      <c r="K263" s="3">
        <f t="shared" si="13"/>
        <v>364908402000</v>
      </c>
      <c r="M263" s="4">
        <f t="shared" si="14"/>
        <v>0.77056514679470167</v>
      </c>
    </row>
    <row r="264" spans="1:13" x14ac:dyDescent="0.45">
      <c r="A264" s="2">
        <v>45559</v>
      </c>
      <c r="B264" s="3">
        <v>2656.55</v>
      </c>
      <c r="D264" s="2">
        <v>45559</v>
      </c>
      <c r="E264" s="3">
        <v>2432.9499999999998</v>
      </c>
      <c r="G264" s="3">
        <v>32090575</v>
      </c>
      <c r="H264" s="3">
        <f t="shared" si="12"/>
        <v>85250217016.25</v>
      </c>
      <c r="J264" s="3">
        <v>148845000</v>
      </c>
      <c r="K264" s="3">
        <f t="shared" si="13"/>
        <v>362132442750</v>
      </c>
      <c r="M264" s="4">
        <f t="shared" si="14"/>
        <v>0.76458829159611386</v>
      </c>
    </row>
    <row r="265" spans="1:13" x14ac:dyDescent="0.45">
      <c r="A265" s="2">
        <v>45558</v>
      </c>
      <c r="B265" s="3">
        <v>2630.35</v>
      </c>
      <c r="D265" s="2">
        <v>45558</v>
      </c>
      <c r="E265" s="3">
        <v>2439.75</v>
      </c>
      <c r="G265" s="3">
        <v>32090575</v>
      </c>
      <c r="H265" s="3">
        <f t="shared" si="12"/>
        <v>84409443951.25</v>
      </c>
      <c r="J265" s="3">
        <v>148845000</v>
      </c>
      <c r="K265" s="3">
        <f t="shared" si="13"/>
        <v>363144588750</v>
      </c>
      <c r="M265" s="4">
        <f t="shared" si="14"/>
        <v>0.76755968127791629</v>
      </c>
    </row>
    <row r="266" spans="1:13" x14ac:dyDescent="0.45">
      <c r="A266" s="2">
        <v>45555</v>
      </c>
      <c r="B266" s="3">
        <v>2587.9499999999998</v>
      </c>
      <c r="D266" s="2">
        <v>45555</v>
      </c>
      <c r="E266" s="3">
        <v>2420.0500000000002</v>
      </c>
      <c r="G266" s="3">
        <v>32090575</v>
      </c>
      <c r="H266" s="3">
        <f t="shared" si="12"/>
        <v>83048803571.25</v>
      </c>
      <c r="J266" s="3">
        <v>148845000</v>
      </c>
      <c r="K266" s="3">
        <f t="shared" si="13"/>
        <v>360212342250</v>
      </c>
      <c r="M266" s="4">
        <f t="shared" si="14"/>
        <v>0.76944486951085311</v>
      </c>
    </row>
    <row r="267" spans="1:13" x14ac:dyDescent="0.45">
      <c r="A267" s="2">
        <v>45554</v>
      </c>
      <c r="B267" s="3">
        <v>2602</v>
      </c>
      <c r="D267" s="2">
        <v>45554</v>
      </c>
      <c r="E267" s="3">
        <v>2402.5500000000002</v>
      </c>
      <c r="G267" s="3">
        <v>32090575</v>
      </c>
      <c r="H267" s="3">
        <f t="shared" si="12"/>
        <v>83499676150</v>
      </c>
      <c r="J267" s="3">
        <v>148845000</v>
      </c>
      <c r="K267" s="3">
        <f t="shared" si="13"/>
        <v>357607554750</v>
      </c>
      <c r="M267" s="4">
        <f t="shared" si="14"/>
        <v>0.76650471993419211</v>
      </c>
    </row>
    <row r="268" spans="1:13" x14ac:dyDescent="0.45">
      <c r="A268" s="2">
        <v>45553</v>
      </c>
      <c r="B268" s="3">
        <v>2666.7</v>
      </c>
      <c r="D268" s="2">
        <v>45553</v>
      </c>
      <c r="E268" s="3">
        <v>2388.65</v>
      </c>
      <c r="G268" s="3">
        <v>32090575</v>
      </c>
      <c r="H268" s="3">
        <f t="shared" si="12"/>
        <v>85575936352.5</v>
      </c>
      <c r="J268" s="3">
        <v>148845000</v>
      </c>
      <c r="K268" s="3">
        <f t="shared" si="13"/>
        <v>355538609250</v>
      </c>
      <c r="M268" s="4">
        <f t="shared" si="14"/>
        <v>0.75930620718514841</v>
      </c>
    </row>
    <row r="269" spans="1:13" x14ac:dyDescent="0.45">
      <c r="A269" s="2">
        <v>45552</v>
      </c>
      <c r="B269" s="3">
        <v>2627.9</v>
      </c>
      <c r="D269" s="2">
        <v>45552</v>
      </c>
      <c r="E269" s="3">
        <v>2430.35</v>
      </c>
      <c r="G269" s="3">
        <v>32090575</v>
      </c>
      <c r="H269" s="3">
        <f t="shared" si="12"/>
        <v>84330822042.5</v>
      </c>
      <c r="J269" s="3">
        <v>148845000</v>
      </c>
      <c r="K269" s="3">
        <f t="shared" si="13"/>
        <v>361745445750</v>
      </c>
      <c r="M269" s="4">
        <f t="shared" si="14"/>
        <v>0.76687799934106016</v>
      </c>
    </row>
    <row r="270" spans="1:13" x14ac:dyDescent="0.45">
      <c r="A270" s="2">
        <v>45551</v>
      </c>
      <c r="B270" s="3">
        <v>2732.75</v>
      </c>
      <c r="D270" s="2">
        <v>45551</v>
      </c>
      <c r="E270" s="3">
        <v>2436.75</v>
      </c>
      <c r="G270" s="3">
        <v>32090575</v>
      </c>
      <c r="H270" s="3">
        <f t="shared" si="12"/>
        <v>87695518831.25</v>
      </c>
      <c r="J270" s="3">
        <v>148845000</v>
      </c>
      <c r="K270" s="3">
        <f t="shared" si="13"/>
        <v>362698053750</v>
      </c>
      <c r="M270" s="4">
        <f t="shared" si="14"/>
        <v>0.75821342870591568</v>
      </c>
    </row>
    <row r="271" spans="1:13" x14ac:dyDescent="0.45">
      <c r="A271" s="2">
        <v>45548</v>
      </c>
      <c r="B271" s="3">
        <v>2666.95</v>
      </c>
      <c r="D271" s="2">
        <v>45548</v>
      </c>
      <c r="E271" s="3">
        <v>2467.0500000000002</v>
      </c>
      <c r="G271" s="3">
        <v>32090575</v>
      </c>
      <c r="H271" s="3">
        <f t="shared" si="12"/>
        <v>85583958996.25</v>
      </c>
      <c r="J271" s="3">
        <v>148845000</v>
      </c>
      <c r="K271" s="3">
        <f t="shared" si="13"/>
        <v>367208057250</v>
      </c>
      <c r="M271" s="4">
        <f t="shared" si="14"/>
        <v>0.76693333028369981</v>
      </c>
    </row>
    <row r="272" spans="1:13" x14ac:dyDescent="0.45">
      <c r="A272" s="2">
        <v>45547</v>
      </c>
      <c r="B272" s="3">
        <v>2679.65</v>
      </c>
      <c r="D272" s="2">
        <v>45547</v>
      </c>
      <c r="E272" s="3">
        <v>2486.3000000000002</v>
      </c>
      <c r="G272" s="3">
        <v>32090575</v>
      </c>
      <c r="H272" s="3">
        <f t="shared" si="12"/>
        <v>85991509298.75</v>
      </c>
      <c r="J272" s="3">
        <v>148845000</v>
      </c>
      <c r="K272" s="3">
        <f t="shared" si="13"/>
        <v>370073323500</v>
      </c>
      <c r="M272" s="4">
        <f t="shared" si="14"/>
        <v>0.76763656324785057</v>
      </c>
    </row>
    <row r="273" spans="1:13" x14ac:dyDescent="0.45">
      <c r="A273" s="2">
        <v>45546</v>
      </c>
      <c r="B273" s="3">
        <v>2695.05</v>
      </c>
      <c r="D273" s="2">
        <v>45546</v>
      </c>
      <c r="E273" s="3">
        <v>2481.8000000000002</v>
      </c>
      <c r="G273" s="3">
        <v>32090575</v>
      </c>
      <c r="H273" s="3">
        <f t="shared" si="12"/>
        <v>86485704153.75</v>
      </c>
      <c r="J273" s="3">
        <v>148845000</v>
      </c>
      <c r="K273" s="3">
        <f t="shared" si="13"/>
        <v>369403521000</v>
      </c>
      <c r="M273" s="4">
        <f t="shared" si="14"/>
        <v>0.76587742336719633</v>
      </c>
    </row>
    <row r="274" spans="1:13" x14ac:dyDescent="0.45">
      <c r="A274" s="2">
        <v>45545</v>
      </c>
      <c r="B274" s="3">
        <v>2723.35</v>
      </c>
      <c r="D274" s="2">
        <v>45545</v>
      </c>
      <c r="E274" s="3">
        <v>2537.5</v>
      </c>
      <c r="G274" s="3">
        <v>32090575</v>
      </c>
      <c r="H274" s="3">
        <f t="shared" si="12"/>
        <v>87393867426.25</v>
      </c>
      <c r="J274" s="3">
        <v>148845000</v>
      </c>
      <c r="K274" s="3">
        <f t="shared" si="13"/>
        <v>377694187500</v>
      </c>
      <c r="M274" s="4">
        <f t="shared" si="14"/>
        <v>0.76861209327916913</v>
      </c>
    </row>
    <row r="275" spans="1:13" x14ac:dyDescent="0.45">
      <c r="A275" s="2">
        <v>45544</v>
      </c>
      <c r="B275" s="3">
        <v>2683</v>
      </c>
      <c r="D275" s="2">
        <v>45544</v>
      </c>
      <c r="E275" s="3">
        <v>2530.25</v>
      </c>
      <c r="G275" s="3">
        <v>32090575</v>
      </c>
      <c r="H275" s="3">
        <f t="shared" si="12"/>
        <v>86099012725</v>
      </c>
      <c r="J275" s="3">
        <v>148845000</v>
      </c>
      <c r="K275" s="3">
        <f t="shared" si="13"/>
        <v>376615061250</v>
      </c>
      <c r="M275" s="4">
        <f t="shared" si="14"/>
        <v>0.77138722907354251</v>
      </c>
    </row>
    <row r="276" spans="1:13" x14ac:dyDescent="0.45">
      <c r="A276" s="2">
        <v>45541</v>
      </c>
      <c r="B276" s="3">
        <v>2737.05</v>
      </c>
      <c r="D276" s="2">
        <v>45541</v>
      </c>
      <c r="E276" s="3">
        <v>2509.8000000000002</v>
      </c>
      <c r="G276" s="3">
        <v>32090575</v>
      </c>
      <c r="H276" s="3">
        <f t="shared" si="12"/>
        <v>87833508303.75</v>
      </c>
      <c r="J276" s="3">
        <v>148845000</v>
      </c>
      <c r="K276" s="3">
        <f t="shared" si="13"/>
        <v>373571181000</v>
      </c>
      <c r="M276" s="4">
        <f t="shared" si="14"/>
        <v>0.76488146631484932</v>
      </c>
    </row>
    <row r="277" spans="1:13" x14ac:dyDescent="0.45">
      <c r="A277" s="2">
        <v>45540</v>
      </c>
      <c r="B277" s="3">
        <v>2790.95</v>
      </c>
      <c r="D277" s="2">
        <v>45540</v>
      </c>
      <c r="E277" s="3">
        <v>2617.25</v>
      </c>
      <c r="G277" s="3">
        <v>32090575</v>
      </c>
      <c r="H277" s="3">
        <f t="shared" si="12"/>
        <v>89563190296.25</v>
      </c>
      <c r="J277" s="3">
        <v>148845000</v>
      </c>
      <c r="K277" s="3">
        <f t="shared" si="13"/>
        <v>389564576250</v>
      </c>
      <c r="M277" s="4">
        <f t="shared" si="14"/>
        <v>0.7700941108188093</v>
      </c>
    </row>
    <row r="278" spans="1:13" x14ac:dyDescent="0.45">
      <c r="A278" s="2">
        <v>45539</v>
      </c>
      <c r="B278" s="3">
        <v>2801.4</v>
      </c>
      <c r="D278" s="2">
        <v>45539</v>
      </c>
      <c r="E278" s="3">
        <v>2601.3000000000002</v>
      </c>
      <c r="G278" s="3">
        <v>32090575</v>
      </c>
      <c r="H278" s="3">
        <f t="shared" si="12"/>
        <v>89898536805</v>
      </c>
      <c r="J278" s="3">
        <v>148845000</v>
      </c>
      <c r="K278" s="3">
        <f t="shared" si="13"/>
        <v>387190498500</v>
      </c>
      <c r="M278" s="4">
        <f t="shared" si="14"/>
        <v>0.76781832934105432</v>
      </c>
    </row>
    <row r="279" spans="1:13" x14ac:dyDescent="0.45">
      <c r="A279" s="2">
        <v>45538</v>
      </c>
      <c r="B279" s="3">
        <v>2800.9</v>
      </c>
      <c r="D279" s="2">
        <v>45538</v>
      </c>
      <c r="E279" s="3">
        <v>2586.25</v>
      </c>
      <c r="G279" s="3">
        <v>32090575</v>
      </c>
      <c r="H279" s="3">
        <f t="shared" si="12"/>
        <v>89882491517.5</v>
      </c>
      <c r="J279" s="3">
        <v>148845000</v>
      </c>
      <c r="K279" s="3">
        <f t="shared" si="13"/>
        <v>384950381250</v>
      </c>
      <c r="M279" s="4">
        <f t="shared" si="14"/>
        <v>0.76650889076759421</v>
      </c>
    </row>
    <row r="280" spans="1:13" x14ac:dyDescent="0.45">
      <c r="A280" s="2">
        <v>45537</v>
      </c>
      <c r="B280" s="3">
        <v>2804.8</v>
      </c>
      <c r="D280" s="2">
        <v>45537</v>
      </c>
      <c r="E280" s="3">
        <v>2591.0500000000002</v>
      </c>
      <c r="G280" s="3">
        <v>32090575</v>
      </c>
      <c r="H280" s="3">
        <f t="shared" si="12"/>
        <v>90007644760</v>
      </c>
      <c r="J280" s="3">
        <v>148845000</v>
      </c>
      <c r="K280" s="3">
        <f t="shared" si="13"/>
        <v>385664837250</v>
      </c>
      <c r="M280" s="4">
        <f t="shared" si="14"/>
        <v>0.76661692727342357</v>
      </c>
    </row>
    <row r="281" spans="1:13" x14ac:dyDescent="0.45">
      <c r="A281" s="2">
        <v>45534</v>
      </c>
      <c r="B281" s="3">
        <v>2777.15</v>
      </c>
      <c r="D281" s="2">
        <v>45534</v>
      </c>
      <c r="E281" s="3">
        <v>2564.4499999999998</v>
      </c>
      <c r="G281" s="3">
        <v>32090575</v>
      </c>
      <c r="H281" s="3">
        <f t="shared" si="12"/>
        <v>89120340361.25</v>
      </c>
      <c r="J281" s="3">
        <v>148845000</v>
      </c>
      <c r="K281" s="3">
        <f t="shared" si="13"/>
        <v>381705560250</v>
      </c>
      <c r="M281" s="4">
        <f t="shared" si="14"/>
        <v>0.76652071742711803</v>
      </c>
    </row>
    <row r="282" spans="1:13" x14ac:dyDescent="0.45">
      <c r="A282" s="2">
        <v>45533</v>
      </c>
      <c r="B282" s="3">
        <v>2736.3</v>
      </c>
      <c r="D282" s="2">
        <v>45533</v>
      </c>
      <c r="E282" s="3">
        <v>2540.4</v>
      </c>
      <c r="G282" s="3">
        <v>32090575</v>
      </c>
      <c r="H282" s="3">
        <f t="shared" si="12"/>
        <v>87809440372.5</v>
      </c>
      <c r="J282" s="3">
        <v>148845000</v>
      </c>
      <c r="K282" s="3">
        <f t="shared" si="13"/>
        <v>378125838000</v>
      </c>
      <c r="M282" s="4">
        <f t="shared" si="14"/>
        <v>0.76777720126996452</v>
      </c>
    </row>
    <row r="283" spans="1:13" x14ac:dyDescent="0.45">
      <c r="A283" s="2">
        <v>45532</v>
      </c>
      <c r="B283" s="3">
        <v>2869.8</v>
      </c>
      <c r="D283" s="2">
        <v>45532</v>
      </c>
      <c r="E283" s="3">
        <v>2537.75</v>
      </c>
      <c r="G283" s="3">
        <v>32090575</v>
      </c>
      <c r="H283" s="3">
        <f t="shared" si="12"/>
        <v>92093532135</v>
      </c>
      <c r="J283" s="3">
        <v>148845000</v>
      </c>
      <c r="K283" s="3">
        <f t="shared" si="13"/>
        <v>377731398750</v>
      </c>
      <c r="M283" s="4">
        <f t="shared" si="14"/>
        <v>0.75619307147947279</v>
      </c>
    </row>
    <row r="284" spans="1:13" x14ac:dyDescent="0.45">
      <c r="A284" s="2">
        <v>45531</v>
      </c>
      <c r="B284" s="3">
        <v>2865.1</v>
      </c>
      <c r="D284" s="2">
        <v>45531</v>
      </c>
      <c r="E284" s="3">
        <v>2554.65</v>
      </c>
      <c r="G284" s="3">
        <v>32090575</v>
      </c>
      <c r="H284" s="3">
        <f t="shared" si="12"/>
        <v>91942706432.5</v>
      </c>
      <c r="J284" s="3">
        <v>148845000</v>
      </c>
      <c r="K284" s="3">
        <f t="shared" si="13"/>
        <v>380246879250</v>
      </c>
      <c r="M284" s="4">
        <f t="shared" si="14"/>
        <v>0.75820260086329161</v>
      </c>
    </row>
    <row r="285" spans="1:13" x14ac:dyDescent="0.45">
      <c r="A285" s="2">
        <v>45530</v>
      </c>
      <c r="B285" s="3">
        <v>2844.75</v>
      </c>
      <c r="D285" s="2">
        <v>45530</v>
      </c>
      <c r="E285" s="3">
        <v>2540.35</v>
      </c>
      <c r="G285" s="3">
        <v>32090575</v>
      </c>
      <c r="H285" s="3">
        <f t="shared" si="12"/>
        <v>91289663231.25</v>
      </c>
      <c r="J285" s="3">
        <v>148845000</v>
      </c>
      <c r="K285" s="3">
        <f t="shared" si="13"/>
        <v>378118395750</v>
      </c>
      <c r="M285" s="4">
        <f t="shared" si="14"/>
        <v>0.75856857466514838</v>
      </c>
    </row>
    <row r="286" spans="1:13" x14ac:dyDescent="0.45">
      <c r="A286" s="2">
        <v>45527</v>
      </c>
      <c r="B286" s="3">
        <v>2858.3</v>
      </c>
      <c r="D286" s="2">
        <v>45527</v>
      </c>
      <c r="E286" s="3">
        <v>2490</v>
      </c>
      <c r="G286" s="3">
        <v>32090575</v>
      </c>
      <c r="H286" s="3">
        <f t="shared" si="12"/>
        <v>91724490522.5</v>
      </c>
      <c r="J286" s="3">
        <v>148845000</v>
      </c>
      <c r="K286" s="3">
        <f t="shared" si="13"/>
        <v>370624050000</v>
      </c>
      <c r="M286" s="4">
        <f t="shared" si="14"/>
        <v>0.75251338783195532</v>
      </c>
    </row>
    <row r="287" spans="1:13" x14ac:dyDescent="0.45">
      <c r="A287" s="2">
        <v>45526</v>
      </c>
      <c r="B287" s="3">
        <v>2867.65</v>
      </c>
      <c r="D287" s="2">
        <v>45526</v>
      </c>
      <c r="E287" s="3">
        <v>2532.4499999999998</v>
      </c>
      <c r="G287" s="3">
        <v>32090575</v>
      </c>
      <c r="H287" s="3">
        <f t="shared" si="12"/>
        <v>92024537398.75</v>
      </c>
      <c r="J287" s="3">
        <v>148845000</v>
      </c>
      <c r="K287" s="3">
        <f t="shared" si="13"/>
        <v>376942520250</v>
      </c>
      <c r="M287" s="4">
        <f t="shared" si="14"/>
        <v>0.75586586162336777</v>
      </c>
    </row>
    <row r="288" spans="1:13" x14ac:dyDescent="0.45">
      <c r="A288" s="2">
        <v>45525</v>
      </c>
      <c r="B288" s="3">
        <v>2846.35</v>
      </c>
      <c r="D288" s="2">
        <v>45525</v>
      </c>
      <c r="E288" s="3">
        <v>2479.5500000000002</v>
      </c>
      <c r="G288" s="3">
        <v>32090575</v>
      </c>
      <c r="H288" s="3">
        <f t="shared" si="12"/>
        <v>91341008151.25</v>
      </c>
      <c r="J288" s="3">
        <v>148845000</v>
      </c>
      <c r="K288" s="3">
        <f t="shared" si="13"/>
        <v>369068619750</v>
      </c>
      <c r="M288" s="4">
        <f t="shared" si="14"/>
        <v>0.75250941623505496</v>
      </c>
    </row>
    <row r="289" spans="1:13" x14ac:dyDescent="0.45">
      <c r="A289" s="2">
        <v>45524</v>
      </c>
      <c r="B289" s="3">
        <v>2755.7</v>
      </c>
      <c r="D289" s="2">
        <v>45524</v>
      </c>
      <c r="E289" s="3">
        <v>2472.0500000000002</v>
      </c>
      <c r="G289" s="3">
        <v>32090575</v>
      </c>
      <c r="H289" s="3">
        <f t="shared" si="12"/>
        <v>88431997527.5</v>
      </c>
      <c r="J289" s="3">
        <v>148845000</v>
      </c>
      <c r="K289" s="3">
        <f t="shared" si="13"/>
        <v>367952282250</v>
      </c>
      <c r="M289" s="4">
        <f t="shared" si="14"/>
        <v>0.75966449511674417</v>
      </c>
    </row>
    <row r="290" spans="1:13" x14ac:dyDescent="0.45">
      <c r="A290" s="2">
        <v>45523</v>
      </c>
      <c r="B290" s="3">
        <v>2777.85</v>
      </c>
      <c r="D290" s="2">
        <v>45523</v>
      </c>
      <c r="E290" s="3">
        <v>2475.6</v>
      </c>
      <c r="G290" s="3">
        <v>32090575</v>
      </c>
      <c r="H290" s="3">
        <f t="shared" si="12"/>
        <v>89142803763.75</v>
      </c>
      <c r="J290" s="3">
        <v>148845000</v>
      </c>
      <c r="K290" s="3">
        <f t="shared" si="13"/>
        <v>368480682000</v>
      </c>
      <c r="M290" s="4">
        <f t="shared" si="14"/>
        <v>0.75808011622234783</v>
      </c>
    </row>
    <row r="291" spans="1:13" x14ac:dyDescent="0.45">
      <c r="A291" s="2">
        <v>45520</v>
      </c>
      <c r="B291" s="3">
        <v>2748</v>
      </c>
      <c r="D291" s="2">
        <v>45520</v>
      </c>
      <c r="E291" s="3">
        <v>2480</v>
      </c>
      <c r="G291" s="3">
        <v>32090575</v>
      </c>
      <c r="H291" s="3">
        <f t="shared" si="12"/>
        <v>88184900100</v>
      </c>
      <c r="J291" s="3">
        <v>148845000</v>
      </c>
      <c r="K291" s="3">
        <f t="shared" si="13"/>
        <v>369135600000</v>
      </c>
      <c r="M291" s="4">
        <f t="shared" si="14"/>
        <v>0.7611043202010318</v>
      </c>
    </row>
    <row r="292" spans="1:13" x14ac:dyDescent="0.45">
      <c r="A292" s="2">
        <v>45518</v>
      </c>
      <c r="B292" s="3">
        <v>2683.2</v>
      </c>
      <c r="D292" s="2">
        <v>45518</v>
      </c>
      <c r="E292" s="3">
        <v>2491.65</v>
      </c>
      <c r="G292" s="3">
        <v>32090575</v>
      </c>
      <c r="H292" s="3">
        <f t="shared" si="12"/>
        <v>86105430840</v>
      </c>
      <c r="J292" s="3">
        <v>148845000</v>
      </c>
      <c r="K292" s="3">
        <f t="shared" si="13"/>
        <v>370869644250</v>
      </c>
      <c r="M292" s="4">
        <f t="shared" si="14"/>
        <v>0.76782831333060764</v>
      </c>
    </row>
    <row r="293" spans="1:13" x14ac:dyDescent="0.45">
      <c r="A293" s="2">
        <v>45517</v>
      </c>
      <c r="B293" s="3">
        <v>2748.85</v>
      </c>
      <c r="D293" s="2">
        <v>45517</v>
      </c>
      <c r="E293" s="3">
        <v>2520.25</v>
      </c>
      <c r="G293" s="3">
        <v>32090575</v>
      </c>
      <c r="H293" s="3">
        <f t="shared" si="12"/>
        <v>88212177088.75</v>
      </c>
      <c r="J293" s="3">
        <v>148845000</v>
      </c>
      <c r="K293" s="3">
        <f t="shared" si="13"/>
        <v>375126611250</v>
      </c>
      <c r="M293" s="4">
        <f t="shared" si="14"/>
        <v>0.76484692249689068</v>
      </c>
    </row>
    <row r="294" spans="1:13" x14ac:dyDescent="0.45">
      <c r="A294" s="2">
        <v>45516</v>
      </c>
      <c r="B294" s="3">
        <v>2826.3</v>
      </c>
      <c r="D294" s="2">
        <v>45516</v>
      </c>
      <c r="E294" s="3">
        <v>2568.4499999999998</v>
      </c>
      <c r="G294" s="3">
        <v>32090575</v>
      </c>
      <c r="H294" s="3">
        <f t="shared" si="12"/>
        <v>90697592122.5</v>
      </c>
      <c r="J294" s="3">
        <v>148845000</v>
      </c>
      <c r="K294" s="3">
        <f t="shared" si="13"/>
        <v>382300940250</v>
      </c>
      <c r="M294" s="4">
        <f t="shared" si="14"/>
        <v>0.76275864751159217</v>
      </c>
    </row>
    <row r="295" spans="1:13" x14ac:dyDescent="0.45">
      <c r="A295" s="2">
        <v>45513</v>
      </c>
      <c r="B295" s="3">
        <v>2827.6</v>
      </c>
      <c r="D295" s="2">
        <v>45513</v>
      </c>
      <c r="E295" s="3">
        <v>2555.1</v>
      </c>
      <c r="G295" s="3">
        <v>32090575</v>
      </c>
      <c r="H295" s="3">
        <f t="shared" si="12"/>
        <v>90739309870</v>
      </c>
      <c r="J295" s="3">
        <v>148845000</v>
      </c>
      <c r="K295" s="3">
        <f t="shared" si="13"/>
        <v>380313859500</v>
      </c>
      <c r="M295" s="4">
        <f t="shared" si="14"/>
        <v>0.76140940540716739</v>
      </c>
    </row>
    <row r="296" spans="1:13" x14ac:dyDescent="0.45">
      <c r="A296" s="2">
        <v>45512</v>
      </c>
      <c r="B296" s="3">
        <v>2722.95</v>
      </c>
      <c r="D296" s="2">
        <v>45512</v>
      </c>
      <c r="E296" s="3">
        <v>2537.1999999999998</v>
      </c>
      <c r="G296" s="3">
        <v>32090575</v>
      </c>
      <c r="H296" s="3">
        <f t="shared" si="12"/>
        <v>87381031196.25</v>
      </c>
      <c r="J296" s="3">
        <v>148845000</v>
      </c>
      <c r="K296" s="3">
        <f t="shared" si="13"/>
        <v>377649534000</v>
      </c>
      <c r="M296" s="4">
        <f t="shared" si="14"/>
        <v>0.76861872363319272</v>
      </c>
    </row>
    <row r="297" spans="1:13" x14ac:dyDescent="0.45">
      <c r="A297" s="2">
        <v>45511</v>
      </c>
      <c r="B297" s="3">
        <v>2743.75</v>
      </c>
      <c r="D297" s="2">
        <v>45511</v>
      </c>
      <c r="E297" s="3">
        <v>2590.1999999999998</v>
      </c>
      <c r="G297" s="3">
        <v>32090575</v>
      </c>
      <c r="H297" s="3">
        <f t="shared" si="12"/>
        <v>88048515156.25</v>
      </c>
      <c r="J297" s="3">
        <v>148845000</v>
      </c>
      <c r="K297" s="3">
        <f t="shared" si="13"/>
        <v>385538319000</v>
      </c>
      <c r="M297" s="4">
        <f t="shared" si="14"/>
        <v>0.77162188343657223</v>
      </c>
    </row>
    <row r="298" spans="1:13" x14ac:dyDescent="0.45">
      <c r="A298" s="2">
        <v>45510</v>
      </c>
      <c r="B298" s="3">
        <v>2709.2</v>
      </c>
      <c r="D298" s="2">
        <v>45510</v>
      </c>
      <c r="E298" s="3">
        <v>2487.4</v>
      </c>
      <c r="G298" s="3">
        <v>32090575</v>
      </c>
      <c r="H298" s="3">
        <f t="shared" si="12"/>
        <v>86939785790</v>
      </c>
      <c r="J298" s="3">
        <v>148845000</v>
      </c>
      <c r="K298" s="3">
        <f t="shared" si="13"/>
        <v>370237053000</v>
      </c>
      <c r="M298" s="4">
        <f t="shared" si="14"/>
        <v>0.7651780525867572</v>
      </c>
    </row>
    <row r="299" spans="1:13" x14ac:dyDescent="0.45">
      <c r="A299" s="2">
        <v>45509</v>
      </c>
      <c r="B299" s="3">
        <v>2681.55</v>
      </c>
      <c r="D299" s="2">
        <v>45509</v>
      </c>
      <c r="E299" s="3">
        <v>2474.5</v>
      </c>
      <c r="G299" s="3">
        <v>32090575</v>
      </c>
      <c r="H299" s="3">
        <f t="shared" si="12"/>
        <v>86052481391.25</v>
      </c>
      <c r="J299" s="3">
        <v>148845000</v>
      </c>
      <c r="K299" s="3">
        <f t="shared" si="13"/>
        <v>368316952500</v>
      </c>
      <c r="M299" s="4">
        <f t="shared" si="14"/>
        <v>0.76636296318386266</v>
      </c>
    </row>
    <row r="300" spans="1:13" x14ac:dyDescent="0.45">
      <c r="A300" s="2">
        <v>45506</v>
      </c>
      <c r="B300" s="3">
        <v>2791.75</v>
      </c>
      <c r="D300" s="2">
        <v>45506</v>
      </c>
      <c r="E300" s="3">
        <v>2521.5500000000002</v>
      </c>
      <c r="G300" s="3">
        <v>32090575</v>
      </c>
      <c r="H300" s="3">
        <f t="shared" si="12"/>
        <v>89588862756.25</v>
      </c>
      <c r="J300" s="3">
        <v>148845000</v>
      </c>
      <c r="K300" s="3">
        <f t="shared" si="13"/>
        <v>375320109750</v>
      </c>
      <c r="M300" s="4">
        <f t="shared" si="14"/>
        <v>0.76130012640163358</v>
      </c>
    </row>
    <row r="301" spans="1:13" x14ac:dyDescent="0.45">
      <c r="A301" s="2">
        <v>45505</v>
      </c>
      <c r="B301" s="3">
        <v>2887</v>
      </c>
      <c r="D301" s="2">
        <v>45505</v>
      </c>
      <c r="E301" s="3">
        <v>2625</v>
      </c>
      <c r="G301" s="3">
        <v>32090575</v>
      </c>
      <c r="H301" s="3">
        <f t="shared" si="12"/>
        <v>92645490025</v>
      </c>
      <c r="J301" s="3">
        <v>148845000</v>
      </c>
      <c r="K301" s="3">
        <f t="shared" si="13"/>
        <v>390718125000</v>
      </c>
      <c r="M301" s="4">
        <f t="shared" si="14"/>
        <v>0.76288407397276492</v>
      </c>
    </row>
    <row r="302" spans="1:13" x14ac:dyDescent="0.45">
      <c r="A302" s="2">
        <v>45504</v>
      </c>
      <c r="B302" s="3">
        <v>2875.8</v>
      </c>
      <c r="D302" s="2">
        <v>45504</v>
      </c>
      <c r="E302" s="3">
        <v>2644.65</v>
      </c>
      <c r="G302" s="3">
        <v>32090575</v>
      </c>
      <c r="H302" s="3">
        <f t="shared" si="12"/>
        <v>92286075585</v>
      </c>
      <c r="J302" s="3">
        <v>148845000</v>
      </c>
      <c r="K302" s="3">
        <f t="shared" si="13"/>
        <v>393642929250</v>
      </c>
      <c r="M302" s="4">
        <f t="shared" si="14"/>
        <v>0.76555891462135284</v>
      </c>
    </row>
    <row r="303" spans="1:13" x14ac:dyDescent="0.45">
      <c r="A303" s="2">
        <v>45503</v>
      </c>
      <c r="B303" s="3">
        <v>2854.45</v>
      </c>
      <c r="D303" s="2">
        <v>45503</v>
      </c>
      <c r="E303" s="3">
        <v>2551.1</v>
      </c>
      <c r="G303" s="3">
        <v>32090575</v>
      </c>
      <c r="H303" s="3">
        <f t="shared" si="12"/>
        <v>91600941808.75</v>
      </c>
      <c r="J303" s="3">
        <v>148845000</v>
      </c>
      <c r="K303" s="3">
        <f t="shared" si="13"/>
        <v>379718479500</v>
      </c>
      <c r="M303" s="4">
        <f t="shared" si="14"/>
        <v>0.75876617348366371</v>
      </c>
    </row>
    <row r="304" spans="1:13" x14ac:dyDescent="0.45">
      <c r="A304" s="2">
        <v>45502</v>
      </c>
      <c r="B304" s="3">
        <v>2815.45</v>
      </c>
      <c r="D304" s="2">
        <v>45502</v>
      </c>
      <c r="E304" s="3">
        <v>2508.1</v>
      </c>
      <c r="G304" s="3">
        <v>32090575</v>
      </c>
      <c r="H304" s="3">
        <f t="shared" si="12"/>
        <v>90349409383.75</v>
      </c>
      <c r="J304" s="3">
        <v>148845000</v>
      </c>
      <c r="K304" s="3">
        <f t="shared" si="13"/>
        <v>373318144500</v>
      </c>
      <c r="M304" s="4">
        <f t="shared" si="14"/>
        <v>0.75798280711815225</v>
      </c>
    </row>
    <row r="305" spans="1:13" x14ac:dyDescent="0.45">
      <c r="A305" s="2">
        <v>45499</v>
      </c>
      <c r="B305" s="3">
        <v>2828.35</v>
      </c>
      <c r="D305" s="2">
        <v>45499</v>
      </c>
      <c r="E305" s="3">
        <v>2456.65</v>
      </c>
      <c r="G305" s="3">
        <v>32090575</v>
      </c>
      <c r="H305" s="3">
        <f t="shared" si="12"/>
        <v>90763377801.25</v>
      </c>
      <c r="J305" s="3">
        <v>148845000</v>
      </c>
      <c r="K305" s="3">
        <f t="shared" si="13"/>
        <v>365660069250</v>
      </c>
      <c r="M305" s="4">
        <f t="shared" si="14"/>
        <v>0.75178209098025539</v>
      </c>
    </row>
    <row r="306" spans="1:13" x14ac:dyDescent="0.45">
      <c r="A306" s="2">
        <v>45498</v>
      </c>
      <c r="B306" s="3">
        <v>2796.5</v>
      </c>
      <c r="D306" s="2">
        <v>45498</v>
      </c>
      <c r="E306" s="3">
        <v>2399.1999999999998</v>
      </c>
      <c r="G306" s="3">
        <v>32090575</v>
      </c>
      <c r="H306" s="3">
        <f t="shared" si="12"/>
        <v>89741292987.5</v>
      </c>
      <c r="J306" s="3">
        <v>148845000</v>
      </c>
      <c r="K306" s="3">
        <f t="shared" si="13"/>
        <v>357108924000</v>
      </c>
      <c r="M306" s="4">
        <f t="shared" si="14"/>
        <v>0.74870050296614821</v>
      </c>
    </row>
    <row r="307" spans="1:13" x14ac:dyDescent="0.45">
      <c r="A307" s="2">
        <v>45497</v>
      </c>
      <c r="B307" s="3">
        <v>2717.55</v>
      </c>
      <c r="D307" s="2">
        <v>45497</v>
      </c>
      <c r="E307" s="3">
        <v>2368.35</v>
      </c>
      <c r="G307" s="3">
        <v>32090575</v>
      </c>
      <c r="H307" s="3">
        <f t="shared" si="12"/>
        <v>87207742091.25</v>
      </c>
      <c r="J307" s="3">
        <v>148845000</v>
      </c>
      <c r="K307" s="3">
        <f t="shared" si="13"/>
        <v>352517055750</v>
      </c>
      <c r="M307" s="4">
        <f t="shared" si="14"/>
        <v>0.75261411988787152</v>
      </c>
    </row>
    <row r="308" spans="1:13" x14ac:dyDescent="0.45">
      <c r="A308" s="2">
        <v>45496</v>
      </c>
      <c r="B308" s="3">
        <v>2706.05</v>
      </c>
      <c r="D308" s="2">
        <v>45496</v>
      </c>
      <c r="E308" s="3">
        <v>2352.1</v>
      </c>
      <c r="G308" s="3">
        <v>32090575</v>
      </c>
      <c r="H308" s="3">
        <f t="shared" si="12"/>
        <v>86838700478.75</v>
      </c>
      <c r="J308" s="3">
        <v>148845000</v>
      </c>
      <c r="K308" s="3">
        <f t="shared" si="13"/>
        <v>350098324500</v>
      </c>
      <c r="M308" s="4">
        <f t="shared" si="14"/>
        <v>0.75195910862249782</v>
      </c>
    </row>
    <row r="309" spans="1:13" x14ac:dyDescent="0.45">
      <c r="A309" s="2">
        <v>45495</v>
      </c>
      <c r="B309" s="3">
        <v>2716.8</v>
      </c>
      <c r="D309" s="2">
        <v>45495</v>
      </c>
      <c r="E309" s="3">
        <v>2367.9</v>
      </c>
      <c r="G309" s="3">
        <v>32090575</v>
      </c>
      <c r="H309" s="3">
        <f t="shared" si="12"/>
        <v>87183674160</v>
      </c>
      <c r="J309" s="3">
        <v>148845000</v>
      </c>
      <c r="K309" s="3">
        <f t="shared" si="13"/>
        <v>352450075500</v>
      </c>
      <c r="M309" s="4">
        <f t="shared" si="14"/>
        <v>0.75263539371833676</v>
      </c>
    </row>
    <row r="310" spans="1:13" x14ac:dyDescent="0.45">
      <c r="A310" s="2">
        <v>45492</v>
      </c>
      <c r="B310" s="3">
        <v>2737.55</v>
      </c>
      <c r="D310" s="2">
        <v>45492</v>
      </c>
      <c r="E310" s="3">
        <v>2340.8000000000002</v>
      </c>
      <c r="G310" s="3">
        <v>32090575</v>
      </c>
      <c r="H310" s="3">
        <f t="shared" si="12"/>
        <v>87849553591.25</v>
      </c>
      <c r="J310" s="3">
        <v>148845000</v>
      </c>
      <c r="K310" s="3">
        <f t="shared" si="13"/>
        <v>348416376000</v>
      </c>
      <c r="M310" s="4">
        <f t="shared" si="14"/>
        <v>0.74786043469079078</v>
      </c>
    </row>
    <row r="311" spans="1:13" x14ac:dyDescent="0.45">
      <c r="A311" s="2">
        <v>45491</v>
      </c>
      <c r="B311" s="3">
        <v>2796.45</v>
      </c>
      <c r="D311" s="2">
        <v>45491</v>
      </c>
      <c r="E311" s="3">
        <v>2403.5500000000002</v>
      </c>
      <c r="G311" s="3">
        <v>32090575</v>
      </c>
      <c r="H311" s="3">
        <f t="shared" si="12"/>
        <v>89739688458.75</v>
      </c>
      <c r="J311" s="3">
        <v>148845000</v>
      </c>
      <c r="K311" s="3">
        <f t="shared" si="13"/>
        <v>357756399750</v>
      </c>
      <c r="M311" s="4">
        <f t="shared" si="14"/>
        <v>0.74915979554395107</v>
      </c>
    </row>
    <row r="312" spans="1:13" x14ac:dyDescent="0.45">
      <c r="A312" s="2">
        <v>45489</v>
      </c>
      <c r="B312" s="3">
        <v>2756</v>
      </c>
      <c r="D312" s="2">
        <v>45489</v>
      </c>
      <c r="E312" s="3">
        <v>2393.5</v>
      </c>
      <c r="G312" s="3">
        <v>32090575</v>
      </c>
      <c r="H312" s="3">
        <f t="shared" si="12"/>
        <v>88441624700</v>
      </c>
      <c r="J312" s="3">
        <v>148845000</v>
      </c>
      <c r="K312" s="3">
        <f t="shared" si="13"/>
        <v>356260507500</v>
      </c>
      <c r="M312" s="4">
        <f t="shared" si="14"/>
        <v>0.75175012992423806</v>
      </c>
    </row>
    <row r="313" spans="1:13" x14ac:dyDescent="0.45">
      <c r="A313" s="2">
        <v>45488</v>
      </c>
      <c r="B313" s="3">
        <v>2697.8</v>
      </c>
      <c r="D313" s="2">
        <v>45488</v>
      </c>
      <c r="E313" s="3">
        <v>2398.0500000000002</v>
      </c>
      <c r="G313" s="3">
        <v>32090575</v>
      </c>
      <c r="H313" s="3">
        <f t="shared" si="12"/>
        <v>86573953235</v>
      </c>
      <c r="J313" s="3">
        <v>148845000</v>
      </c>
      <c r="K313" s="3">
        <f t="shared" si="13"/>
        <v>356937752250</v>
      </c>
      <c r="M313" s="4">
        <f t="shared" si="14"/>
        <v>0.75745363809439969</v>
      </c>
    </row>
    <row r="314" spans="1:13" x14ac:dyDescent="0.45">
      <c r="A314" s="2">
        <v>45485</v>
      </c>
      <c r="B314" s="3">
        <v>2737.2</v>
      </c>
      <c r="D314" s="2">
        <v>45485</v>
      </c>
      <c r="E314" s="3">
        <v>2389.1999999999998</v>
      </c>
      <c r="G314" s="3">
        <v>32090575</v>
      </c>
      <c r="H314" s="3">
        <f t="shared" si="12"/>
        <v>87838321890</v>
      </c>
      <c r="J314" s="3">
        <v>148845000</v>
      </c>
      <c r="K314" s="3">
        <f t="shared" si="13"/>
        <v>355620474000</v>
      </c>
      <c r="M314" s="4">
        <f t="shared" si="14"/>
        <v>0.75299981774952585</v>
      </c>
    </row>
    <row r="315" spans="1:13" x14ac:dyDescent="0.45">
      <c r="A315" s="2">
        <v>45484</v>
      </c>
      <c r="B315" s="3">
        <v>2781.8</v>
      </c>
      <c r="D315" s="2">
        <v>45484</v>
      </c>
      <c r="E315" s="3">
        <v>2392.1</v>
      </c>
      <c r="G315" s="3">
        <v>32090575</v>
      </c>
      <c r="H315" s="3">
        <f t="shared" si="12"/>
        <v>89269561535</v>
      </c>
      <c r="J315" s="3">
        <v>148845000</v>
      </c>
      <c r="K315" s="3">
        <f t="shared" si="13"/>
        <v>356052124500</v>
      </c>
      <c r="M315" s="4">
        <f t="shared" si="14"/>
        <v>0.74927951445210383</v>
      </c>
    </row>
    <row r="316" spans="1:13" x14ac:dyDescent="0.45">
      <c r="A316" s="2">
        <v>45483</v>
      </c>
      <c r="B316" s="3">
        <v>2800.6</v>
      </c>
      <c r="D316" s="2">
        <v>45483</v>
      </c>
      <c r="E316" s="3">
        <v>2399.3000000000002</v>
      </c>
      <c r="G316" s="3">
        <v>32090575</v>
      </c>
      <c r="H316" s="3">
        <f t="shared" si="12"/>
        <v>89872864345</v>
      </c>
      <c r="J316" s="3">
        <v>148845000</v>
      </c>
      <c r="K316" s="3">
        <f t="shared" si="13"/>
        <v>357123808500</v>
      </c>
      <c r="M316" s="4">
        <f t="shared" si="14"/>
        <v>0.74834255738230904</v>
      </c>
    </row>
    <row r="317" spans="1:13" x14ac:dyDescent="0.45">
      <c r="A317" s="2">
        <v>45482</v>
      </c>
      <c r="B317" s="3">
        <v>2902.9</v>
      </c>
      <c r="D317" s="2">
        <v>45482</v>
      </c>
      <c r="E317" s="3">
        <v>2391.15</v>
      </c>
      <c r="G317" s="3">
        <v>32090575</v>
      </c>
      <c r="H317" s="3">
        <f t="shared" si="12"/>
        <v>93155730167.5</v>
      </c>
      <c r="J317" s="3">
        <v>148845000</v>
      </c>
      <c r="K317" s="3">
        <f t="shared" si="13"/>
        <v>355910721750</v>
      </c>
      <c r="M317" s="4">
        <f t="shared" si="14"/>
        <v>0.73826096131789265</v>
      </c>
    </row>
    <row r="318" spans="1:13" x14ac:dyDescent="0.45">
      <c r="A318" s="2">
        <v>45481</v>
      </c>
      <c r="B318" s="3">
        <v>2863.25</v>
      </c>
      <c r="D318" s="2">
        <v>45481</v>
      </c>
      <c r="E318" s="3">
        <v>2368.35</v>
      </c>
      <c r="G318" s="3">
        <v>32090575</v>
      </c>
      <c r="H318" s="3">
        <f t="shared" si="12"/>
        <v>91883338868.75</v>
      </c>
      <c r="J318" s="3">
        <v>148845000</v>
      </c>
      <c r="K318" s="3">
        <f t="shared" si="13"/>
        <v>352517055750</v>
      </c>
      <c r="M318" s="4">
        <f t="shared" si="14"/>
        <v>0.73935065730858618</v>
      </c>
    </row>
    <row r="319" spans="1:13" x14ac:dyDescent="0.45">
      <c r="A319" s="2">
        <v>45478</v>
      </c>
      <c r="B319" s="3">
        <v>2960.35</v>
      </c>
      <c r="D319" s="2">
        <v>45478</v>
      </c>
      <c r="E319" s="3">
        <v>2401.15</v>
      </c>
      <c r="G319" s="3">
        <v>32090575</v>
      </c>
      <c r="H319" s="3">
        <f t="shared" si="12"/>
        <v>94999333701.25</v>
      </c>
      <c r="J319" s="3">
        <v>148845000</v>
      </c>
      <c r="K319" s="3">
        <f t="shared" si="13"/>
        <v>357399171750</v>
      </c>
      <c r="M319" s="4">
        <f t="shared" si="14"/>
        <v>0.73419263050866324</v>
      </c>
    </row>
    <row r="320" spans="1:13" x14ac:dyDescent="0.45">
      <c r="A320" s="2">
        <v>45477</v>
      </c>
      <c r="B320" s="3">
        <v>2937.15</v>
      </c>
      <c r="D320" s="2">
        <v>45477</v>
      </c>
      <c r="E320" s="3">
        <v>2390.65</v>
      </c>
      <c r="G320" s="3">
        <v>32090575</v>
      </c>
      <c r="H320" s="3">
        <f t="shared" si="12"/>
        <v>94254832361.25</v>
      </c>
      <c r="J320" s="3">
        <v>148845000</v>
      </c>
      <c r="K320" s="3">
        <f t="shared" si="13"/>
        <v>355836299250</v>
      </c>
      <c r="M320" s="4">
        <f t="shared" si="14"/>
        <v>0.73511743304459964</v>
      </c>
    </row>
    <row r="321" spans="1:13" x14ac:dyDescent="0.45">
      <c r="A321" s="2">
        <v>45476</v>
      </c>
      <c r="B321" s="3">
        <v>2959.85</v>
      </c>
      <c r="D321" s="2">
        <v>45476</v>
      </c>
      <c r="E321" s="3">
        <v>2381.4499999999998</v>
      </c>
      <c r="G321" s="3">
        <v>32090575</v>
      </c>
      <c r="H321" s="3">
        <f t="shared" si="12"/>
        <v>94983288413.75</v>
      </c>
      <c r="J321" s="3">
        <v>148845000</v>
      </c>
      <c r="K321" s="3">
        <f t="shared" si="13"/>
        <v>354466925250</v>
      </c>
      <c r="M321" s="4">
        <f t="shared" si="14"/>
        <v>0.73203906585428313</v>
      </c>
    </row>
    <row r="322" spans="1:13" x14ac:dyDescent="0.45">
      <c r="A322" s="2">
        <v>45475</v>
      </c>
      <c r="B322" s="3">
        <v>2930.2</v>
      </c>
      <c r="D322" s="2">
        <v>45475</v>
      </c>
      <c r="E322" s="3">
        <v>2394.85</v>
      </c>
      <c r="G322" s="3">
        <v>32090575</v>
      </c>
      <c r="H322" s="3">
        <f t="shared" si="12"/>
        <v>94031802865</v>
      </c>
      <c r="J322" s="3">
        <v>148845000</v>
      </c>
      <c r="K322" s="3">
        <f t="shared" si="13"/>
        <v>356461448250</v>
      </c>
      <c r="M322" s="4">
        <f t="shared" si="14"/>
        <v>0.73620765071051408</v>
      </c>
    </row>
    <row r="323" spans="1:13" x14ac:dyDescent="0.45">
      <c r="A323" s="2">
        <v>45474</v>
      </c>
      <c r="B323" s="3">
        <v>2994.6</v>
      </c>
      <c r="D323" s="2">
        <v>45474</v>
      </c>
      <c r="E323" s="3">
        <v>2459.5</v>
      </c>
      <c r="G323" s="3">
        <v>32090575</v>
      </c>
      <c r="H323" s="3">
        <f t="shared" si="12"/>
        <v>96098435895</v>
      </c>
      <c r="J323" s="3">
        <v>148845000</v>
      </c>
      <c r="K323" s="3">
        <f t="shared" si="13"/>
        <v>366084277500</v>
      </c>
      <c r="M323" s="4">
        <f t="shared" si="14"/>
        <v>0.73749641325418569</v>
      </c>
    </row>
    <row r="324" spans="1:13" x14ac:dyDescent="0.45">
      <c r="A324" s="2">
        <v>45471</v>
      </c>
      <c r="B324" s="3">
        <v>2947.5</v>
      </c>
      <c r="D324" s="2">
        <v>45471</v>
      </c>
      <c r="E324" s="3">
        <v>2432.4</v>
      </c>
      <c r="G324" s="3">
        <v>32090575</v>
      </c>
      <c r="H324" s="3">
        <f t="shared" ref="H324:H387" si="15">+G324*B324</f>
        <v>94586969812.5</v>
      </c>
      <c r="J324" s="3">
        <v>148845000</v>
      </c>
      <c r="K324" s="3">
        <f t="shared" ref="K324:K387" si="16">+J324*E324</f>
        <v>362050578000</v>
      </c>
      <c r="M324" s="4">
        <f t="shared" ref="M324:M387" si="17">1- (H324/K324)</f>
        <v>0.73874653001520696</v>
      </c>
    </row>
    <row r="325" spans="1:13" x14ac:dyDescent="0.45">
      <c r="A325" s="2">
        <v>45470</v>
      </c>
      <c r="B325" s="3">
        <v>2865.25</v>
      </c>
      <c r="D325" s="2">
        <v>45470</v>
      </c>
      <c r="E325" s="3">
        <v>2457.75</v>
      </c>
      <c r="G325" s="3">
        <v>32090575</v>
      </c>
      <c r="H325" s="3">
        <f t="shared" si="15"/>
        <v>91947520018.75</v>
      </c>
      <c r="J325" s="3">
        <v>148845000</v>
      </c>
      <c r="K325" s="3">
        <f t="shared" si="16"/>
        <v>365823798750</v>
      </c>
      <c r="M325" s="4">
        <f t="shared" si="17"/>
        <v>0.74865626475661329</v>
      </c>
    </row>
    <row r="326" spans="1:13" x14ac:dyDescent="0.45">
      <c r="A326" s="2">
        <v>45469</v>
      </c>
      <c r="B326" s="3">
        <v>2943.65</v>
      </c>
      <c r="D326" s="2">
        <v>45469</v>
      </c>
      <c r="E326" s="3">
        <v>2401.9499999999998</v>
      </c>
      <c r="G326" s="3">
        <v>32090575</v>
      </c>
      <c r="H326" s="3">
        <f t="shared" si="15"/>
        <v>94463421098.75</v>
      </c>
      <c r="J326" s="3">
        <v>148845000</v>
      </c>
      <c r="K326" s="3">
        <f t="shared" si="16"/>
        <v>357518247750</v>
      </c>
      <c r="M326" s="4">
        <f t="shared" si="17"/>
        <v>0.73578014075296938</v>
      </c>
    </row>
    <row r="327" spans="1:13" x14ac:dyDescent="0.45">
      <c r="A327" s="2">
        <v>45468</v>
      </c>
      <c r="B327" s="3">
        <v>2967.65</v>
      </c>
      <c r="D327" s="2">
        <v>45468</v>
      </c>
      <c r="E327" s="3">
        <v>2395.9</v>
      </c>
      <c r="G327" s="3">
        <v>32090575</v>
      </c>
      <c r="H327" s="3">
        <f t="shared" si="15"/>
        <v>95233594898.75</v>
      </c>
      <c r="J327" s="3">
        <v>148845000</v>
      </c>
      <c r="K327" s="3">
        <f t="shared" si="16"/>
        <v>356617735500</v>
      </c>
      <c r="M327" s="4">
        <f t="shared" si="17"/>
        <v>0.73295328465583287</v>
      </c>
    </row>
    <row r="328" spans="1:13" x14ac:dyDescent="0.45">
      <c r="A328" s="2">
        <v>45467</v>
      </c>
      <c r="B328" s="3">
        <v>2956.6</v>
      </c>
      <c r="D328" s="2">
        <v>45467</v>
      </c>
      <c r="E328" s="3">
        <v>2419.4</v>
      </c>
      <c r="G328" s="3">
        <v>32090575</v>
      </c>
      <c r="H328" s="3">
        <f t="shared" si="15"/>
        <v>94878994045</v>
      </c>
      <c r="J328" s="3">
        <v>148845000</v>
      </c>
      <c r="K328" s="3">
        <f t="shared" si="16"/>
        <v>360115593000</v>
      </c>
      <c r="M328" s="4">
        <f t="shared" si="17"/>
        <v>0.73653183619571849</v>
      </c>
    </row>
    <row r="329" spans="1:13" x14ac:dyDescent="0.45">
      <c r="A329" s="2">
        <v>45464</v>
      </c>
      <c r="B329" s="3">
        <v>2701.75</v>
      </c>
      <c r="D329" s="2">
        <v>45464</v>
      </c>
      <c r="E329" s="3">
        <v>2460.6999999999998</v>
      </c>
      <c r="G329" s="3">
        <v>32090575</v>
      </c>
      <c r="H329" s="3">
        <f t="shared" si="15"/>
        <v>86700711006.25</v>
      </c>
      <c r="J329" s="3">
        <v>148845000</v>
      </c>
      <c r="K329" s="3">
        <f t="shared" si="16"/>
        <v>366262891500</v>
      </c>
      <c r="M329" s="4">
        <f t="shared" si="17"/>
        <v>0.76328284131877444</v>
      </c>
    </row>
    <row r="330" spans="1:13" x14ac:dyDescent="0.45">
      <c r="A330" s="2">
        <v>45463</v>
      </c>
      <c r="B330" s="3">
        <v>2705.4</v>
      </c>
      <c r="D330" s="2">
        <v>45463</v>
      </c>
      <c r="E330" s="3">
        <v>2499.4</v>
      </c>
      <c r="G330" s="3">
        <v>32090575</v>
      </c>
      <c r="H330" s="3">
        <f t="shared" si="15"/>
        <v>86817841605</v>
      </c>
      <c r="J330" s="3">
        <v>148845000</v>
      </c>
      <c r="K330" s="3">
        <f t="shared" si="16"/>
        <v>372023193000</v>
      </c>
      <c r="M330" s="4">
        <f t="shared" si="17"/>
        <v>0.76663325502665636</v>
      </c>
    </row>
    <row r="331" spans="1:13" x14ac:dyDescent="0.45">
      <c r="A331" s="2">
        <v>45462</v>
      </c>
      <c r="B331" s="3">
        <v>2566.5500000000002</v>
      </c>
      <c r="D331" s="2">
        <v>45462</v>
      </c>
      <c r="E331" s="3">
        <v>2416.5</v>
      </c>
      <c r="G331" s="3">
        <v>32090575</v>
      </c>
      <c r="H331" s="3">
        <f t="shared" si="15"/>
        <v>82362065266.25</v>
      </c>
      <c r="J331" s="3">
        <v>148845000</v>
      </c>
      <c r="K331" s="3">
        <f t="shared" si="16"/>
        <v>359683942500</v>
      </c>
      <c r="M331" s="4">
        <f t="shared" si="17"/>
        <v>0.77101545124925897</v>
      </c>
    </row>
    <row r="332" spans="1:13" x14ac:dyDescent="0.45">
      <c r="A332" s="2">
        <v>45461</v>
      </c>
      <c r="B332" s="3">
        <v>2478.65</v>
      </c>
      <c r="D332" s="2">
        <v>45461</v>
      </c>
      <c r="E332" s="3">
        <v>2422.1</v>
      </c>
      <c r="G332" s="3">
        <v>32090575</v>
      </c>
      <c r="H332" s="3">
        <f t="shared" si="15"/>
        <v>79541303723.75</v>
      </c>
      <c r="J332" s="3">
        <v>148845000</v>
      </c>
      <c r="K332" s="3">
        <f t="shared" si="16"/>
        <v>360517474500</v>
      </c>
      <c r="M332" s="4">
        <f t="shared" si="17"/>
        <v>0.77936907542674461</v>
      </c>
    </row>
    <row r="333" spans="1:13" x14ac:dyDescent="0.45">
      <c r="A333" s="2">
        <v>45457</v>
      </c>
      <c r="B333" s="3">
        <v>2490.5</v>
      </c>
      <c r="D333" s="2">
        <v>45457</v>
      </c>
      <c r="E333" s="3">
        <v>2402.5500000000002</v>
      </c>
      <c r="G333" s="3">
        <v>32090575</v>
      </c>
      <c r="H333" s="3">
        <f t="shared" si="15"/>
        <v>79921577037.5</v>
      </c>
      <c r="J333" s="3">
        <v>148845000</v>
      </c>
      <c r="K333" s="3">
        <f t="shared" si="16"/>
        <v>357607554750</v>
      </c>
      <c r="M333" s="4">
        <f t="shared" si="17"/>
        <v>0.77651037855346094</v>
      </c>
    </row>
    <row r="334" spans="1:13" x14ac:dyDescent="0.45">
      <c r="A334" s="2">
        <v>45456</v>
      </c>
      <c r="B334" s="3">
        <v>2500.1999999999998</v>
      </c>
      <c r="D334" s="2">
        <v>45456</v>
      </c>
      <c r="E334" s="3">
        <v>2398.75</v>
      </c>
      <c r="G334" s="3">
        <v>32090575</v>
      </c>
      <c r="H334" s="3">
        <f t="shared" si="15"/>
        <v>80232855615</v>
      </c>
      <c r="J334" s="3">
        <v>148845000</v>
      </c>
      <c r="K334" s="3">
        <f t="shared" si="16"/>
        <v>357041943750</v>
      </c>
      <c r="M334" s="4">
        <f t="shared" si="17"/>
        <v>0.77528450923071701</v>
      </c>
    </row>
    <row r="335" spans="1:13" x14ac:dyDescent="0.45">
      <c r="A335" s="2">
        <v>45455</v>
      </c>
      <c r="B335" s="3">
        <v>2500.8000000000002</v>
      </c>
      <c r="D335" s="2">
        <v>45455</v>
      </c>
      <c r="E335" s="3">
        <v>2368.9499999999998</v>
      </c>
      <c r="G335" s="3">
        <v>32090575</v>
      </c>
      <c r="H335" s="3">
        <f t="shared" si="15"/>
        <v>80252109960</v>
      </c>
      <c r="J335" s="3">
        <v>148845000</v>
      </c>
      <c r="K335" s="3">
        <f t="shared" si="16"/>
        <v>352606362750</v>
      </c>
      <c r="M335" s="4">
        <f t="shared" si="17"/>
        <v>0.77240311452661103</v>
      </c>
    </row>
    <row r="336" spans="1:13" x14ac:dyDescent="0.45">
      <c r="A336" s="2">
        <v>45454</v>
      </c>
      <c r="B336" s="3">
        <v>2467.9499999999998</v>
      </c>
      <c r="D336" s="2">
        <v>45454</v>
      </c>
      <c r="E336" s="3">
        <v>2326.4499999999998</v>
      </c>
      <c r="G336" s="3">
        <v>32090575</v>
      </c>
      <c r="H336" s="3">
        <f t="shared" si="15"/>
        <v>79197934571.25</v>
      </c>
      <c r="J336" s="3">
        <v>148845000</v>
      </c>
      <c r="K336" s="3">
        <f t="shared" si="16"/>
        <v>346280450250</v>
      </c>
      <c r="M336" s="4">
        <f t="shared" si="17"/>
        <v>0.77128961651149408</v>
      </c>
    </row>
    <row r="337" spans="1:13" x14ac:dyDescent="0.45">
      <c r="A337" s="2">
        <v>45453</v>
      </c>
      <c r="B337" s="3">
        <v>2453.6</v>
      </c>
      <c r="D337" s="2">
        <v>45453</v>
      </c>
      <c r="E337" s="3">
        <v>2354.9499999999998</v>
      </c>
      <c r="G337" s="3">
        <v>32090575</v>
      </c>
      <c r="H337" s="3">
        <f t="shared" si="15"/>
        <v>78737434820</v>
      </c>
      <c r="J337" s="3">
        <v>148845000</v>
      </c>
      <c r="K337" s="3">
        <f t="shared" si="16"/>
        <v>350522532750</v>
      </c>
      <c r="M337" s="4">
        <f t="shared" si="17"/>
        <v>0.77537126015189106</v>
      </c>
    </row>
    <row r="338" spans="1:13" x14ac:dyDescent="0.45">
      <c r="A338" s="2">
        <v>45450</v>
      </c>
      <c r="B338" s="3">
        <v>2439.5</v>
      </c>
      <c r="D338" s="2">
        <v>45450</v>
      </c>
      <c r="E338" s="3">
        <v>2310.15</v>
      </c>
      <c r="G338" s="3">
        <v>32090575</v>
      </c>
      <c r="H338" s="3">
        <f t="shared" si="15"/>
        <v>78284957712.5</v>
      </c>
      <c r="J338" s="3">
        <v>148845000</v>
      </c>
      <c r="K338" s="3">
        <f t="shared" si="16"/>
        <v>343854276750</v>
      </c>
      <c r="M338" s="4">
        <f t="shared" si="17"/>
        <v>0.77233100471390315</v>
      </c>
    </row>
    <row r="339" spans="1:13" x14ac:dyDescent="0.45">
      <c r="A339" s="2">
        <v>45449</v>
      </c>
      <c r="B339" s="3">
        <v>2461.9</v>
      </c>
      <c r="D339" s="2">
        <v>45449</v>
      </c>
      <c r="E339" s="3">
        <v>2294.6999999999998</v>
      </c>
      <c r="G339" s="3">
        <v>32090575</v>
      </c>
      <c r="H339" s="3">
        <f t="shared" si="15"/>
        <v>79003786592.5</v>
      </c>
      <c r="J339" s="3">
        <v>148845000</v>
      </c>
      <c r="K339" s="3">
        <f t="shared" si="16"/>
        <v>341554621500</v>
      </c>
      <c r="M339" s="4">
        <f t="shared" si="17"/>
        <v>0.76869355113527571</v>
      </c>
    </row>
    <row r="340" spans="1:13" x14ac:dyDescent="0.45">
      <c r="A340" s="2">
        <v>45448</v>
      </c>
      <c r="B340" s="3">
        <v>2433.6999999999998</v>
      </c>
      <c r="D340" s="2">
        <v>45448</v>
      </c>
      <c r="E340" s="3">
        <v>2293.4</v>
      </c>
      <c r="G340" s="3">
        <v>32090575</v>
      </c>
      <c r="H340" s="3">
        <f t="shared" si="15"/>
        <v>78098832377.5</v>
      </c>
      <c r="J340" s="3">
        <v>148845000</v>
      </c>
      <c r="K340" s="3">
        <f t="shared" si="16"/>
        <v>341361123000</v>
      </c>
      <c r="M340" s="4">
        <f t="shared" si="17"/>
        <v>0.77121345368464822</v>
      </c>
    </row>
    <row r="341" spans="1:13" x14ac:dyDescent="0.45">
      <c r="A341" s="2">
        <v>45447</v>
      </c>
      <c r="B341" s="3">
        <v>2384.0500000000002</v>
      </c>
      <c r="D341" s="2">
        <v>45447</v>
      </c>
      <c r="E341" s="3">
        <v>2191.65</v>
      </c>
      <c r="G341" s="3">
        <v>32090575</v>
      </c>
      <c r="H341" s="3">
        <f t="shared" si="15"/>
        <v>76505535328.75</v>
      </c>
      <c r="J341" s="3">
        <v>148845000</v>
      </c>
      <c r="K341" s="3">
        <f t="shared" si="16"/>
        <v>326216144250</v>
      </c>
      <c r="M341" s="4">
        <f t="shared" si="17"/>
        <v>0.76547593772637146</v>
      </c>
    </row>
    <row r="342" spans="1:13" x14ac:dyDescent="0.45">
      <c r="A342" s="2">
        <v>45446</v>
      </c>
      <c r="B342" s="3">
        <v>2472.6</v>
      </c>
      <c r="D342" s="2">
        <v>45446</v>
      </c>
      <c r="E342" s="3">
        <v>2267.1</v>
      </c>
      <c r="G342" s="3">
        <v>32090575</v>
      </c>
      <c r="H342" s="3">
        <f t="shared" si="15"/>
        <v>79347155745</v>
      </c>
      <c r="J342" s="3">
        <v>148845000</v>
      </c>
      <c r="K342" s="3">
        <f t="shared" si="16"/>
        <v>337446499500</v>
      </c>
      <c r="M342" s="4">
        <f t="shared" si="17"/>
        <v>0.76486004192495705</v>
      </c>
    </row>
    <row r="343" spans="1:13" x14ac:dyDescent="0.45">
      <c r="A343" s="2">
        <v>45443</v>
      </c>
      <c r="B343" s="3">
        <v>2456.65</v>
      </c>
      <c r="D343" s="2">
        <v>45443</v>
      </c>
      <c r="E343" s="3">
        <v>2206.9</v>
      </c>
      <c r="G343" s="3">
        <v>32090575</v>
      </c>
      <c r="H343" s="3">
        <f t="shared" si="15"/>
        <v>78835311073.75</v>
      </c>
      <c r="J343" s="3">
        <v>148970000</v>
      </c>
      <c r="K343" s="3">
        <f t="shared" si="16"/>
        <v>328761893000</v>
      </c>
      <c r="M343" s="4">
        <f t="shared" si="17"/>
        <v>0.76020544730909556</v>
      </c>
    </row>
    <row r="344" spans="1:13" x14ac:dyDescent="0.45">
      <c r="A344" s="2">
        <v>45442</v>
      </c>
      <c r="B344" s="3">
        <v>2456.3000000000002</v>
      </c>
      <c r="D344" s="2">
        <v>45442</v>
      </c>
      <c r="E344" s="3">
        <v>2221.0500000000002</v>
      </c>
      <c r="G344" s="3">
        <v>32090575</v>
      </c>
      <c r="H344" s="3">
        <f t="shared" si="15"/>
        <v>78824079372.5</v>
      </c>
      <c r="J344" s="3">
        <v>148970000</v>
      </c>
      <c r="K344" s="3">
        <f t="shared" si="16"/>
        <v>330869818500</v>
      </c>
      <c r="M344" s="4">
        <f t="shared" si="17"/>
        <v>0.76176709096692663</v>
      </c>
    </row>
    <row r="345" spans="1:13" x14ac:dyDescent="0.45">
      <c r="A345" s="2">
        <v>45441</v>
      </c>
      <c r="B345" s="3">
        <v>2465.9</v>
      </c>
      <c r="D345" s="2">
        <v>45441</v>
      </c>
      <c r="E345" s="3">
        <v>2239.6</v>
      </c>
      <c r="G345" s="3">
        <v>32090575</v>
      </c>
      <c r="H345" s="3">
        <f t="shared" si="15"/>
        <v>79132148892.5</v>
      </c>
      <c r="J345" s="3">
        <v>148970000</v>
      </c>
      <c r="K345" s="3">
        <f t="shared" si="16"/>
        <v>333633212000</v>
      </c>
      <c r="M345" s="4">
        <f t="shared" si="17"/>
        <v>0.76281693174928877</v>
      </c>
    </row>
    <row r="346" spans="1:13" x14ac:dyDescent="0.45">
      <c r="A346" s="2">
        <v>45440</v>
      </c>
      <c r="B346" s="3">
        <v>2471.3000000000002</v>
      </c>
      <c r="D346" s="2">
        <v>45440</v>
      </c>
      <c r="E346" s="3">
        <v>2280.15</v>
      </c>
      <c r="G346" s="3">
        <v>32090575</v>
      </c>
      <c r="H346" s="3">
        <f t="shared" si="15"/>
        <v>79305437997.5</v>
      </c>
      <c r="J346" s="3">
        <v>148970000</v>
      </c>
      <c r="K346" s="3">
        <f t="shared" si="16"/>
        <v>339673945500</v>
      </c>
      <c r="M346" s="4">
        <f t="shared" si="17"/>
        <v>0.76652481284438112</v>
      </c>
    </row>
    <row r="347" spans="1:13" x14ac:dyDescent="0.45">
      <c r="A347" s="2">
        <v>45439</v>
      </c>
      <c r="B347" s="3">
        <v>2493.25</v>
      </c>
      <c r="D347" s="2">
        <v>45439</v>
      </c>
      <c r="E347" s="3">
        <v>2308.0500000000002</v>
      </c>
      <c r="G347" s="3">
        <v>32090575</v>
      </c>
      <c r="H347" s="3">
        <f t="shared" si="15"/>
        <v>80009826118.75</v>
      </c>
      <c r="J347" s="3">
        <v>148970000</v>
      </c>
      <c r="K347" s="3">
        <f t="shared" si="16"/>
        <v>343830208500</v>
      </c>
      <c r="M347" s="4">
        <f t="shared" si="17"/>
        <v>0.76729843934364483</v>
      </c>
    </row>
    <row r="348" spans="1:13" x14ac:dyDescent="0.45">
      <c r="A348" s="2">
        <v>45436</v>
      </c>
      <c r="B348" s="3">
        <v>2471.6</v>
      </c>
      <c r="D348" s="2">
        <v>45436</v>
      </c>
      <c r="E348" s="3">
        <v>2288.85</v>
      </c>
      <c r="G348" s="3">
        <v>32090575</v>
      </c>
      <c r="H348" s="3">
        <f t="shared" si="15"/>
        <v>79315065170</v>
      </c>
      <c r="J348" s="3">
        <v>148970000</v>
      </c>
      <c r="K348" s="3">
        <f t="shared" si="16"/>
        <v>340969984500</v>
      </c>
      <c r="M348" s="4">
        <f t="shared" si="17"/>
        <v>0.76738402564581165</v>
      </c>
    </row>
    <row r="349" spans="1:13" x14ac:dyDescent="0.45">
      <c r="A349" s="2">
        <v>45435</v>
      </c>
      <c r="B349" s="3">
        <v>2470.9</v>
      </c>
      <c r="D349" s="2">
        <v>45435</v>
      </c>
      <c r="E349" s="3">
        <v>2305.35</v>
      </c>
      <c r="G349" s="3">
        <v>32090575</v>
      </c>
      <c r="H349" s="3">
        <f t="shared" si="15"/>
        <v>79292601767.5</v>
      </c>
      <c r="J349" s="3">
        <v>148970000</v>
      </c>
      <c r="K349" s="3">
        <f t="shared" si="16"/>
        <v>343427989500</v>
      </c>
      <c r="M349" s="4">
        <f t="shared" si="17"/>
        <v>0.76911432908266208</v>
      </c>
    </row>
    <row r="350" spans="1:13" x14ac:dyDescent="0.45">
      <c r="A350" s="2">
        <v>45434</v>
      </c>
      <c r="B350" s="3">
        <v>2464.3000000000002</v>
      </c>
      <c r="D350" s="2">
        <v>45434</v>
      </c>
      <c r="E350" s="3">
        <v>2294.0500000000002</v>
      </c>
      <c r="G350" s="3">
        <v>32090575</v>
      </c>
      <c r="H350" s="3">
        <f t="shared" si="15"/>
        <v>79080803972.5</v>
      </c>
      <c r="J350" s="3">
        <v>148970000</v>
      </c>
      <c r="K350" s="3">
        <f t="shared" si="16"/>
        <v>341744628500</v>
      </c>
      <c r="M350" s="4">
        <f t="shared" si="17"/>
        <v>0.76859679018334592</v>
      </c>
    </row>
    <row r="351" spans="1:13" x14ac:dyDescent="0.45">
      <c r="A351" s="2">
        <v>45433</v>
      </c>
      <c r="B351" s="3">
        <v>2490.6999999999998</v>
      </c>
      <c r="D351" s="2">
        <v>45433</v>
      </c>
      <c r="E351" s="3">
        <v>2285.65</v>
      </c>
      <c r="G351" s="3">
        <v>32090575</v>
      </c>
      <c r="H351" s="3">
        <f t="shared" si="15"/>
        <v>79927995152.5</v>
      </c>
      <c r="J351" s="3">
        <v>148970000</v>
      </c>
      <c r="K351" s="3">
        <f t="shared" si="16"/>
        <v>340493280500</v>
      </c>
      <c r="M351" s="4">
        <f t="shared" si="17"/>
        <v>0.76525823054384767</v>
      </c>
    </row>
    <row r="352" spans="1:13" x14ac:dyDescent="0.45">
      <c r="A352" s="2">
        <v>45430</v>
      </c>
      <c r="B352" s="3">
        <v>2531.85</v>
      </c>
      <c r="D352" s="2">
        <v>45430</v>
      </c>
      <c r="E352" s="3">
        <v>2278.5500000000002</v>
      </c>
      <c r="G352" s="3">
        <v>32090575</v>
      </c>
      <c r="H352" s="3">
        <f t="shared" si="15"/>
        <v>81248522313.75</v>
      </c>
      <c r="J352" s="3">
        <v>148970000</v>
      </c>
      <c r="K352" s="3">
        <f t="shared" si="16"/>
        <v>339435593500</v>
      </c>
      <c r="M352" s="4">
        <f t="shared" si="17"/>
        <v>0.76063640976487634</v>
      </c>
    </row>
    <row r="353" spans="1:13" x14ac:dyDescent="0.45">
      <c r="A353" s="2">
        <v>45429</v>
      </c>
      <c r="B353" s="3">
        <v>2508.75</v>
      </c>
      <c r="D353" s="2">
        <v>45429</v>
      </c>
      <c r="E353" s="3">
        <v>2279.8000000000002</v>
      </c>
      <c r="G353" s="3">
        <v>32090575</v>
      </c>
      <c r="H353" s="3">
        <f t="shared" si="15"/>
        <v>80507230031.25</v>
      </c>
      <c r="J353" s="3">
        <v>148970000</v>
      </c>
      <c r="K353" s="3">
        <f t="shared" si="16"/>
        <v>339621806000</v>
      </c>
      <c r="M353" s="4">
        <f t="shared" si="17"/>
        <v>0.76295035062839867</v>
      </c>
    </row>
    <row r="354" spans="1:13" x14ac:dyDescent="0.45">
      <c r="A354" s="2">
        <v>45428</v>
      </c>
      <c r="B354" s="3">
        <v>2473.0500000000002</v>
      </c>
      <c r="D354" s="2">
        <v>45428</v>
      </c>
      <c r="E354" s="3">
        <v>2270</v>
      </c>
      <c r="G354" s="3">
        <v>32090575</v>
      </c>
      <c r="H354" s="3">
        <f t="shared" si="15"/>
        <v>79361596503.75</v>
      </c>
      <c r="J354" s="3">
        <v>148970000</v>
      </c>
      <c r="K354" s="3">
        <f t="shared" si="16"/>
        <v>338161900000</v>
      </c>
      <c r="M354" s="4">
        <f t="shared" si="17"/>
        <v>0.76531479003474367</v>
      </c>
    </row>
    <row r="355" spans="1:13" x14ac:dyDescent="0.45">
      <c r="A355" s="2">
        <v>45427</v>
      </c>
      <c r="B355" s="3">
        <v>2525.75</v>
      </c>
      <c r="D355" s="2">
        <v>45427</v>
      </c>
      <c r="E355" s="3">
        <v>2287.15</v>
      </c>
      <c r="G355" s="3">
        <v>32090575</v>
      </c>
      <c r="H355" s="3">
        <f t="shared" si="15"/>
        <v>81052769806.25</v>
      </c>
      <c r="J355" s="3">
        <v>148970000</v>
      </c>
      <c r="K355" s="3">
        <f t="shared" si="16"/>
        <v>340716735500</v>
      </c>
      <c r="M355" s="4">
        <f t="shared" si="17"/>
        <v>0.76211098146586342</v>
      </c>
    </row>
    <row r="356" spans="1:13" x14ac:dyDescent="0.45">
      <c r="A356" s="2">
        <v>45426</v>
      </c>
      <c r="B356" s="3">
        <v>2526.25</v>
      </c>
      <c r="D356" s="2">
        <v>45426</v>
      </c>
      <c r="E356" s="3">
        <v>2286</v>
      </c>
      <c r="G356" s="3">
        <v>32090575</v>
      </c>
      <c r="H356" s="3">
        <f t="shared" si="15"/>
        <v>81068815093.75</v>
      </c>
      <c r="J356" s="3">
        <v>148970000</v>
      </c>
      <c r="K356" s="3">
        <f t="shared" si="16"/>
        <v>340545420000</v>
      </c>
      <c r="M356" s="4">
        <f t="shared" si="17"/>
        <v>0.76194419207355657</v>
      </c>
    </row>
    <row r="357" spans="1:13" x14ac:dyDescent="0.45">
      <c r="A357" s="2">
        <v>45425</v>
      </c>
      <c r="B357" s="3">
        <v>2499.4499999999998</v>
      </c>
      <c r="D357" s="2">
        <v>45425</v>
      </c>
      <c r="E357" s="3">
        <v>2228.1</v>
      </c>
      <c r="G357" s="3">
        <v>32090575</v>
      </c>
      <c r="H357" s="3">
        <f t="shared" si="15"/>
        <v>80208787683.75</v>
      </c>
      <c r="J357" s="3">
        <v>148970000</v>
      </c>
      <c r="K357" s="3">
        <f t="shared" si="16"/>
        <v>331920057000</v>
      </c>
      <c r="M357" s="4">
        <f t="shared" si="17"/>
        <v>0.75834907836331811</v>
      </c>
    </row>
    <row r="358" spans="1:13" x14ac:dyDescent="0.45">
      <c r="A358" s="2">
        <v>45422</v>
      </c>
      <c r="B358" s="3">
        <v>2521.35</v>
      </c>
      <c r="D358" s="2">
        <v>45422</v>
      </c>
      <c r="E358" s="3">
        <v>2276.9499999999998</v>
      </c>
      <c r="G358" s="3">
        <v>32090575</v>
      </c>
      <c r="H358" s="3">
        <f t="shared" si="15"/>
        <v>80911571276.25</v>
      </c>
      <c r="J358" s="3">
        <v>148970000</v>
      </c>
      <c r="K358" s="3">
        <f t="shared" si="16"/>
        <v>339197241500</v>
      </c>
      <c r="M358" s="4">
        <f t="shared" si="17"/>
        <v>0.76146158819440157</v>
      </c>
    </row>
    <row r="359" spans="1:13" x14ac:dyDescent="0.45">
      <c r="A359" s="2">
        <v>45421</v>
      </c>
      <c r="B359" s="3">
        <v>2545.85</v>
      </c>
      <c r="D359" s="2">
        <v>45421</v>
      </c>
      <c r="E359" s="3">
        <v>2291.9</v>
      </c>
      <c r="G359" s="3">
        <v>32090575</v>
      </c>
      <c r="H359" s="3">
        <f t="shared" si="15"/>
        <v>81697790363.75</v>
      </c>
      <c r="J359" s="3">
        <v>148970000</v>
      </c>
      <c r="K359" s="3">
        <f t="shared" si="16"/>
        <v>341424343000</v>
      </c>
      <c r="M359" s="4">
        <f t="shared" si="17"/>
        <v>0.76071480537710223</v>
      </c>
    </row>
    <row r="360" spans="1:13" x14ac:dyDescent="0.45">
      <c r="A360" s="2">
        <v>45420</v>
      </c>
      <c r="B360" s="3">
        <v>2535.5</v>
      </c>
      <c r="D360" s="2">
        <v>45420</v>
      </c>
      <c r="E360" s="3">
        <v>2338.5500000000002</v>
      </c>
      <c r="G360" s="3">
        <v>32090575</v>
      </c>
      <c r="H360" s="3">
        <f t="shared" si="15"/>
        <v>81365652912.5</v>
      </c>
      <c r="J360" s="3">
        <v>148970000</v>
      </c>
      <c r="K360" s="3">
        <f t="shared" si="16"/>
        <v>348373793500</v>
      </c>
      <c r="M360" s="4">
        <f t="shared" si="17"/>
        <v>0.76644152220795569</v>
      </c>
    </row>
    <row r="361" spans="1:13" x14ac:dyDescent="0.45">
      <c r="A361" s="2">
        <v>45419</v>
      </c>
      <c r="B361" s="3">
        <v>2566.75</v>
      </c>
      <c r="D361" s="2">
        <v>45419</v>
      </c>
      <c r="E361" s="3">
        <v>2414.25</v>
      </c>
      <c r="G361" s="3">
        <v>32090575</v>
      </c>
      <c r="H361" s="3">
        <f t="shared" si="15"/>
        <v>82368483381.25</v>
      </c>
      <c r="J361" s="3">
        <v>148970000</v>
      </c>
      <c r="K361" s="3">
        <f t="shared" si="16"/>
        <v>359650822500</v>
      </c>
      <c r="M361" s="4">
        <f t="shared" si="17"/>
        <v>0.77097651881152029</v>
      </c>
    </row>
    <row r="362" spans="1:13" x14ac:dyDescent="0.45">
      <c r="A362" s="2">
        <v>45418</v>
      </c>
      <c r="B362" s="3">
        <v>2656.7</v>
      </c>
      <c r="D362" s="2">
        <v>45418</v>
      </c>
      <c r="E362" s="3">
        <v>2591.65</v>
      </c>
      <c r="G362" s="3">
        <v>32090575</v>
      </c>
      <c r="H362" s="3">
        <f t="shared" si="15"/>
        <v>85255030602.5</v>
      </c>
      <c r="J362" s="3">
        <v>148970000</v>
      </c>
      <c r="K362" s="3">
        <f t="shared" si="16"/>
        <v>386078100500</v>
      </c>
      <c r="M362" s="4">
        <f t="shared" si="17"/>
        <v>0.77917672488522827</v>
      </c>
    </row>
    <row r="363" spans="1:13" x14ac:dyDescent="0.45">
      <c r="A363" s="2">
        <v>45415</v>
      </c>
      <c r="B363" s="3">
        <v>2703.85</v>
      </c>
      <c r="D363" s="2">
        <v>45415</v>
      </c>
      <c r="E363" s="3">
        <v>2566.35</v>
      </c>
      <c r="G363" s="3">
        <v>32090575</v>
      </c>
      <c r="H363" s="3">
        <f t="shared" si="15"/>
        <v>86768101213.75</v>
      </c>
      <c r="J363" s="3">
        <v>148970000</v>
      </c>
      <c r="K363" s="3">
        <f t="shared" si="16"/>
        <v>382309159500</v>
      </c>
      <c r="M363" s="4">
        <f t="shared" si="17"/>
        <v>0.77304205495042555</v>
      </c>
    </row>
    <row r="364" spans="1:13" x14ac:dyDescent="0.45">
      <c r="A364" s="2">
        <v>45414</v>
      </c>
      <c r="B364" s="3">
        <v>2739.35</v>
      </c>
      <c r="D364" s="2">
        <v>45414</v>
      </c>
      <c r="E364" s="3">
        <v>2667.9</v>
      </c>
      <c r="G364" s="3">
        <v>32090575</v>
      </c>
      <c r="H364" s="3">
        <f t="shared" si="15"/>
        <v>87907316626.25</v>
      </c>
      <c r="J364" s="3">
        <v>148970000</v>
      </c>
      <c r="K364" s="3">
        <f t="shared" si="16"/>
        <v>397437063000</v>
      </c>
      <c r="M364" s="4">
        <f t="shared" si="17"/>
        <v>0.77881449716165496</v>
      </c>
    </row>
    <row r="365" spans="1:13" x14ac:dyDescent="0.45">
      <c r="A365" s="2">
        <v>45412</v>
      </c>
      <c r="B365" s="3">
        <v>2744.2</v>
      </c>
      <c r="D365" s="2">
        <v>45412</v>
      </c>
      <c r="E365" s="3">
        <v>2619.15</v>
      </c>
      <c r="G365" s="3">
        <v>32090575</v>
      </c>
      <c r="H365" s="3">
        <f t="shared" si="15"/>
        <v>88062955915</v>
      </c>
      <c r="J365" s="3">
        <v>148970000</v>
      </c>
      <c r="K365" s="3">
        <f t="shared" si="16"/>
        <v>390174775500</v>
      </c>
      <c r="M365" s="4">
        <f t="shared" si="17"/>
        <v>0.77429869523946193</v>
      </c>
    </row>
    <row r="366" spans="1:13" x14ac:dyDescent="0.45">
      <c r="A366" s="2">
        <v>45411</v>
      </c>
      <c r="B366" s="3">
        <v>2770.65</v>
      </c>
      <c r="D366" s="2">
        <v>45411</v>
      </c>
      <c r="E366" s="3">
        <v>2637.1</v>
      </c>
      <c r="G366" s="3">
        <v>32090575</v>
      </c>
      <c r="H366" s="3">
        <f t="shared" si="15"/>
        <v>88911751623.75</v>
      </c>
      <c r="J366" s="3">
        <v>148970000</v>
      </c>
      <c r="K366" s="3">
        <f t="shared" si="16"/>
        <v>392848787000</v>
      </c>
      <c r="M366" s="4">
        <f t="shared" si="17"/>
        <v>0.7736743638621697</v>
      </c>
    </row>
    <row r="367" spans="1:13" x14ac:dyDescent="0.45">
      <c r="A367" s="2">
        <v>45408</v>
      </c>
      <c r="B367" s="3">
        <v>2750.65</v>
      </c>
      <c r="D367" s="2">
        <v>45408</v>
      </c>
      <c r="E367" s="3">
        <v>2637.55</v>
      </c>
      <c r="G367" s="3">
        <v>32090575</v>
      </c>
      <c r="H367" s="3">
        <f t="shared" si="15"/>
        <v>88269940123.75</v>
      </c>
      <c r="J367" s="3">
        <v>148970000</v>
      </c>
      <c r="K367" s="3">
        <f t="shared" si="16"/>
        <v>392915823500</v>
      </c>
      <c r="M367" s="4">
        <f t="shared" si="17"/>
        <v>0.77534643594278663</v>
      </c>
    </row>
    <row r="368" spans="1:13" x14ac:dyDescent="0.45">
      <c r="A368" s="2">
        <v>45407</v>
      </c>
      <c r="B368" s="3">
        <v>2767.75</v>
      </c>
      <c r="D368" s="2">
        <v>45407</v>
      </c>
      <c r="E368" s="3">
        <v>2639.1</v>
      </c>
      <c r="G368" s="3">
        <v>32090575</v>
      </c>
      <c r="H368" s="3">
        <f t="shared" si="15"/>
        <v>88818688956.25</v>
      </c>
      <c r="J368" s="3">
        <v>148970000</v>
      </c>
      <c r="K368" s="3">
        <f t="shared" si="16"/>
        <v>393146727000</v>
      </c>
      <c r="M368" s="4">
        <f t="shared" si="17"/>
        <v>0.77408259345307995</v>
      </c>
    </row>
    <row r="369" spans="1:13" x14ac:dyDescent="0.45">
      <c r="A369" s="2">
        <v>45406</v>
      </c>
      <c r="B369" s="3">
        <v>2792.45</v>
      </c>
      <c r="D369" s="2">
        <v>45406</v>
      </c>
      <c r="E369" s="3">
        <v>2615.35</v>
      </c>
      <c r="G369" s="3">
        <v>32090575</v>
      </c>
      <c r="H369" s="3">
        <f t="shared" si="15"/>
        <v>89611326158.75</v>
      </c>
      <c r="J369" s="3">
        <v>148970000</v>
      </c>
      <c r="K369" s="3">
        <f t="shared" si="16"/>
        <v>389608689500</v>
      </c>
      <c r="M369" s="4">
        <f t="shared" si="17"/>
        <v>0.76999659254583952</v>
      </c>
    </row>
    <row r="370" spans="1:13" x14ac:dyDescent="0.45">
      <c r="A370" s="2">
        <v>45405</v>
      </c>
      <c r="B370" s="3">
        <v>2770.8</v>
      </c>
      <c r="D370" s="2">
        <v>45405</v>
      </c>
      <c r="E370" s="3">
        <v>2617</v>
      </c>
      <c r="G370" s="3">
        <v>32090575</v>
      </c>
      <c r="H370" s="3">
        <f t="shared" si="15"/>
        <v>88916565210</v>
      </c>
      <c r="J370" s="3">
        <v>148970000</v>
      </c>
      <c r="K370" s="3">
        <f t="shared" si="16"/>
        <v>389854490000</v>
      </c>
      <c r="M370" s="4">
        <f t="shared" si="17"/>
        <v>0.77192371130572335</v>
      </c>
    </row>
    <row r="371" spans="1:13" x14ac:dyDescent="0.45">
      <c r="A371" s="2">
        <v>45404</v>
      </c>
      <c r="B371" s="3">
        <v>2812.6</v>
      </c>
      <c r="D371" s="2">
        <v>45404</v>
      </c>
      <c r="E371" s="3">
        <v>2564.65</v>
      </c>
      <c r="G371" s="3">
        <v>32090575</v>
      </c>
      <c r="H371" s="3">
        <f t="shared" si="15"/>
        <v>90257951245</v>
      </c>
      <c r="J371" s="3">
        <v>148970000</v>
      </c>
      <c r="K371" s="3">
        <f t="shared" si="16"/>
        <v>382055910500</v>
      </c>
      <c r="M371" s="4">
        <f t="shared" si="17"/>
        <v>0.76375721781956307</v>
      </c>
    </row>
    <row r="372" spans="1:13" x14ac:dyDescent="0.45">
      <c r="A372" s="2">
        <v>45401</v>
      </c>
      <c r="B372" s="3">
        <v>2700.25</v>
      </c>
      <c r="D372" s="2">
        <v>45401</v>
      </c>
      <c r="E372" s="3">
        <v>2527.1</v>
      </c>
      <c r="G372" s="3">
        <v>32090575</v>
      </c>
      <c r="H372" s="3">
        <f t="shared" si="15"/>
        <v>86652575143.75</v>
      </c>
      <c r="J372" s="3">
        <v>148970000</v>
      </c>
      <c r="K372" s="3">
        <f t="shared" si="16"/>
        <v>376462087000</v>
      </c>
      <c r="M372" s="4">
        <f t="shared" si="17"/>
        <v>0.76982389957438135</v>
      </c>
    </row>
    <row r="373" spans="1:13" x14ac:dyDescent="0.45">
      <c r="A373" s="2">
        <v>45400</v>
      </c>
      <c r="B373" s="3">
        <v>2721.95</v>
      </c>
      <c r="D373" s="2">
        <v>45400</v>
      </c>
      <c r="E373" s="3">
        <v>2531.8000000000002</v>
      </c>
      <c r="G373" s="3">
        <v>32090575</v>
      </c>
      <c r="H373" s="3">
        <f t="shared" si="15"/>
        <v>87348940621.25</v>
      </c>
      <c r="J373" s="3">
        <v>148970000</v>
      </c>
      <c r="K373" s="3">
        <f t="shared" si="16"/>
        <v>377162246000</v>
      </c>
      <c r="M373" s="4">
        <f t="shared" si="17"/>
        <v>0.76840486674466879</v>
      </c>
    </row>
    <row r="374" spans="1:13" x14ac:dyDescent="0.45">
      <c r="A374" s="2">
        <v>45398</v>
      </c>
      <c r="B374" s="3">
        <v>2680.2</v>
      </c>
      <c r="D374" s="2">
        <v>45398</v>
      </c>
      <c r="E374" s="3">
        <v>2517.6999999999998</v>
      </c>
      <c r="G374" s="3">
        <v>32090575</v>
      </c>
      <c r="H374" s="3">
        <f t="shared" si="15"/>
        <v>86009159115</v>
      </c>
      <c r="J374" s="3">
        <v>148970000</v>
      </c>
      <c r="K374" s="3">
        <f t="shared" si="16"/>
        <v>375061769000</v>
      </c>
      <c r="M374" s="4">
        <f t="shared" si="17"/>
        <v>0.77068001533635377</v>
      </c>
    </row>
    <row r="375" spans="1:13" x14ac:dyDescent="0.45">
      <c r="A375" s="2">
        <v>45397</v>
      </c>
      <c r="B375" s="3">
        <v>2743.2</v>
      </c>
      <c r="D375" s="2">
        <v>45397</v>
      </c>
      <c r="E375" s="3">
        <v>2556.9499999999998</v>
      </c>
      <c r="G375" s="3">
        <v>32090575</v>
      </c>
      <c r="H375" s="3">
        <f t="shared" si="15"/>
        <v>88030865340</v>
      </c>
      <c r="J375" s="3">
        <v>148970000</v>
      </c>
      <c r="K375" s="3">
        <f t="shared" si="16"/>
        <v>380908841500</v>
      </c>
      <c r="M375" s="4">
        <f t="shared" si="17"/>
        <v>0.76889256496819858</v>
      </c>
    </row>
    <row r="376" spans="1:13" x14ac:dyDescent="0.45">
      <c r="A376" s="2">
        <v>45394</v>
      </c>
      <c r="B376" s="3">
        <v>2775.95</v>
      </c>
      <c r="D376" s="2">
        <v>45394</v>
      </c>
      <c r="E376" s="3">
        <v>2631.85</v>
      </c>
      <c r="G376" s="3">
        <v>32090575</v>
      </c>
      <c r="H376" s="3">
        <f t="shared" si="15"/>
        <v>89081831671.25</v>
      </c>
      <c r="J376" s="3">
        <v>148970000</v>
      </c>
      <c r="K376" s="3">
        <f t="shared" si="16"/>
        <v>392066694500</v>
      </c>
      <c r="M376" s="4">
        <f t="shared" si="17"/>
        <v>0.77278908685458358</v>
      </c>
    </row>
    <row r="377" spans="1:13" x14ac:dyDescent="0.45">
      <c r="A377" s="2">
        <v>45392</v>
      </c>
      <c r="B377" s="3">
        <v>2757.45</v>
      </c>
      <c r="D377" s="2">
        <v>45392</v>
      </c>
      <c r="E377" s="3">
        <v>2645.45</v>
      </c>
      <c r="G377" s="3">
        <v>32090575</v>
      </c>
      <c r="H377" s="3">
        <f t="shared" si="15"/>
        <v>88488156033.75</v>
      </c>
      <c r="J377" s="3">
        <v>148970000</v>
      </c>
      <c r="K377" s="3">
        <f t="shared" si="16"/>
        <v>394092686500</v>
      </c>
      <c r="M377" s="4">
        <f t="shared" si="17"/>
        <v>0.77546359253802088</v>
      </c>
    </row>
    <row r="378" spans="1:13" x14ac:dyDescent="0.45">
      <c r="A378" s="2">
        <v>45391</v>
      </c>
      <c r="B378" s="3">
        <v>2689.25</v>
      </c>
      <c r="D378" s="2">
        <v>45391</v>
      </c>
      <c r="E378" s="3">
        <v>2592.9</v>
      </c>
      <c r="G378" s="3">
        <v>32090575</v>
      </c>
      <c r="H378" s="3">
        <f t="shared" si="15"/>
        <v>86299578818.75</v>
      </c>
      <c r="J378" s="3">
        <v>148970000</v>
      </c>
      <c r="K378" s="3">
        <f t="shared" si="16"/>
        <v>386264313000</v>
      </c>
      <c r="M378" s="4">
        <f t="shared" si="17"/>
        <v>0.77657894888480161</v>
      </c>
    </row>
    <row r="379" spans="1:13" x14ac:dyDescent="0.45">
      <c r="A379" s="2">
        <v>45390</v>
      </c>
      <c r="B379" s="3">
        <v>2752.9</v>
      </c>
      <c r="D379" s="2">
        <v>45390</v>
      </c>
      <c r="E379" s="3">
        <v>2601.1999999999998</v>
      </c>
      <c r="G379" s="3">
        <v>32090575</v>
      </c>
      <c r="H379" s="3">
        <f t="shared" si="15"/>
        <v>88342143917.5</v>
      </c>
      <c r="J379" s="3">
        <v>148970000</v>
      </c>
      <c r="K379" s="3">
        <f t="shared" si="16"/>
        <v>387500764000</v>
      </c>
      <c r="M379" s="4">
        <f t="shared" si="17"/>
        <v>0.77202072324817406</v>
      </c>
    </row>
    <row r="380" spans="1:13" x14ac:dyDescent="0.45">
      <c r="A380" s="2">
        <v>45387</v>
      </c>
      <c r="B380" s="3">
        <v>2737.35</v>
      </c>
      <c r="D380" s="2">
        <v>45387</v>
      </c>
      <c r="E380" s="3">
        <v>2585.6999999999998</v>
      </c>
      <c r="G380" s="3">
        <v>32090575</v>
      </c>
      <c r="H380" s="3">
        <f t="shared" si="15"/>
        <v>87843135476.25</v>
      </c>
      <c r="J380" s="3">
        <v>148970000</v>
      </c>
      <c r="K380" s="3">
        <f t="shared" si="16"/>
        <v>385191729000</v>
      </c>
      <c r="M380" s="4">
        <f t="shared" si="17"/>
        <v>0.77194958026668847</v>
      </c>
    </row>
    <row r="381" spans="1:13" x14ac:dyDescent="0.45">
      <c r="A381" s="2">
        <v>45386</v>
      </c>
      <c r="B381" s="3">
        <v>2743.5</v>
      </c>
      <c r="D381" s="2">
        <v>45386</v>
      </c>
      <c r="E381" s="3">
        <v>2595.5</v>
      </c>
      <c r="G381" s="3">
        <v>32090575</v>
      </c>
      <c r="H381" s="3">
        <f t="shared" si="15"/>
        <v>88040492512.5</v>
      </c>
      <c r="J381" s="3">
        <v>148970000</v>
      </c>
      <c r="K381" s="3">
        <f t="shared" si="16"/>
        <v>386651635000</v>
      </c>
      <c r="M381" s="4">
        <f t="shared" si="17"/>
        <v>0.77230021925938575</v>
      </c>
    </row>
    <row r="382" spans="1:13" x14ac:dyDescent="0.45">
      <c r="A382" s="2">
        <v>45385</v>
      </c>
      <c r="B382" s="3">
        <v>2739.65</v>
      </c>
      <c r="D382" s="2">
        <v>45385</v>
      </c>
      <c r="E382" s="3">
        <v>2622.85</v>
      </c>
      <c r="G382" s="3">
        <v>32090575</v>
      </c>
      <c r="H382" s="3">
        <f t="shared" si="15"/>
        <v>87916943798.75</v>
      </c>
      <c r="J382" s="3">
        <v>148970000</v>
      </c>
      <c r="K382" s="3">
        <f t="shared" si="16"/>
        <v>390725964500</v>
      </c>
      <c r="M382" s="4">
        <f t="shared" si="17"/>
        <v>0.77499078180981751</v>
      </c>
    </row>
    <row r="383" spans="1:13" x14ac:dyDescent="0.45">
      <c r="A383" s="2">
        <v>45384</v>
      </c>
      <c r="B383" s="3">
        <v>2714.85</v>
      </c>
      <c r="D383" s="2">
        <v>45384</v>
      </c>
      <c r="E383" s="3">
        <v>2620.6999999999998</v>
      </c>
      <c r="G383" s="3">
        <v>32090575</v>
      </c>
      <c r="H383" s="3">
        <f t="shared" si="15"/>
        <v>87121097538.75</v>
      </c>
      <c r="J383" s="3">
        <v>148970000</v>
      </c>
      <c r="K383" s="3">
        <f t="shared" si="16"/>
        <v>390405679000</v>
      </c>
      <c r="M383" s="4">
        <f t="shared" si="17"/>
        <v>0.77684469713169824</v>
      </c>
    </row>
    <row r="384" spans="1:13" x14ac:dyDescent="0.45">
      <c r="A384" s="2">
        <v>45383</v>
      </c>
      <c r="B384" s="3">
        <v>2673.35</v>
      </c>
      <c r="D384" s="2">
        <v>45383</v>
      </c>
      <c r="E384" s="3">
        <v>2619.25</v>
      </c>
      <c r="G384" s="3">
        <v>32090575</v>
      </c>
      <c r="H384" s="3">
        <f t="shared" si="15"/>
        <v>85789338676.25</v>
      </c>
      <c r="J384" s="3">
        <v>148970000</v>
      </c>
      <c r="K384" s="3">
        <f t="shared" si="16"/>
        <v>390189672500</v>
      </c>
      <c r="M384" s="4">
        <f t="shared" si="17"/>
        <v>0.78013426617217807</v>
      </c>
    </row>
    <row r="385" spans="1:13" x14ac:dyDescent="0.45">
      <c r="A385" s="2">
        <v>45379</v>
      </c>
      <c r="B385" s="3">
        <v>2616</v>
      </c>
      <c r="D385" s="2">
        <v>45379</v>
      </c>
      <c r="E385" s="3">
        <v>2557.5500000000002</v>
      </c>
      <c r="G385" s="3">
        <v>32121767</v>
      </c>
      <c r="H385" s="3">
        <f t="shared" si="15"/>
        <v>84030542472</v>
      </c>
      <c r="J385" s="3">
        <v>149645000</v>
      </c>
      <c r="K385" s="3">
        <f t="shared" si="16"/>
        <v>382724569750</v>
      </c>
      <c r="M385" s="4">
        <f t="shared" si="17"/>
        <v>0.78044121252291254</v>
      </c>
    </row>
    <row r="386" spans="1:13" x14ac:dyDescent="0.45">
      <c r="A386" s="2">
        <v>45378</v>
      </c>
      <c r="B386" s="3">
        <v>2508.0500000000002</v>
      </c>
      <c r="D386" s="2">
        <v>45378</v>
      </c>
      <c r="E386" s="3">
        <v>2522.85</v>
      </c>
      <c r="G386" s="3">
        <v>32121767</v>
      </c>
      <c r="H386" s="3">
        <f t="shared" si="15"/>
        <v>80562997724.350006</v>
      </c>
      <c r="J386" s="3">
        <v>149645000</v>
      </c>
      <c r="K386" s="3">
        <f t="shared" si="16"/>
        <v>377531888250</v>
      </c>
      <c r="M386" s="4">
        <f t="shared" si="17"/>
        <v>0.78660611134654268</v>
      </c>
    </row>
    <row r="387" spans="1:13" x14ac:dyDescent="0.45">
      <c r="A387" s="2">
        <v>45377</v>
      </c>
      <c r="B387" s="3">
        <v>2485.15</v>
      </c>
      <c r="D387" s="2">
        <v>45377</v>
      </c>
      <c r="E387" s="3">
        <v>2577.9499999999998</v>
      </c>
      <c r="G387" s="3">
        <v>32121767</v>
      </c>
      <c r="H387" s="3">
        <f t="shared" si="15"/>
        <v>79827409260.050003</v>
      </c>
      <c r="J387" s="3">
        <v>149645000</v>
      </c>
      <c r="K387" s="3">
        <f t="shared" si="16"/>
        <v>385777327750</v>
      </c>
      <c r="M387" s="4">
        <f t="shared" si="17"/>
        <v>0.79307387055212963</v>
      </c>
    </row>
    <row r="388" spans="1:13" x14ac:dyDescent="0.45">
      <c r="A388" s="2">
        <v>45373</v>
      </c>
      <c r="B388" s="3">
        <v>2502.3000000000002</v>
      </c>
      <c r="D388" s="2">
        <v>45373</v>
      </c>
      <c r="E388" s="3">
        <v>2550.75</v>
      </c>
      <c r="G388" s="3">
        <v>32121767</v>
      </c>
      <c r="H388" s="3">
        <f t="shared" ref="H388:H451" si="18">+G388*B388</f>
        <v>80378297564.100006</v>
      </c>
      <c r="J388" s="3">
        <v>149645000</v>
      </c>
      <c r="K388" s="3">
        <f t="shared" ref="K388:K451" si="19">+J388*E388</f>
        <v>381706983750</v>
      </c>
      <c r="M388" s="4">
        <f t="shared" ref="M388:M451" si="20">1- (H388/K388)</f>
        <v>0.7894240844785172</v>
      </c>
    </row>
    <row r="389" spans="1:13" x14ac:dyDescent="0.45">
      <c r="A389" s="2">
        <v>45372</v>
      </c>
      <c r="B389" s="3">
        <v>2455.4499999999998</v>
      </c>
      <c r="D389" s="2">
        <v>45372</v>
      </c>
      <c r="E389" s="3">
        <v>2538.1</v>
      </c>
      <c r="G389" s="3">
        <v>32121767</v>
      </c>
      <c r="H389" s="3">
        <f t="shared" si="18"/>
        <v>78873392780.149994</v>
      </c>
      <c r="J389" s="3">
        <v>149645000</v>
      </c>
      <c r="K389" s="3">
        <f t="shared" si="19"/>
        <v>379813974500</v>
      </c>
      <c r="M389" s="4">
        <f t="shared" si="20"/>
        <v>0.79233678043578681</v>
      </c>
    </row>
    <row r="390" spans="1:13" x14ac:dyDescent="0.45">
      <c r="A390" s="2">
        <v>45371</v>
      </c>
      <c r="B390" s="3">
        <v>2447.85</v>
      </c>
      <c r="D390" s="2">
        <v>45371</v>
      </c>
      <c r="E390" s="3">
        <v>2460.6999999999998</v>
      </c>
      <c r="G390" s="3">
        <v>32121767</v>
      </c>
      <c r="H390" s="3">
        <f t="shared" si="18"/>
        <v>78629267350.949997</v>
      </c>
      <c r="J390" s="3">
        <v>149645000</v>
      </c>
      <c r="K390" s="3">
        <f t="shared" si="19"/>
        <v>368231451500</v>
      </c>
      <c r="M390" s="4">
        <f t="shared" si="20"/>
        <v>0.78646781248410014</v>
      </c>
    </row>
    <row r="391" spans="1:13" x14ac:dyDescent="0.45">
      <c r="A391" s="2">
        <v>45370</v>
      </c>
      <c r="B391" s="3">
        <v>2478.85</v>
      </c>
      <c r="D391" s="2">
        <v>45370</v>
      </c>
      <c r="E391" s="3">
        <v>2430.6999999999998</v>
      </c>
      <c r="G391" s="3">
        <v>32121767</v>
      </c>
      <c r="H391" s="3">
        <f t="shared" si="18"/>
        <v>79625042127.949997</v>
      </c>
      <c r="J391" s="3">
        <v>149645000</v>
      </c>
      <c r="K391" s="3">
        <f t="shared" si="19"/>
        <v>363742101500</v>
      </c>
      <c r="M391" s="4">
        <f t="shared" si="20"/>
        <v>0.7810947872143692</v>
      </c>
    </row>
    <row r="392" spans="1:13" x14ac:dyDescent="0.45">
      <c r="A392" s="2">
        <v>45369</v>
      </c>
      <c r="B392" s="3">
        <v>2503.65</v>
      </c>
      <c r="D392" s="2">
        <v>45369</v>
      </c>
      <c r="E392" s="3">
        <v>2468.85</v>
      </c>
      <c r="G392" s="3">
        <v>32121767</v>
      </c>
      <c r="H392" s="3">
        <f t="shared" si="18"/>
        <v>80421661949.550003</v>
      </c>
      <c r="J392" s="3">
        <v>149645000</v>
      </c>
      <c r="K392" s="3">
        <f t="shared" si="19"/>
        <v>369451058250</v>
      </c>
      <c r="M392" s="4">
        <f t="shared" si="20"/>
        <v>0.78232120289359053</v>
      </c>
    </row>
    <row r="393" spans="1:13" x14ac:dyDescent="0.45">
      <c r="A393" s="2">
        <v>45366</v>
      </c>
      <c r="B393" s="3">
        <v>2499.0500000000002</v>
      </c>
      <c r="D393" s="2">
        <v>45366</v>
      </c>
      <c r="E393" s="3">
        <v>2427.9</v>
      </c>
      <c r="G393" s="3">
        <v>32121767</v>
      </c>
      <c r="H393" s="3">
        <f t="shared" si="18"/>
        <v>80273901821.350006</v>
      </c>
      <c r="J393" s="3">
        <v>149645000</v>
      </c>
      <c r="K393" s="3">
        <f t="shared" si="19"/>
        <v>363323095500</v>
      </c>
      <c r="M393" s="4">
        <f t="shared" si="20"/>
        <v>0.77905642989505464</v>
      </c>
    </row>
    <row r="394" spans="1:13" x14ac:dyDescent="0.45">
      <c r="A394" s="2">
        <v>45365</v>
      </c>
      <c r="B394" s="3">
        <v>2498.0500000000002</v>
      </c>
      <c r="D394" s="2">
        <v>45365</v>
      </c>
      <c r="E394" s="3">
        <v>2428.1999999999998</v>
      </c>
      <c r="G394" s="3">
        <v>32121767</v>
      </c>
      <c r="H394" s="3">
        <f t="shared" si="18"/>
        <v>80241780054.350006</v>
      </c>
      <c r="J394" s="3">
        <v>149645000</v>
      </c>
      <c r="K394" s="3">
        <f t="shared" si="19"/>
        <v>363367989000</v>
      </c>
      <c r="M394" s="4">
        <f t="shared" si="20"/>
        <v>0.77917212720036821</v>
      </c>
    </row>
    <row r="395" spans="1:13" x14ac:dyDescent="0.45">
      <c r="A395" s="2">
        <v>45364</v>
      </c>
      <c r="B395" s="3">
        <v>2498.6999999999998</v>
      </c>
      <c r="D395" s="2">
        <v>45364</v>
      </c>
      <c r="E395" s="3">
        <v>2384.85</v>
      </c>
      <c r="G395" s="3">
        <v>32121767</v>
      </c>
      <c r="H395" s="3">
        <f t="shared" si="18"/>
        <v>80262659202.899994</v>
      </c>
      <c r="J395" s="3">
        <v>149645000</v>
      </c>
      <c r="K395" s="3">
        <f t="shared" si="19"/>
        <v>356880878250</v>
      </c>
      <c r="M395" s="4">
        <f t="shared" si="20"/>
        <v>0.77509958057580519</v>
      </c>
    </row>
    <row r="396" spans="1:13" x14ac:dyDescent="0.45">
      <c r="A396" s="2">
        <v>45363</v>
      </c>
      <c r="B396" s="3">
        <v>2601.5500000000002</v>
      </c>
      <c r="D396" s="2">
        <v>45363</v>
      </c>
      <c r="E396" s="3">
        <v>2422.6</v>
      </c>
      <c r="G396" s="3">
        <v>32121767</v>
      </c>
      <c r="H396" s="3">
        <f t="shared" si="18"/>
        <v>83566382938.850006</v>
      </c>
      <c r="J396" s="3">
        <v>149645000</v>
      </c>
      <c r="K396" s="3">
        <f t="shared" si="19"/>
        <v>362529977000</v>
      </c>
      <c r="M396" s="4">
        <f t="shared" si="20"/>
        <v>0.76949110903772233</v>
      </c>
    </row>
    <row r="397" spans="1:13" x14ac:dyDescent="0.45">
      <c r="A397" s="2">
        <v>45362</v>
      </c>
      <c r="B397" s="3">
        <v>2670.05</v>
      </c>
      <c r="D397" s="2">
        <v>45362</v>
      </c>
      <c r="E397" s="3">
        <v>2456.3000000000002</v>
      </c>
      <c r="G397" s="3">
        <v>32121767</v>
      </c>
      <c r="H397" s="3">
        <f t="shared" si="18"/>
        <v>85766723978.350006</v>
      </c>
      <c r="J397" s="3">
        <v>149645000</v>
      </c>
      <c r="K397" s="3">
        <f t="shared" si="19"/>
        <v>367573013500</v>
      </c>
      <c r="M397" s="4">
        <f t="shared" si="20"/>
        <v>0.76666751685145129</v>
      </c>
    </row>
    <row r="398" spans="1:13" x14ac:dyDescent="0.45">
      <c r="A398" s="2">
        <v>45358</v>
      </c>
      <c r="B398" s="3">
        <v>2679.6</v>
      </c>
      <c r="D398" s="2">
        <v>45358</v>
      </c>
      <c r="E398" s="3">
        <v>2447.1999999999998</v>
      </c>
      <c r="G398" s="3">
        <v>32121767</v>
      </c>
      <c r="H398" s="3">
        <f t="shared" si="18"/>
        <v>86073486853.199997</v>
      </c>
      <c r="J398" s="3">
        <v>149645000</v>
      </c>
      <c r="K398" s="3">
        <f t="shared" si="19"/>
        <v>366211244000</v>
      </c>
      <c r="M398" s="4">
        <f t="shared" si="20"/>
        <v>0.76496219528092912</v>
      </c>
    </row>
    <row r="399" spans="1:13" x14ac:dyDescent="0.45">
      <c r="A399" s="2">
        <v>45357</v>
      </c>
      <c r="B399" s="3">
        <v>2686.2</v>
      </c>
      <c r="D399" s="2">
        <v>45357</v>
      </c>
      <c r="E399" s="3">
        <v>2410.25</v>
      </c>
      <c r="G399" s="3">
        <v>32121767</v>
      </c>
      <c r="H399" s="3">
        <f t="shared" si="18"/>
        <v>86285490515.399994</v>
      </c>
      <c r="J399" s="3">
        <v>149645000</v>
      </c>
      <c r="K399" s="3">
        <f t="shared" si="19"/>
        <v>360681861250</v>
      </c>
      <c r="M399" s="4">
        <f t="shared" si="20"/>
        <v>0.76077119537876403</v>
      </c>
    </row>
    <row r="400" spans="1:13" x14ac:dyDescent="0.45">
      <c r="A400" s="2">
        <v>45356</v>
      </c>
      <c r="B400" s="3">
        <v>2656.4</v>
      </c>
      <c r="D400" s="2">
        <v>45356</v>
      </c>
      <c r="E400" s="3">
        <v>2390.35</v>
      </c>
      <c r="G400" s="3">
        <v>32121767</v>
      </c>
      <c r="H400" s="3">
        <f t="shared" si="18"/>
        <v>85328261858.800003</v>
      </c>
      <c r="J400" s="3">
        <v>149645000</v>
      </c>
      <c r="K400" s="3">
        <f t="shared" si="19"/>
        <v>357703925750</v>
      </c>
      <c r="M400" s="4">
        <f t="shared" si="20"/>
        <v>0.76145561813476959</v>
      </c>
    </row>
    <row r="401" spans="1:13" x14ac:dyDescent="0.45">
      <c r="A401" s="2">
        <v>45355</v>
      </c>
      <c r="B401" s="3">
        <v>2608.75</v>
      </c>
      <c r="D401" s="2">
        <v>45355</v>
      </c>
      <c r="E401" s="3">
        <v>2374.15</v>
      </c>
      <c r="G401" s="3">
        <v>32121767</v>
      </c>
      <c r="H401" s="3">
        <f t="shared" si="18"/>
        <v>83797659661.25</v>
      </c>
      <c r="J401" s="3">
        <v>149645000</v>
      </c>
      <c r="K401" s="3">
        <f t="shared" si="19"/>
        <v>355279676750</v>
      </c>
      <c r="M401" s="4">
        <f t="shared" si="20"/>
        <v>0.76413607322600674</v>
      </c>
    </row>
    <row r="402" spans="1:13" x14ac:dyDescent="0.45">
      <c r="A402" s="2">
        <v>45353</v>
      </c>
      <c r="B402" s="3">
        <v>2642.2</v>
      </c>
      <c r="D402" s="2">
        <v>45353</v>
      </c>
      <c r="E402" s="3">
        <v>2393.6</v>
      </c>
      <c r="G402" s="3">
        <v>32121767</v>
      </c>
      <c r="H402" s="3">
        <f t="shared" si="18"/>
        <v>84872132767.399994</v>
      </c>
      <c r="J402" s="3">
        <v>149645000</v>
      </c>
      <c r="K402" s="3">
        <f t="shared" si="19"/>
        <v>358190272000</v>
      </c>
      <c r="M402" s="4">
        <f t="shared" si="20"/>
        <v>0.76305293749742042</v>
      </c>
    </row>
    <row r="403" spans="1:13" x14ac:dyDescent="0.45">
      <c r="A403" s="2">
        <v>45352</v>
      </c>
      <c r="B403" s="3">
        <v>2633.55</v>
      </c>
      <c r="D403" s="2">
        <v>45352</v>
      </c>
      <c r="E403" s="3">
        <v>2396.25</v>
      </c>
      <c r="G403" s="3">
        <v>32121767</v>
      </c>
      <c r="H403" s="3">
        <f t="shared" si="18"/>
        <v>84594279482.850006</v>
      </c>
      <c r="J403" s="3">
        <v>149645000</v>
      </c>
      <c r="K403" s="3">
        <f t="shared" si="19"/>
        <v>358586831250</v>
      </c>
      <c r="M403" s="4">
        <f t="shared" si="20"/>
        <v>0.76408983233443828</v>
      </c>
    </row>
    <row r="404" spans="1:13" x14ac:dyDescent="0.45">
      <c r="A404" s="2">
        <v>45351</v>
      </c>
      <c r="B404" s="3">
        <v>2571.1</v>
      </c>
      <c r="D404" s="2">
        <v>45351</v>
      </c>
      <c r="E404" s="3">
        <v>2386.3000000000002</v>
      </c>
      <c r="G404" s="3">
        <v>32121767</v>
      </c>
      <c r="H404" s="3">
        <f t="shared" si="18"/>
        <v>82588275133.699997</v>
      </c>
      <c r="J404" s="3">
        <v>149645000</v>
      </c>
      <c r="K404" s="3">
        <f t="shared" si="19"/>
        <v>357097863500</v>
      </c>
      <c r="M404" s="4">
        <f t="shared" si="20"/>
        <v>0.76872369292766718</v>
      </c>
    </row>
    <row r="405" spans="1:13" x14ac:dyDescent="0.45">
      <c r="A405" s="2">
        <v>45350</v>
      </c>
      <c r="B405" s="3">
        <v>2560.4</v>
      </c>
      <c r="D405" s="2">
        <v>45350</v>
      </c>
      <c r="E405" s="3">
        <v>2367.65</v>
      </c>
      <c r="G405" s="3">
        <v>32121767</v>
      </c>
      <c r="H405" s="3">
        <f t="shared" si="18"/>
        <v>82244572226.800003</v>
      </c>
      <c r="J405" s="3">
        <v>149645000</v>
      </c>
      <c r="K405" s="3">
        <f t="shared" si="19"/>
        <v>354306984250</v>
      </c>
      <c r="M405" s="4">
        <f t="shared" si="20"/>
        <v>0.76787199834376396</v>
      </c>
    </row>
    <row r="406" spans="1:13" x14ac:dyDescent="0.45">
      <c r="A406" s="2">
        <v>45349</v>
      </c>
      <c r="B406" s="3">
        <v>2542.4499999999998</v>
      </c>
      <c r="D406" s="2">
        <v>45349</v>
      </c>
      <c r="E406" s="3">
        <v>2393.15</v>
      </c>
      <c r="G406" s="3">
        <v>32121767</v>
      </c>
      <c r="H406" s="3">
        <f t="shared" si="18"/>
        <v>81667986509.149994</v>
      </c>
      <c r="J406" s="3">
        <v>149645000</v>
      </c>
      <c r="K406" s="3">
        <f t="shared" si="19"/>
        <v>358122931750</v>
      </c>
      <c r="M406" s="4">
        <f t="shared" si="20"/>
        <v>0.77195543968638924</v>
      </c>
    </row>
    <row r="407" spans="1:13" x14ac:dyDescent="0.45">
      <c r="A407" s="2">
        <v>45348</v>
      </c>
      <c r="B407" s="3">
        <v>2539.65</v>
      </c>
      <c r="D407" s="2">
        <v>45348</v>
      </c>
      <c r="E407" s="3">
        <v>2400</v>
      </c>
      <c r="G407" s="3">
        <v>32121767</v>
      </c>
      <c r="H407" s="3">
        <f t="shared" si="18"/>
        <v>81578045561.550003</v>
      </c>
      <c r="J407" s="3">
        <v>149645000</v>
      </c>
      <c r="K407" s="3">
        <f t="shared" si="19"/>
        <v>359148000000</v>
      </c>
      <c r="M407" s="4">
        <f t="shared" si="20"/>
        <v>0.77285674551563699</v>
      </c>
    </row>
    <row r="408" spans="1:13" x14ac:dyDescent="0.45">
      <c r="A408" s="2">
        <v>45345</v>
      </c>
      <c r="B408" s="3">
        <v>2515.25</v>
      </c>
      <c r="D408" s="2">
        <v>45345</v>
      </c>
      <c r="E408" s="3">
        <v>2383.6</v>
      </c>
      <c r="G408" s="3">
        <v>32121767</v>
      </c>
      <c r="H408" s="3">
        <f t="shared" si="18"/>
        <v>80794274446.75</v>
      </c>
      <c r="J408" s="3">
        <v>149645000</v>
      </c>
      <c r="K408" s="3">
        <f t="shared" si="19"/>
        <v>356693822000</v>
      </c>
      <c r="M408" s="4">
        <f t="shared" si="20"/>
        <v>0.77349124245064727</v>
      </c>
    </row>
    <row r="409" spans="1:13" x14ac:dyDescent="0.45">
      <c r="A409" s="2">
        <v>45344</v>
      </c>
      <c r="B409" s="3">
        <v>2519.1999999999998</v>
      </c>
      <c r="D409" s="2">
        <v>45344</v>
      </c>
      <c r="E409" s="3">
        <v>2409.4499999999998</v>
      </c>
      <c r="G409" s="3">
        <v>32121767</v>
      </c>
      <c r="H409" s="3">
        <f t="shared" si="18"/>
        <v>80921155426.399994</v>
      </c>
      <c r="J409" s="3">
        <v>149645000</v>
      </c>
      <c r="K409" s="3">
        <f t="shared" si="19"/>
        <v>360562145250</v>
      </c>
      <c r="M409" s="4">
        <f t="shared" si="20"/>
        <v>0.77556946425894946</v>
      </c>
    </row>
    <row r="410" spans="1:13" x14ac:dyDescent="0.45">
      <c r="A410" s="2">
        <v>45343</v>
      </c>
      <c r="B410" s="3">
        <v>2521.65</v>
      </c>
      <c r="D410" s="2">
        <v>45343</v>
      </c>
      <c r="E410" s="3">
        <v>2398.35</v>
      </c>
      <c r="G410" s="3">
        <v>32121767</v>
      </c>
      <c r="H410" s="3">
        <f t="shared" si="18"/>
        <v>80999853755.550003</v>
      </c>
      <c r="J410" s="3">
        <v>149645000</v>
      </c>
      <c r="K410" s="3">
        <f t="shared" si="19"/>
        <v>358901085750</v>
      </c>
      <c r="M410" s="4">
        <f t="shared" si="20"/>
        <v>0.77431148310325226</v>
      </c>
    </row>
    <row r="411" spans="1:13" x14ac:dyDescent="0.45">
      <c r="A411" s="2">
        <v>45342</v>
      </c>
      <c r="B411" s="3">
        <v>2541.85</v>
      </c>
      <c r="D411" s="2">
        <v>45342</v>
      </c>
      <c r="E411" s="3">
        <v>2383.25</v>
      </c>
      <c r="G411" s="3">
        <v>32121767</v>
      </c>
      <c r="H411" s="3">
        <f t="shared" si="18"/>
        <v>81648713448.949997</v>
      </c>
      <c r="J411" s="3">
        <v>149645000</v>
      </c>
      <c r="K411" s="3">
        <f t="shared" si="19"/>
        <v>356641446250</v>
      </c>
      <c r="M411" s="4">
        <f t="shared" si="20"/>
        <v>0.7710621849830781</v>
      </c>
    </row>
    <row r="412" spans="1:13" x14ac:dyDescent="0.45">
      <c r="A412" s="2">
        <v>45341</v>
      </c>
      <c r="B412" s="3">
        <v>2547.65</v>
      </c>
      <c r="D412" s="2">
        <v>45341</v>
      </c>
      <c r="E412" s="3">
        <v>2346.0500000000002</v>
      </c>
      <c r="G412" s="3">
        <v>32121767</v>
      </c>
      <c r="H412" s="3">
        <f t="shared" si="18"/>
        <v>81835019697.550003</v>
      </c>
      <c r="J412" s="3">
        <v>149645000</v>
      </c>
      <c r="K412" s="3">
        <f t="shared" si="19"/>
        <v>351074652250</v>
      </c>
      <c r="M412" s="4">
        <f t="shared" si="20"/>
        <v>0.76690137219227283</v>
      </c>
    </row>
    <row r="413" spans="1:13" x14ac:dyDescent="0.45">
      <c r="A413" s="2">
        <v>45338</v>
      </c>
      <c r="B413" s="3">
        <v>2522.6999999999998</v>
      </c>
      <c r="D413" s="2">
        <v>45338</v>
      </c>
      <c r="E413" s="3">
        <v>2379.3000000000002</v>
      </c>
      <c r="G413" s="3">
        <v>32121767</v>
      </c>
      <c r="H413" s="3">
        <f t="shared" si="18"/>
        <v>81033581610.899994</v>
      </c>
      <c r="J413" s="3">
        <v>149645000</v>
      </c>
      <c r="K413" s="3">
        <f t="shared" si="19"/>
        <v>356050348500</v>
      </c>
      <c r="M413" s="4">
        <f t="shared" si="20"/>
        <v>0.77240976746045797</v>
      </c>
    </row>
    <row r="414" spans="1:13" x14ac:dyDescent="0.45">
      <c r="A414" s="2">
        <v>45337</v>
      </c>
      <c r="B414" s="3">
        <v>2541.1</v>
      </c>
      <c r="D414" s="2">
        <v>45337</v>
      </c>
      <c r="E414" s="3">
        <v>2350.85</v>
      </c>
      <c r="G414" s="3">
        <v>32121767</v>
      </c>
      <c r="H414" s="3">
        <f t="shared" si="18"/>
        <v>81624622123.699997</v>
      </c>
      <c r="J414" s="3">
        <v>149645000</v>
      </c>
      <c r="K414" s="3">
        <f t="shared" si="19"/>
        <v>351792948250</v>
      </c>
      <c r="M414" s="4">
        <f t="shared" si="20"/>
        <v>0.76797538856380421</v>
      </c>
    </row>
    <row r="415" spans="1:13" x14ac:dyDescent="0.45">
      <c r="A415" s="2">
        <v>45336</v>
      </c>
      <c r="B415" s="3">
        <v>2527.3000000000002</v>
      </c>
      <c r="D415" s="2">
        <v>45336</v>
      </c>
      <c r="E415" s="3">
        <v>2357.8000000000002</v>
      </c>
      <c r="G415" s="3">
        <v>32121767</v>
      </c>
      <c r="H415" s="3">
        <f t="shared" si="18"/>
        <v>81181341739.100006</v>
      </c>
      <c r="J415" s="3">
        <v>149645000</v>
      </c>
      <c r="K415" s="3">
        <f t="shared" si="19"/>
        <v>352832981000</v>
      </c>
      <c r="M415" s="4">
        <f t="shared" si="20"/>
        <v>0.76991566517105159</v>
      </c>
    </row>
    <row r="416" spans="1:13" x14ac:dyDescent="0.45">
      <c r="A416" s="2">
        <v>45335</v>
      </c>
      <c r="B416" s="3">
        <v>2558.85</v>
      </c>
      <c r="D416" s="2">
        <v>45335</v>
      </c>
      <c r="E416" s="3">
        <v>2322.85</v>
      </c>
      <c r="G416" s="3">
        <v>32121767</v>
      </c>
      <c r="H416" s="3">
        <f t="shared" si="18"/>
        <v>82194783487.949997</v>
      </c>
      <c r="J416" s="3">
        <v>149645000</v>
      </c>
      <c r="K416" s="3">
        <f t="shared" si="19"/>
        <v>347602888250</v>
      </c>
      <c r="M416" s="4">
        <f t="shared" si="20"/>
        <v>0.76353826085347554</v>
      </c>
    </row>
    <row r="417" spans="1:13" x14ac:dyDescent="0.45">
      <c r="A417" s="2">
        <v>45334</v>
      </c>
      <c r="B417" s="3">
        <v>2546.1999999999998</v>
      </c>
      <c r="D417" s="2">
        <v>45334</v>
      </c>
      <c r="E417" s="3">
        <v>2284.3000000000002</v>
      </c>
      <c r="G417" s="3">
        <v>32121767</v>
      </c>
      <c r="H417" s="3">
        <f t="shared" si="18"/>
        <v>81788443135.399994</v>
      </c>
      <c r="J417" s="3">
        <v>149645000</v>
      </c>
      <c r="K417" s="3">
        <f t="shared" si="19"/>
        <v>341834073500</v>
      </c>
      <c r="M417" s="4">
        <f t="shared" si="20"/>
        <v>0.76073642308978306</v>
      </c>
    </row>
    <row r="418" spans="1:13" x14ac:dyDescent="0.45">
      <c r="A418" s="2">
        <v>45331</v>
      </c>
      <c r="B418" s="3">
        <v>2595.6999999999998</v>
      </c>
      <c r="D418" s="2">
        <v>45331</v>
      </c>
      <c r="E418" s="3">
        <v>2298.9499999999998</v>
      </c>
      <c r="G418" s="3">
        <v>32121767</v>
      </c>
      <c r="H418" s="3">
        <f t="shared" si="18"/>
        <v>83378470601.899994</v>
      </c>
      <c r="J418" s="3">
        <v>149645000</v>
      </c>
      <c r="K418" s="3">
        <f t="shared" si="19"/>
        <v>344026372750</v>
      </c>
      <c r="M418" s="4">
        <f t="shared" si="20"/>
        <v>0.75763930557006987</v>
      </c>
    </row>
    <row r="419" spans="1:13" x14ac:dyDescent="0.45">
      <c r="A419" s="2">
        <v>45330</v>
      </c>
      <c r="B419" s="3">
        <v>2605.6999999999998</v>
      </c>
      <c r="D419" s="2">
        <v>45330</v>
      </c>
      <c r="E419" s="3">
        <v>2294.6</v>
      </c>
      <c r="G419" s="3">
        <v>32121767</v>
      </c>
      <c r="H419" s="3">
        <f t="shared" si="18"/>
        <v>83699688271.899994</v>
      </c>
      <c r="J419" s="3">
        <v>149645000</v>
      </c>
      <c r="K419" s="3">
        <f t="shared" si="19"/>
        <v>343375417000</v>
      </c>
      <c r="M419" s="4">
        <f t="shared" si="20"/>
        <v>0.75624437822845081</v>
      </c>
    </row>
    <row r="420" spans="1:13" x14ac:dyDescent="0.45">
      <c r="A420" s="2">
        <v>45329</v>
      </c>
      <c r="B420" s="3">
        <v>2649.25</v>
      </c>
      <c r="D420" s="2">
        <v>45329</v>
      </c>
      <c r="E420" s="3">
        <v>2294.65</v>
      </c>
      <c r="G420" s="3">
        <v>32121767</v>
      </c>
      <c r="H420" s="3">
        <f t="shared" si="18"/>
        <v>85098591224.75</v>
      </c>
      <c r="J420" s="3">
        <v>149645000</v>
      </c>
      <c r="K420" s="3">
        <f t="shared" si="19"/>
        <v>343382899250</v>
      </c>
      <c r="M420" s="4">
        <f t="shared" si="20"/>
        <v>0.75217580313225219</v>
      </c>
    </row>
    <row r="421" spans="1:13" x14ac:dyDescent="0.45">
      <c r="A421" s="2">
        <v>45328</v>
      </c>
      <c r="B421" s="3">
        <v>2616.9499999999998</v>
      </c>
      <c r="D421" s="2">
        <v>45328</v>
      </c>
      <c r="E421" s="3">
        <v>2285.0500000000002</v>
      </c>
      <c r="G421" s="3">
        <v>32121767</v>
      </c>
      <c r="H421" s="3">
        <f t="shared" si="18"/>
        <v>84061058150.649994</v>
      </c>
      <c r="J421" s="3">
        <v>149645000</v>
      </c>
      <c r="K421" s="3">
        <f t="shared" si="19"/>
        <v>341946307250</v>
      </c>
      <c r="M421" s="4">
        <f t="shared" si="20"/>
        <v>0.75416883771406784</v>
      </c>
    </row>
    <row r="422" spans="1:13" x14ac:dyDescent="0.45">
      <c r="A422" s="2">
        <v>45327</v>
      </c>
      <c r="B422" s="3">
        <v>2636.95</v>
      </c>
      <c r="D422" s="2">
        <v>45327</v>
      </c>
      <c r="E422" s="3">
        <v>2250.4</v>
      </c>
      <c r="G422" s="3">
        <v>32121767</v>
      </c>
      <c r="H422" s="3">
        <f t="shared" si="18"/>
        <v>84703493490.649994</v>
      </c>
      <c r="J422" s="3">
        <v>149645000</v>
      </c>
      <c r="K422" s="3">
        <f t="shared" si="19"/>
        <v>336761108000</v>
      </c>
      <c r="M422" s="4">
        <f t="shared" si="20"/>
        <v>0.74847602208670128</v>
      </c>
    </row>
    <row r="423" spans="1:13" x14ac:dyDescent="0.45">
      <c r="A423" s="2">
        <v>45324</v>
      </c>
      <c r="B423" s="3">
        <v>2602.15</v>
      </c>
      <c r="D423" s="2">
        <v>45324</v>
      </c>
      <c r="E423" s="3">
        <v>2318.8000000000002</v>
      </c>
      <c r="G423" s="3">
        <v>32121767</v>
      </c>
      <c r="H423" s="3">
        <f t="shared" si="18"/>
        <v>83585655999.050003</v>
      </c>
      <c r="J423" s="3">
        <v>149645000</v>
      </c>
      <c r="K423" s="3">
        <f t="shared" si="19"/>
        <v>346996826000</v>
      </c>
      <c r="M423" s="4">
        <f t="shared" si="20"/>
        <v>0.75911694362573212</v>
      </c>
    </row>
    <row r="424" spans="1:13" x14ac:dyDescent="0.45">
      <c r="A424" s="2">
        <v>45323</v>
      </c>
      <c r="B424" s="3">
        <v>2669.7</v>
      </c>
      <c r="D424" s="2">
        <v>45323</v>
      </c>
      <c r="E424" s="3">
        <v>2309.1</v>
      </c>
      <c r="G424" s="3">
        <v>32121767</v>
      </c>
      <c r="H424" s="3">
        <f t="shared" si="18"/>
        <v>85755481359.899994</v>
      </c>
      <c r="J424" s="3">
        <v>149645000</v>
      </c>
      <c r="K424" s="3">
        <f t="shared" si="19"/>
        <v>345545269500</v>
      </c>
      <c r="M424" s="4">
        <f t="shared" si="20"/>
        <v>0.75182562480456705</v>
      </c>
    </row>
    <row r="425" spans="1:13" x14ac:dyDescent="0.45">
      <c r="A425" s="2">
        <v>45322</v>
      </c>
      <c r="B425" s="3">
        <v>2685.3</v>
      </c>
      <c r="D425" s="2">
        <v>45322</v>
      </c>
      <c r="E425" s="3">
        <v>2323.9499999999998</v>
      </c>
      <c r="G425" s="3">
        <v>32121767</v>
      </c>
      <c r="H425" s="3">
        <f t="shared" si="18"/>
        <v>86256580925.100006</v>
      </c>
      <c r="J425" s="3">
        <v>149645000</v>
      </c>
      <c r="K425" s="3">
        <f t="shared" si="19"/>
        <v>347767497750</v>
      </c>
      <c r="M425" s="4">
        <f t="shared" si="20"/>
        <v>0.7519705507755432</v>
      </c>
    </row>
    <row r="426" spans="1:13" x14ac:dyDescent="0.45">
      <c r="A426" s="2">
        <v>45321</v>
      </c>
      <c r="B426" s="3">
        <v>2628.95</v>
      </c>
      <c r="D426" s="2">
        <v>45321</v>
      </c>
      <c r="E426" s="3">
        <v>2223.0500000000002</v>
      </c>
      <c r="G426" s="3">
        <v>32121767</v>
      </c>
      <c r="H426" s="3">
        <f t="shared" si="18"/>
        <v>84446519354.649994</v>
      </c>
      <c r="J426" s="3">
        <v>149645000</v>
      </c>
      <c r="K426" s="3">
        <f t="shared" si="19"/>
        <v>332668317250</v>
      </c>
      <c r="M426" s="4">
        <f t="shared" si="20"/>
        <v>0.74615400693180978</v>
      </c>
    </row>
    <row r="427" spans="1:13" x14ac:dyDescent="0.45">
      <c r="A427" s="2">
        <v>45320</v>
      </c>
      <c r="B427" s="3">
        <v>2623.2</v>
      </c>
      <c r="D427" s="2">
        <v>45320</v>
      </c>
      <c r="E427" s="3">
        <v>2246.85</v>
      </c>
      <c r="G427" s="3">
        <v>32121767</v>
      </c>
      <c r="H427" s="3">
        <f t="shared" si="18"/>
        <v>84261819194.399994</v>
      </c>
      <c r="J427" s="3">
        <v>149645000</v>
      </c>
      <c r="K427" s="3">
        <f t="shared" si="19"/>
        <v>336229868250</v>
      </c>
      <c r="M427" s="4">
        <f t="shared" si="20"/>
        <v>0.74939222492944002</v>
      </c>
    </row>
    <row r="428" spans="1:13" x14ac:dyDescent="0.45">
      <c r="A428" s="2">
        <v>45316</v>
      </c>
      <c r="B428" s="3">
        <v>2608.3000000000002</v>
      </c>
      <c r="D428" s="2">
        <v>45316</v>
      </c>
      <c r="E428" s="3">
        <v>2267.9</v>
      </c>
      <c r="G428" s="3">
        <v>32121767</v>
      </c>
      <c r="H428" s="3">
        <f t="shared" si="18"/>
        <v>83783204866.100006</v>
      </c>
      <c r="J428" s="3">
        <v>149645000</v>
      </c>
      <c r="K428" s="3">
        <f t="shared" si="19"/>
        <v>339379895500</v>
      </c>
      <c r="M428" s="4">
        <f t="shared" si="20"/>
        <v>0.75312855600163264</v>
      </c>
    </row>
    <row r="429" spans="1:13" x14ac:dyDescent="0.45">
      <c r="A429" s="2">
        <v>45315</v>
      </c>
      <c r="B429" s="3">
        <v>2612.1999999999998</v>
      </c>
      <c r="D429" s="2">
        <v>45315</v>
      </c>
      <c r="E429" s="3">
        <v>2285.6999999999998</v>
      </c>
      <c r="G429" s="3">
        <v>32121767</v>
      </c>
      <c r="H429" s="3">
        <f t="shared" si="18"/>
        <v>83908479757.399994</v>
      </c>
      <c r="J429" s="3">
        <v>149645000</v>
      </c>
      <c r="K429" s="3">
        <f t="shared" si="19"/>
        <v>342043576500</v>
      </c>
      <c r="M429" s="4">
        <f t="shared" si="20"/>
        <v>0.7546848252026741</v>
      </c>
    </row>
    <row r="430" spans="1:13" x14ac:dyDescent="0.45">
      <c r="A430" s="2">
        <v>45314</v>
      </c>
      <c r="B430" s="3">
        <v>2639.35</v>
      </c>
      <c r="D430" s="2">
        <v>45314</v>
      </c>
      <c r="E430" s="3">
        <v>2254.65</v>
      </c>
      <c r="G430" s="3">
        <v>32121767</v>
      </c>
      <c r="H430" s="3">
        <f t="shared" si="18"/>
        <v>84780585731.449997</v>
      </c>
      <c r="J430" s="3">
        <v>149645000</v>
      </c>
      <c r="K430" s="3">
        <f t="shared" si="19"/>
        <v>337397099250</v>
      </c>
      <c r="M430" s="4">
        <f t="shared" si="20"/>
        <v>0.74872165196467677</v>
      </c>
    </row>
    <row r="431" spans="1:13" x14ac:dyDescent="0.45">
      <c r="A431" s="2">
        <v>45311</v>
      </c>
      <c r="B431" s="3">
        <v>2684.35</v>
      </c>
      <c r="D431" s="2">
        <v>45311</v>
      </c>
      <c r="E431" s="3">
        <v>2289.0500000000002</v>
      </c>
      <c r="G431" s="3">
        <v>32121767</v>
      </c>
      <c r="H431" s="3">
        <f t="shared" si="18"/>
        <v>86226065246.449997</v>
      </c>
      <c r="J431" s="3">
        <v>149645000</v>
      </c>
      <c r="K431" s="3">
        <f t="shared" si="19"/>
        <v>342544887250</v>
      </c>
      <c r="M431" s="4">
        <f t="shared" si="20"/>
        <v>0.74827805506400824</v>
      </c>
    </row>
    <row r="432" spans="1:13" x14ac:dyDescent="0.45">
      <c r="A432" s="2">
        <v>45310</v>
      </c>
      <c r="B432" s="3">
        <v>2694.4</v>
      </c>
      <c r="D432" s="2">
        <v>45310</v>
      </c>
      <c r="E432" s="3">
        <v>2308.1</v>
      </c>
      <c r="G432" s="3">
        <v>32121767</v>
      </c>
      <c r="H432" s="3">
        <f t="shared" si="18"/>
        <v>86548889004.800003</v>
      </c>
      <c r="J432" s="3">
        <v>149645000</v>
      </c>
      <c r="K432" s="3">
        <f t="shared" si="19"/>
        <v>345395624500</v>
      </c>
      <c r="M432" s="4">
        <f t="shared" si="20"/>
        <v>0.74942100343601781</v>
      </c>
    </row>
    <row r="433" spans="1:13" x14ac:dyDescent="0.45">
      <c r="A433" s="2">
        <v>45309</v>
      </c>
      <c r="B433" s="3">
        <v>2684.4</v>
      </c>
      <c r="D433" s="2">
        <v>45309</v>
      </c>
      <c r="E433" s="3">
        <v>2292.6</v>
      </c>
      <c r="G433" s="3">
        <v>32121767</v>
      </c>
      <c r="H433" s="3">
        <f t="shared" si="18"/>
        <v>86227671334.800003</v>
      </c>
      <c r="J433" s="3">
        <v>149645000</v>
      </c>
      <c r="K433" s="3">
        <f t="shared" si="19"/>
        <v>343076127000</v>
      </c>
      <c r="M433" s="4">
        <f t="shared" si="20"/>
        <v>0.74866315505887704</v>
      </c>
    </row>
    <row r="434" spans="1:13" x14ac:dyDescent="0.45">
      <c r="A434" s="2">
        <v>45308</v>
      </c>
      <c r="B434" s="3">
        <v>2697.9</v>
      </c>
      <c r="D434" s="2">
        <v>45308</v>
      </c>
      <c r="E434" s="3">
        <v>2309.1</v>
      </c>
      <c r="G434" s="3">
        <v>32121767</v>
      </c>
      <c r="H434" s="3">
        <f t="shared" si="18"/>
        <v>86661315189.300003</v>
      </c>
      <c r="J434" s="3">
        <v>149645000</v>
      </c>
      <c r="K434" s="3">
        <f t="shared" si="19"/>
        <v>345545269500</v>
      </c>
      <c r="M434" s="4">
        <f t="shared" si="20"/>
        <v>0.74920416270001922</v>
      </c>
    </row>
    <row r="435" spans="1:13" x14ac:dyDescent="0.45">
      <c r="A435" s="2">
        <v>45307</v>
      </c>
      <c r="B435" s="3">
        <v>2711.55</v>
      </c>
      <c r="D435" s="2">
        <v>45307</v>
      </c>
      <c r="E435" s="3">
        <v>2358.1999999999998</v>
      </c>
      <c r="G435" s="3">
        <v>32121767</v>
      </c>
      <c r="H435" s="3">
        <f t="shared" si="18"/>
        <v>87099777308.850006</v>
      </c>
      <c r="J435" s="3">
        <v>149645000</v>
      </c>
      <c r="K435" s="3">
        <f t="shared" si="19"/>
        <v>352892839000</v>
      </c>
      <c r="M435" s="4">
        <f t="shared" si="20"/>
        <v>0.75318349458247291</v>
      </c>
    </row>
    <row r="436" spans="1:13" x14ac:dyDescent="0.45">
      <c r="A436" s="2">
        <v>45306</v>
      </c>
      <c r="B436" s="3">
        <v>2715.4</v>
      </c>
      <c r="D436" s="2">
        <v>45306</v>
      </c>
      <c r="E436" s="3">
        <v>2346.85</v>
      </c>
      <c r="G436" s="3">
        <v>32121767</v>
      </c>
      <c r="H436" s="3">
        <f t="shared" si="18"/>
        <v>87223446111.800003</v>
      </c>
      <c r="J436" s="3">
        <v>149645000</v>
      </c>
      <c r="K436" s="3">
        <f t="shared" si="19"/>
        <v>351194368250</v>
      </c>
      <c r="M436" s="4">
        <f t="shared" si="20"/>
        <v>0.75163768557441835</v>
      </c>
    </row>
    <row r="437" spans="1:13" x14ac:dyDescent="0.45">
      <c r="A437" s="2">
        <v>45303</v>
      </c>
      <c r="B437" s="3">
        <v>2793.9</v>
      </c>
      <c r="D437" s="2">
        <v>45303</v>
      </c>
      <c r="E437" s="3">
        <v>2345.5500000000002</v>
      </c>
      <c r="G437" s="3">
        <v>32121767</v>
      </c>
      <c r="H437" s="3">
        <f t="shared" si="18"/>
        <v>89745004821.300003</v>
      </c>
      <c r="J437" s="3">
        <v>149645000</v>
      </c>
      <c r="K437" s="3">
        <f t="shared" si="19"/>
        <v>350999829750</v>
      </c>
      <c r="M437" s="4">
        <f t="shared" si="20"/>
        <v>0.74431610156272443</v>
      </c>
    </row>
    <row r="438" spans="1:13" x14ac:dyDescent="0.45">
      <c r="A438" s="2">
        <v>45302</v>
      </c>
      <c r="B438" s="3">
        <v>2729.9</v>
      </c>
      <c r="D438" s="2">
        <v>45302</v>
      </c>
      <c r="E438" s="3">
        <v>2326.5</v>
      </c>
      <c r="G438" s="3">
        <v>32121767</v>
      </c>
      <c r="H438" s="3">
        <f t="shared" si="18"/>
        <v>87689211733.300003</v>
      </c>
      <c r="J438" s="3">
        <v>149645000</v>
      </c>
      <c r="K438" s="3">
        <f t="shared" si="19"/>
        <v>348149092500</v>
      </c>
      <c r="M438" s="4">
        <f t="shared" si="20"/>
        <v>0.74812741545980044</v>
      </c>
    </row>
    <row r="439" spans="1:13" x14ac:dyDescent="0.45">
      <c r="A439" s="2">
        <v>45301</v>
      </c>
      <c r="B439" s="3">
        <v>2723.35</v>
      </c>
      <c r="D439" s="2">
        <v>45301</v>
      </c>
      <c r="E439" s="3">
        <v>2294.9</v>
      </c>
      <c r="G439" s="3">
        <v>32121767</v>
      </c>
      <c r="H439" s="3">
        <f t="shared" si="18"/>
        <v>87478814159.449997</v>
      </c>
      <c r="J439" s="3">
        <v>149645000</v>
      </c>
      <c r="K439" s="3">
        <f t="shared" si="19"/>
        <v>343420310500</v>
      </c>
      <c r="M439" s="4">
        <f t="shared" si="20"/>
        <v>0.74527186807301549</v>
      </c>
    </row>
    <row r="440" spans="1:13" x14ac:dyDescent="0.45">
      <c r="A440" s="2">
        <v>45300</v>
      </c>
      <c r="B440" s="3">
        <v>2747.85</v>
      </c>
      <c r="D440" s="2">
        <v>45300</v>
      </c>
      <c r="E440" s="3">
        <v>2311.75</v>
      </c>
      <c r="G440" s="3">
        <v>32121767</v>
      </c>
      <c r="H440" s="3">
        <f t="shared" si="18"/>
        <v>88265797450.949997</v>
      </c>
      <c r="J440" s="3">
        <v>149645000</v>
      </c>
      <c r="K440" s="3">
        <f t="shared" si="19"/>
        <v>345941828750</v>
      </c>
      <c r="M440" s="4">
        <f t="shared" si="20"/>
        <v>0.7448536426777792</v>
      </c>
    </row>
    <row r="441" spans="1:13" x14ac:dyDescent="0.45">
      <c r="A441" s="2">
        <v>45299</v>
      </c>
      <c r="B441" s="3">
        <v>2765.7</v>
      </c>
      <c r="D441" s="2">
        <v>45299</v>
      </c>
      <c r="E441" s="3">
        <v>2396.6</v>
      </c>
      <c r="G441" s="3">
        <v>32121767</v>
      </c>
      <c r="H441" s="3">
        <f t="shared" si="18"/>
        <v>88839170991.899994</v>
      </c>
      <c r="J441" s="3">
        <v>149645000</v>
      </c>
      <c r="K441" s="3">
        <f t="shared" si="19"/>
        <v>358639207000</v>
      </c>
      <c r="M441" s="4">
        <f t="shared" si="20"/>
        <v>0.75228817915632962</v>
      </c>
    </row>
    <row r="442" spans="1:13" x14ac:dyDescent="0.45">
      <c r="A442" s="2">
        <v>45296</v>
      </c>
      <c r="B442" s="3">
        <v>2799.75</v>
      </c>
      <c r="D442" s="2">
        <v>45296</v>
      </c>
      <c r="E442" s="3">
        <v>2481.9</v>
      </c>
      <c r="G442" s="3">
        <v>32121767</v>
      </c>
      <c r="H442" s="3">
        <f t="shared" si="18"/>
        <v>89932917158.25</v>
      </c>
      <c r="J442" s="3">
        <v>149645000</v>
      </c>
      <c r="K442" s="3">
        <f t="shared" si="19"/>
        <v>371403925500</v>
      </c>
      <c r="M442" s="4">
        <f t="shared" si="20"/>
        <v>0.75785684807402498</v>
      </c>
    </row>
    <row r="443" spans="1:13" x14ac:dyDescent="0.45">
      <c r="A443" s="2">
        <v>45295</v>
      </c>
      <c r="B443" s="3">
        <v>2819.25</v>
      </c>
      <c r="D443" s="2">
        <v>45295</v>
      </c>
      <c r="E443" s="3">
        <v>2505.5500000000002</v>
      </c>
      <c r="G443" s="3">
        <v>32121767</v>
      </c>
      <c r="H443" s="3">
        <f t="shared" si="18"/>
        <v>90559291614.75</v>
      </c>
      <c r="J443" s="3">
        <v>149645000</v>
      </c>
      <c r="K443" s="3">
        <f t="shared" si="19"/>
        <v>374943029750</v>
      </c>
      <c r="M443" s="4">
        <f t="shared" si="20"/>
        <v>0.7584718625783442</v>
      </c>
    </row>
    <row r="444" spans="1:13" x14ac:dyDescent="0.45">
      <c r="A444" s="2">
        <v>45294</v>
      </c>
      <c r="B444" s="3">
        <v>2849.05</v>
      </c>
      <c r="D444" s="2">
        <v>45294</v>
      </c>
      <c r="E444" s="3">
        <v>2506.5</v>
      </c>
      <c r="G444" s="3">
        <v>32121767</v>
      </c>
      <c r="H444" s="3">
        <f t="shared" si="18"/>
        <v>91516520271.350006</v>
      </c>
      <c r="J444" s="3">
        <v>149645000</v>
      </c>
      <c r="K444" s="3">
        <f t="shared" si="19"/>
        <v>375085192500</v>
      </c>
      <c r="M444" s="4">
        <f t="shared" si="20"/>
        <v>0.75601137527883078</v>
      </c>
    </row>
    <row r="445" spans="1:13" x14ac:dyDescent="0.45">
      <c r="A445" s="2">
        <v>45293</v>
      </c>
      <c r="B445" s="3">
        <v>2852</v>
      </c>
      <c r="D445" s="2">
        <v>45293</v>
      </c>
      <c r="E445" s="3">
        <v>2487.8000000000002</v>
      </c>
      <c r="G445" s="3">
        <v>32121767</v>
      </c>
      <c r="H445" s="3">
        <f t="shared" si="18"/>
        <v>91611279484</v>
      </c>
      <c r="J445" s="3">
        <v>149645000</v>
      </c>
      <c r="K445" s="3">
        <f t="shared" si="19"/>
        <v>372286831000</v>
      </c>
      <c r="M445" s="4">
        <f t="shared" si="20"/>
        <v>0.7539228577118271</v>
      </c>
    </row>
    <row r="446" spans="1:13" x14ac:dyDescent="0.45">
      <c r="A446" s="2">
        <v>45292</v>
      </c>
      <c r="B446" s="3">
        <v>2849.3</v>
      </c>
      <c r="D446" s="2">
        <v>45292</v>
      </c>
      <c r="E446" s="3">
        <v>2466.85</v>
      </c>
      <c r="G446" s="3">
        <v>32121767</v>
      </c>
      <c r="H446" s="3">
        <f t="shared" si="18"/>
        <v>91524550713.100006</v>
      </c>
      <c r="J446" s="3">
        <v>149645000</v>
      </c>
      <c r="K446" s="3">
        <f t="shared" si="19"/>
        <v>369151768250</v>
      </c>
      <c r="M446" s="4">
        <f t="shared" si="20"/>
        <v>0.75206796070087634</v>
      </c>
    </row>
    <row r="447" spans="1:13" x14ac:dyDescent="0.45">
      <c r="A447" s="2">
        <v>45289</v>
      </c>
      <c r="B447" s="3">
        <v>2808.85</v>
      </c>
      <c r="D447" s="2">
        <v>45289</v>
      </c>
      <c r="E447" s="3">
        <v>2480.0500000000002</v>
      </c>
      <c r="G447" s="3">
        <v>32121767</v>
      </c>
      <c r="H447" s="3">
        <f t="shared" si="18"/>
        <v>90225225237.949997</v>
      </c>
      <c r="J447" s="3">
        <v>149645000</v>
      </c>
      <c r="K447" s="3">
        <f t="shared" si="19"/>
        <v>371127082250</v>
      </c>
      <c r="M447" s="4">
        <f t="shared" si="20"/>
        <v>0.75688859812938103</v>
      </c>
    </row>
    <row r="448" spans="1:13" x14ac:dyDescent="0.45">
      <c r="A448" s="2">
        <v>45288</v>
      </c>
      <c r="B448" s="3">
        <v>2759.4</v>
      </c>
      <c r="D448" s="2">
        <v>45288</v>
      </c>
      <c r="E448" s="3">
        <v>2465.5</v>
      </c>
      <c r="G448" s="3">
        <v>32121767</v>
      </c>
      <c r="H448" s="3">
        <f t="shared" si="18"/>
        <v>88636803859.800003</v>
      </c>
      <c r="J448" s="3">
        <v>149645000</v>
      </c>
      <c r="K448" s="3">
        <f t="shared" si="19"/>
        <v>368949747500</v>
      </c>
      <c r="M448" s="4">
        <f t="shared" si="20"/>
        <v>0.75975914210430506</v>
      </c>
    </row>
    <row r="449" spans="1:13" x14ac:dyDescent="0.45">
      <c r="A449" s="2">
        <v>45287</v>
      </c>
      <c r="B449" s="3">
        <v>2743.05</v>
      </c>
      <c r="D449" s="2">
        <v>45287</v>
      </c>
      <c r="E449" s="3">
        <v>2472.6999999999998</v>
      </c>
      <c r="G449" s="3">
        <v>32121767</v>
      </c>
      <c r="H449" s="3">
        <f t="shared" si="18"/>
        <v>88111612969.350006</v>
      </c>
      <c r="J449" s="3">
        <v>149645000</v>
      </c>
      <c r="K449" s="3">
        <f t="shared" si="19"/>
        <v>370027191500</v>
      </c>
      <c r="M449" s="4">
        <f t="shared" si="20"/>
        <v>0.76187800520235549</v>
      </c>
    </row>
    <row r="450" spans="1:13" x14ac:dyDescent="0.45">
      <c r="A450" s="2">
        <v>45286</v>
      </c>
      <c r="B450" s="3">
        <v>2750.4</v>
      </c>
      <c r="D450" s="2">
        <v>45286</v>
      </c>
      <c r="E450" s="3">
        <v>2490.75</v>
      </c>
      <c r="G450" s="3">
        <v>32121767</v>
      </c>
      <c r="H450" s="3">
        <f t="shared" si="18"/>
        <v>88347707956.800003</v>
      </c>
      <c r="J450" s="3">
        <v>149645000</v>
      </c>
      <c r="K450" s="3">
        <f t="shared" si="19"/>
        <v>372728283750</v>
      </c>
      <c r="M450" s="4">
        <f t="shared" si="20"/>
        <v>0.76297020696165507</v>
      </c>
    </row>
    <row r="451" spans="1:13" x14ac:dyDescent="0.45">
      <c r="A451" s="2">
        <v>45282</v>
      </c>
      <c r="B451" s="3">
        <v>2745.15</v>
      </c>
      <c r="D451" s="2">
        <v>45282</v>
      </c>
      <c r="E451" s="3">
        <v>2453.1</v>
      </c>
      <c r="G451" s="3">
        <v>32121767</v>
      </c>
      <c r="H451" s="3">
        <f t="shared" si="18"/>
        <v>88179068680.050003</v>
      </c>
      <c r="J451" s="3">
        <v>149645000</v>
      </c>
      <c r="K451" s="3">
        <f t="shared" si="19"/>
        <v>367094149500</v>
      </c>
      <c r="M451" s="4">
        <f t="shared" si="20"/>
        <v>0.75979168068967007</v>
      </c>
    </row>
    <row r="452" spans="1:13" x14ac:dyDescent="0.45">
      <c r="A452" s="2">
        <v>45281</v>
      </c>
      <c r="B452" s="3">
        <v>2718.75</v>
      </c>
      <c r="D452" s="2">
        <v>45281</v>
      </c>
      <c r="E452" s="3">
        <v>2396.0500000000002</v>
      </c>
      <c r="G452" s="3">
        <v>32121767</v>
      </c>
      <c r="H452" s="3">
        <f t="shared" ref="H452:H515" si="21">+G452*B452</f>
        <v>87331054031.25</v>
      </c>
      <c r="J452" s="3">
        <v>149645000</v>
      </c>
      <c r="K452" s="3">
        <f t="shared" ref="K452:K515" si="22">+J452*E452</f>
        <v>358556902250</v>
      </c>
      <c r="M452" s="4">
        <f t="shared" ref="M452:M515" si="23">1- (H452/K452)</f>
        <v>0.75643739254987385</v>
      </c>
    </row>
    <row r="453" spans="1:13" x14ac:dyDescent="0.45">
      <c r="A453" s="2">
        <v>45280</v>
      </c>
      <c r="B453" s="3">
        <v>2732.9</v>
      </c>
      <c r="D453" s="2">
        <v>45280</v>
      </c>
      <c r="E453" s="3">
        <v>2369.4</v>
      </c>
      <c r="G453" s="3">
        <v>32121767</v>
      </c>
      <c r="H453" s="3">
        <f t="shared" si="21"/>
        <v>87785577034.300003</v>
      </c>
      <c r="J453" s="3">
        <v>149645000</v>
      </c>
      <c r="K453" s="3">
        <f t="shared" si="22"/>
        <v>354568863000</v>
      </c>
      <c r="M453" s="4">
        <f t="shared" si="23"/>
        <v>0.7524160009665033</v>
      </c>
    </row>
    <row r="454" spans="1:13" x14ac:dyDescent="0.45">
      <c r="A454" s="2">
        <v>45279</v>
      </c>
      <c r="B454" s="3">
        <v>2746.85</v>
      </c>
      <c r="D454" s="2">
        <v>45279</v>
      </c>
      <c r="E454" s="3">
        <v>2430.75</v>
      </c>
      <c r="G454" s="3">
        <v>32121767</v>
      </c>
      <c r="H454" s="3">
        <f t="shared" si="21"/>
        <v>88233675683.949997</v>
      </c>
      <c r="J454" s="3">
        <v>149645000</v>
      </c>
      <c r="K454" s="3">
        <f t="shared" si="22"/>
        <v>363749583750</v>
      </c>
      <c r="M454" s="4">
        <f t="shared" si="23"/>
        <v>0.75743291641924804</v>
      </c>
    </row>
    <row r="455" spans="1:13" x14ac:dyDescent="0.45">
      <c r="A455" s="2">
        <v>45278</v>
      </c>
      <c r="B455" s="3">
        <v>2748.05</v>
      </c>
      <c r="D455" s="2">
        <v>45278</v>
      </c>
      <c r="E455" s="3">
        <v>2435.6999999999998</v>
      </c>
      <c r="G455" s="3">
        <v>32121767</v>
      </c>
      <c r="H455" s="3">
        <f t="shared" si="21"/>
        <v>88272221804.350006</v>
      </c>
      <c r="J455" s="3">
        <v>149645000</v>
      </c>
      <c r="K455" s="3">
        <f t="shared" si="22"/>
        <v>364490326500</v>
      </c>
      <c r="M455" s="4">
        <f t="shared" si="23"/>
        <v>0.75782012474246008</v>
      </c>
    </row>
    <row r="456" spans="1:13" x14ac:dyDescent="0.45">
      <c r="A456" s="2">
        <v>45275</v>
      </c>
      <c r="B456" s="3">
        <v>2803.1</v>
      </c>
      <c r="D456" s="2">
        <v>45275</v>
      </c>
      <c r="E456" s="3">
        <v>2438.9499999999998</v>
      </c>
      <c r="G456" s="3">
        <v>32121767</v>
      </c>
      <c r="H456" s="3">
        <f t="shared" si="21"/>
        <v>90040525077.699997</v>
      </c>
      <c r="J456" s="3">
        <v>149645000</v>
      </c>
      <c r="K456" s="3">
        <f t="shared" si="22"/>
        <v>364976672750</v>
      </c>
      <c r="M456" s="4">
        <f t="shared" si="23"/>
        <v>0.7532978631229521</v>
      </c>
    </row>
    <row r="457" spans="1:13" x14ac:dyDescent="0.45">
      <c r="A457" s="2">
        <v>45274</v>
      </c>
      <c r="B457" s="3">
        <v>2893.5</v>
      </c>
      <c r="D457" s="2">
        <v>45274</v>
      </c>
      <c r="E457" s="3">
        <v>2416.35</v>
      </c>
      <c r="G457" s="3">
        <v>32121767</v>
      </c>
      <c r="H457" s="3">
        <f t="shared" si="21"/>
        <v>92944332814.5</v>
      </c>
      <c r="J457" s="3">
        <v>149645000</v>
      </c>
      <c r="K457" s="3">
        <f t="shared" si="22"/>
        <v>361594695750</v>
      </c>
      <c r="M457" s="4">
        <f t="shared" si="23"/>
        <v>0.74295991089769742</v>
      </c>
    </row>
    <row r="458" spans="1:13" x14ac:dyDescent="0.45">
      <c r="A458" s="2">
        <v>45273</v>
      </c>
      <c r="B458" s="3">
        <v>2871.85</v>
      </c>
      <c r="D458" s="2">
        <v>45273</v>
      </c>
      <c r="E458" s="3">
        <v>2411.9499999999998</v>
      </c>
      <c r="G458" s="3">
        <v>32121767</v>
      </c>
      <c r="H458" s="3">
        <f t="shared" si="21"/>
        <v>92248896558.949997</v>
      </c>
      <c r="J458" s="3">
        <v>149645000</v>
      </c>
      <c r="K458" s="3">
        <f t="shared" si="22"/>
        <v>360936257750</v>
      </c>
      <c r="M458" s="4">
        <f t="shared" si="23"/>
        <v>0.74441776192281139</v>
      </c>
    </row>
    <row r="459" spans="1:13" x14ac:dyDescent="0.45">
      <c r="A459" s="2">
        <v>45272</v>
      </c>
      <c r="B459" s="3">
        <v>2892.95</v>
      </c>
      <c r="D459" s="2">
        <v>45272</v>
      </c>
      <c r="E459" s="3">
        <v>2376.3000000000002</v>
      </c>
      <c r="G459" s="3">
        <v>32121767</v>
      </c>
      <c r="H459" s="3">
        <f t="shared" si="21"/>
        <v>92926665842.649994</v>
      </c>
      <c r="J459" s="3">
        <v>149645000</v>
      </c>
      <c r="K459" s="3">
        <f t="shared" si="22"/>
        <v>355601413500</v>
      </c>
      <c r="M459" s="4">
        <f t="shared" si="23"/>
        <v>0.73867745651508776</v>
      </c>
    </row>
    <row r="460" spans="1:13" x14ac:dyDescent="0.45">
      <c r="A460" s="2">
        <v>45271</v>
      </c>
      <c r="B460" s="3">
        <v>2903.75</v>
      </c>
      <c r="D460" s="2">
        <v>45271</v>
      </c>
      <c r="E460" s="3">
        <v>2430.1999999999998</v>
      </c>
      <c r="G460" s="3">
        <v>32121767</v>
      </c>
      <c r="H460" s="3">
        <f t="shared" si="21"/>
        <v>93273580926.25</v>
      </c>
      <c r="J460" s="3">
        <v>149645000</v>
      </c>
      <c r="K460" s="3">
        <f t="shared" si="22"/>
        <v>363667279000</v>
      </c>
      <c r="M460" s="4">
        <f t="shared" si="23"/>
        <v>0.74351945772319539</v>
      </c>
    </row>
    <row r="461" spans="1:13" x14ac:dyDescent="0.45">
      <c r="A461" s="2">
        <v>45268</v>
      </c>
      <c r="B461" s="3">
        <v>2877.8</v>
      </c>
      <c r="D461" s="2">
        <v>45268</v>
      </c>
      <c r="E461" s="3">
        <v>2422.3000000000002</v>
      </c>
      <c r="G461" s="3">
        <v>32121767</v>
      </c>
      <c r="H461" s="3">
        <f t="shared" si="21"/>
        <v>92440021072.600006</v>
      </c>
      <c r="J461" s="3">
        <v>149645000</v>
      </c>
      <c r="K461" s="3">
        <f t="shared" si="22"/>
        <v>362485083500</v>
      </c>
      <c r="M461" s="4">
        <f t="shared" si="23"/>
        <v>0.74498255161277549</v>
      </c>
    </row>
    <row r="462" spans="1:13" x14ac:dyDescent="0.45">
      <c r="A462" s="2">
        <v>45267</v>
      </c>
      <c r="B462" s="3">
        <v>2898.25</v>
      </c>
      <c r="D462" s="2">
        <v>45267</v>
      </c>
      <c r="E462" s="3">
        <v>2442.35</v>
      </c>
      <c r="G462" s="3">
        <v>32121767</v>
      </c>
      <c r="H462" s="3">
        <f t="shared" si="21"/>
        <v>93096911207.75</v>
      </c>
      <c r="J462" s="3">
        <v>149645000</v>
      </c>
      <c r="K462" s="3">
        <f t="shared" si="22"/>
        <v>365485465750</v>
      </c>
      <c r="M462" s="4">
        <f t="shared" si="23"/>
        <v>0.74527875953505007</v>
      </c>
    </row>
    <row r="463" spans="1:13" x14ac:dyDescent="0.45">
      <c r="A463" s="2">
        <v>45266</v>
      </c>
      <c r="B463" s="3">
        <v>2890.85</v>
      </c>
      <c r="D463" s="2">
        <v>45266</v>
      </c>
      <c r="E463" s="3">
        <v>2451.85</v>
      </c>
      <c r="G463" s="3">
        <v>32121767</v>
      </c>
      <c r="H463" s="3">
        <f t="shared" si="21"/>
        <v>92859210131.949997</v>
      </c>
      <c r="J463" s="3">
        <v>149645000</v>
      </c>
      <c r="K463" s="3">
        <f t="shared" si="22"/>
        <v>366907093250</v>
      </c>
      <c r="M463" s="4">
        <f t="shared" si="23"/>
        <v>0.74691355975318152</v>
      </c>
    </row>
    <row r="464" spans="1:13" x14ac:dyDescent="0.45">
      <c r="A464" s="2">
        <v>45265</v>
      </c>
      <c r="B464" s="3">
        <v>2856.1</v>
      </c>
      <c r="D464" s="2">
        <v>45265</v>
      </c>
      <c r="E464" s="3">
        <v>2455</v>
      </c>
      <c r="G464" s="3">
        <v>32121767</v>
      </c>
      <c r="H464" s="3">
        <f t="shared" si="21"/>
        <v>91742978728.699997</v>
      </c>
      <c r="J464" s="3">
        <v>149645000</v>
      </c>
      <c r="K464" s="3">
        <f t="shared" si="22"/>
        <v>367378475000</v>
      </c>
      <c r="M464" s="4">
        <f t="shared" si="23"/>
        <v>0.75027666297351803</v>
      </c>
    </row>
    <row r="465" spans="1:13" x14ac:dyDescent="0.45">
      <c r="A465" s="2">
        <v>45264</v>
      </c>
      <c r="B465" s="1">
        <v>2762.3</v>
      </c>
      <c r="D465" s="2">
        <v>45264</v>
      </c>
      <c r="E465" s="3">
        <v>2426.1999999999998</v>
      </c>
      <c r="G465" s="3">
        <v>32121767</v>
      </c>
      <c r="H465" s="3">
        <f t="shared" si="21"/>
        <v>88729956984.100006</v>
      </c>
      <c r="J465" s="3">
        <v>149645000</v>
      </c>
      <c r="K465" s="3">
        <f t="shared" si="22"/>
        <v>363068699000</v>
      </c>
      <c r="M465" s="4">
        <f t="shared" si="23"/>
        <v>0.75561110823243949</v>
      </c>
    </row>
    <row r="466" spans="1:13" x14ac:dyDescent="0.45">
      <c r="A466" s="2">
        <v>45261</v>
      </c>
      <c r="B466" s="3">
        <v>2816</v>
      </c>
      <c r="D466" s="2">
        <v>45261</v>
      </c>
      <c r="E466" s="3">
        <v>2410.3000000000002</v>
      </c>
      <c r="G466" s="3">
        <v>32121767</v>
      </c>
      <c r="H466" s="3">
        <f t="shared" si="21"/>
        <v>90454895872</v>
      </c>
      <c r="J466" s="3">
        <v>149645000</v>
      </c>
      <c r="K466" s="3">
        <f t="shared" si="22"/>
        <v>360689343500</v>
      </c>
      <c r="M466" s="4">
        <f t="shared" si="23"/>
        <v>0.74921661118607452</v>
      </c>
    </row>
    <row r="467" spans="1:13" x14ac:dyDescent="0.45">
      <c r="A467" s="2">
        <v>45260</v>
      </c>
      <c r="B467" s="3">
        <v>2901.9</v>
      </c>
      <c r="D467" s="2">
        <v>45260</v>
      </c>
      <c r="E467" s="3">
        <v>2368.4</v>
      </c>
      <c r="G467" s="3">
        <v>32121767</v>
      </c>
      <c r="H467" s="3">
        <f t="shared" si="21"/>
        <v>93214155657.300003</v>
      </c>
      <c r="J467" s="3">
        <v>149645000</v>
      </c>
      <c r="K467" s="3">
        <f t="shared" si="22"/>
        <v>354419218000</v>
      </c>
      <c r="M467" s="4">
        <f t="shared" si="23"/>
        <v>0.73699463538317489</v>
      </c>
    </row>
    <row r="468" spans="1:13" x14ac:dyDescent="0.45">
      <c r="A468" s="2">
        <v>45259</v>
      </c>
      <c r="B468" s="3">
        <v>2907.75</v>
      </c>
      <c r="D468" s="2">
        <v>45259</v>
      </c>
      <c r="E468" s="3">
        <v>2351.3000000000002</v>
      </c>
      <c r="G468" s="3">
        <v>32121767</v>
      </c>
      <c r="H468" s="3">
        <f t="shared" si="21"/>
        <v>93402067994.25</v>
      </c>
      <c r="J468" s="3">
        <v>149645000</v>
      </c>
      <c r="K468" s="3">
        <f t="shared" si="22"/>
        <v>351860288500</v>
      </c>
      <c r="M468" s="4">
        <f t="shared" si="23"/>
        <v>0.7345478559333074</v>
      </c>
    </row>
    <row r="469" spans="1:13" x14ac:dyDescent="0.45">
      <c r="A469" s="2">
        <v>45258</v>
      </c>
      <c r="B469" s="3">
        <v>2900.5</v>
      </c>
      <c r="D469" s="2">
        <v>45258</v>
      </c>
      <c r="E469" s="3">
        <v>2352.1</v>
      </c>
      <c r="G469" s="3">
        <v>32121767</v>
      </c>
      <c r="H469" s="3">
        <f t="shared" si="21"/>
        <v>93169185183.5</v>
      </c>
      <c r="J469" s="3">
        <v>149645000</v>
      </c>
      <c r="K469" s="3">
        <f t="shared" si="22"/>
        <v>351980004500</v>
      </c>
      <c r="M469" s="4">
        <f t="shared" si="23"/>
        <v>0.7352997784182369</v>
      </c>
    </row>
    <row r="470" spans="1:13" x14ac:dyDescent="0.45">
      <c r="A470" s="2">
        <v>45254</v>
      </c>
      <c r="B470" s="3">
        <v>2982.3</v>
      </c>
      <c r="D470" s="2">
        <v>45254</v>
      </c>
      <c r="E470" s="3">
        <v>2359.9499999999998</v>
      </c>
      <c r="G470" s="3">
        <v>32121767</v>
      </c>
      <c r="H470" s="3">
        <f t="shared" si="21"/>
        <v>95796745724.100006</v>
      </c>
      <c r="J470" s="3">
        <v>149645000</v>
      </c>
      <c r="K470" s="3">
        <f t="shared" si="22"/>
        <v>353154717750</v>
      </c>
      <c r="M470" s="4">
        <f t="shared" si="23"/>
        <v>0.72874000853100596</v>
      </c>
    </row>
    <row r="471" spans="1:13" x14ac:dyDescent="0.45">
      <c r="A471" s="2">
        <v>45253</v>
      </c>
      <c r="B471" s="3">
        <v>2902.55</v>
      </c>
      <c r="D471" s="2">
        <v>45253</v>
      </c>
      <c r="E471" s="3">
        <v>2360.25</v>
      </c>
      <c r="G471" s="3">
        <v>32121767</v>
      </c>
      <c r="H471" s="3">
        <f t="shared" si="21"/>
        <v>93235034805.850006</v>
      </c>
      <c r="J471" s="3">
        <v>149645000</v>
      </c>
      <c r="K471" s="3">
        <f t="shared" si="22"/>
        <v>353199611250</v>
      </c>
      <c r="M471" s="4">
        <f t="shared" si="23"/>
        <v>0.73602735723325341</v>
      </c>
    </row>
    <row r="472" spans="1:13" x14ac:dyDescent="0.45">
      <c r="A472" s="2">
        <v>45252</v>
      </c>
      <c r="B472" s="3">
        <v>2906.15</v>
      </c>
      <c r="D472" s="2">
        <v>45252</v>
      </c>
      <c r="E472" s="3">
        <v>2332.6</v>
      </c>
      <c r="G472" s="3">
        <v>32121767</v>
      </c>
      <c r="H472" s="3">
        <f t="shared" si="21"/>
        <v>93350673167.050003</v>
      </c>
      <c r="J472" s="3">
        <v>149645000</v>
      </c>
      <c r="K472" s="3">
        <f t="shared" si="22"/>
        <v>349061927000</v>
      </c>
      <c r="M472" s="4">
        <f t="shared" si="23"/>
        <v>0.73256701477199493</v>
      </c>
    </row>
    <row r="473" spans="1:13" x14ac:dyDescent="0.45">
      <c r="A473" s="2">
        <v>45251</v>
      </c>
      <c r="B473" s="3">
        <v>2929.45</v>
      </c>
      <c r="D473" s="2">
        <v>45251</v>
      </c>
      <c r="E473" s="3">
        <v>2353.85</v>
      </c>
      <c r="G473" s="3">
        <v>32121767</v>
      </c>
      <c r="H473" s="3">
        <f t="shared" si="21"/>
        <v>94099110338.149994</v>
      </c>
      <c r="J473" s="3">
        <v>149645000</v>
      </c>
      <c r="K473" s="3">
        <f t="shared" si="22"/>
        <v>352241883250</v>
      </c>
      <c r="M473" s="4">
        <f t="shared" si="23"/>
        <v>0.73285655450756226</v>
      </c>
    </row>
    <row r="474" spans="1:13" x14ac:dyDescent="0.45">
      <c r="A474" s="2">
        <v>45250</v>
      </c>
      <c r="B474" s="3">
        <v>2888</v>
      </c>
      <c r="D474" s="2">
        <v>45250</v>
      </c>
      <c r="E474" s="3">
        <v>2328.8000000000002</v>
      </c>
      <c r="G474" s="3">
        <v>32121767</v>
      </c>
      <c r="H474" s="3">
        <f t="shared" si="21"/>
        <v>92767663096</v>
      </c>
      <c r="J474" s="3">
        <v>149645000</v>
      </c>
      <c r="K474" s="3">
        <f t="shared" si="22"/>
        <v>348493276000</v>
      </c>
      <c r="M474" s="4">
        <f t="shared" si="23"/>
        <v>0.73380357819012842</v>
      </c>
    </row>
    <row r="475" spans="1:13" x14ac:dyDescent="0.45">
      <c r="A475" s="2">
        <v>45247</v>
      </c>
      <c r="B475" s="3">
        <v>2904.35</v>
      </c>
      <c r="D475" s="2">
        <v>45247</v>
      </c>
      <c r="E475" s="3">
        <v>2360.85</v>
      </c>
      <c r="G475" s="3">
        <v>32121767</v>
      </c>
      <c r="H475" s="3">
        <f t="shared" si="21"/>
        <v>93292853986.449997</v>
      </c>
      <c r="J475" s="3">
        <v>149645000</v>
      </c>
      <c r="K475" s="3">
        <f t="shared" si="22"/>
        <v>353289398250</v>
      </c>
      <c r="M475" s="4">
        <f t="shared" si="23"/>
        <v>0.73593078521865896</v>
      </c>
    </row>
    <row r="476" spans="1:13" x14ac:dyDescent="0.45">
      <c r="A476" s="2">
        <v>45246</v>
      </c>
      <c r="B476" s="3">
        <v>2930.75</v>
      </c>
      <c r="D476" s="2">
        <v>45246</v>
      </c>
      <c r="E476" s="3">
        <v>2354.3000000000002</v>
      </c>
      <c r="G476" s="3">
        <v>32121767</v>
      </c>
      <c r="H476" s="3">
        <f t="shared" si="21"/>
        <v>94140868635.25</v>
      </c>
      <c r="J476" s="3">
        <v>149645000</v>
      </c>
      <c r="K476" s="3">
        <f t="shared" si="22"/>
        <v>352309223500</v>
      </c>
      <c r="M476" s="4">
        <f t="shared" si="23"/>
        <v>0.73278908880099192</v>
      </c>
    </row>
    <row r="477" spans="1:13" x14ac:dyDescent="0.45">
      <c r="A477" s="2">
        <v>45245</v>
      </c>
      <c r="B477" s="3">
        <v>2988.85</v>
      </c>
      <c r="D477" s="2">
        <v>45245</v>
      </c>
      <c r="E477" s="3">
        <v>2358.65</v>
      </c>
      <c r="G477" s="3">
        <v>32121767</v>
      </c>
      <c r="H477" s="3">
        <f t="shared" si="21"/>
        <v>96007143297.949997</v>
      </c>
      <c r="J477" s="3">
        <v>149645000</v>
      </c>
      <c r="K477" s="3">
        <f t="shared" si="22"/>
        <v>352960179250</v>
      </c>
      <c r="M477" s="4">
        <f t="shared" si="23"/>
        <v>0.72799440576567531</v>
      </c>
    </row>
    <row r="478" spans="1:13" x14ac:dyDescent="0.45">
      <c r="A478" s="2">
        <v>45243</v>
      </c>
      <c r="B478" s="3">
        <v>2981.65</v>
      </c>
      <c r="D478" s="2">
        <v>45243</v>
      </c>
      <c r="E478" s="3">
        <v>2335.35</v>
      </c>
      <c r="G478" s="3">
        <v>32121767</v>
      </c>
      <c r="H478" s="3">
        <f t="shared" si="21"/>
        <v>95775866575.550003</v>
      </c>
      <c r="J478" s="3">
        <v>149645000</v>
      </c>
      <c r="K478" s="3">
        <f t="shared" si="22"/>
        <v>349473450750</v>
      </c>
      <c r="M478" s="4">
        <f t="shared" si="23"/>
        <v>0.72594236738153706</v>
      </c>
    </row>
    <row r="479" spans="1:13" x14ac:dyDescent="0.45">
      <c r="A479" s="2">
        <v>45242</v>
      </c>
      <c r="B479" s="3">
        <v>3015.15</v>
      </c>
      <c r="D479" s="2">
        <v>45242</v>
      </c>
      <c r="E479" s="3">
        <v>2349.5</v>
      </c>
      <c r="G479" s="3">
        <v>32121767</v>
      </c>
      <c r="H479" s="3">
        <f t="shared" si="21"/>
        <v>96851945770.050003</v>
      </c>
      <c r="J479" s="3">
        <v>149645000</v>
      </c>
      <c r="K479" s="3">
        <f t="shared" si="22"/>
        <v>351590927500</v>
      </c>
      <c r="M479" s="4">
        <f t="shared" si="23"/>
        <v>0.72453229536177377</v>
      </c>
    </row>
    <row r="480" spans="1:13" x14ac:dyDescent="0.45">
      <c r="A480" s="2">
        <v>45240</v>
      </c>
      <c r="B480" s="3">
        <v>2979.2</v>
      </c>
      <c r="D480" s="2">
        <v>45240</v>
      </c>
      <c r="E480" s="3">
        <v>2349.4499999999998</v>
      </c>
      <c r="G480" s="3">
        <v>32121767</v>
      </c>
      <c r="H480" s="3">
        <f t="shared" si="21"/>
        <v>95697168246.399994</v>
      </c>
      <c r="J480" s="3">
        <v>149645000</v>
      </c>
      <c r="K480" s="3">
        <f t="shared" si="22"/>
        <v>351583445250</v>
      </c>
      <c r="M480" s="4">
        <f t="shared" si="23"/>
        <v>0.72781093780353423</v>
      </c>
    </row>
    <row r="481" spans="1:13" x14ac:dyDescent="0.45">
      <c r="A481" s="2">
        <v>45239</v>
      </c>
      <c r="B481" s="3">
        <v>2974.75</v>
      </c>
      <c r="D481" s="2">
        <v>45239</v>
      </c>
      <c r="E481" s="3">
        <v>2335.9499999999998</v>
      </c>
      <c r="G481" s="3">
        <v>32121767</v>
      </c>
      <c r="H481" s="3">
        <f t="shared" si="21"/>
        <v>95554226383.25</v>
      </c>
      <c r="J481" s="3">
        <v>149645000</v>
      </c>
      <c r="K481" s="3">
        <f t="shared" si="22"/>
        <v>349563237750</v>
      </c>
      <c r="M481" s="4">
        <f t="shared" si="23"/>
        <v>0.7266468093204117</v>
      </c>
    </row>
    <row r="482" spans="1:13" x14ac:dyDescent="0.45">
      <c r="A482" s="2">
        <v>45238</v>
      </c>
      <c r="B482" s="3">
        <v>2990.75</v>
      </c>
      <c r="D482" s="2">
        <v>45238</v>
      </c>
      <c r="E482" s="3">
        <v>2351.65</v>
      </c>
      <c r="G482" s="3">
        <v>32121767</v>
      </c>
      <c r="H482" s="3">
        <f t="shared" si="21"/>
        <v>96068174655.25</v>
      </c>
      <c r="J482" s="3">
        <v>149645000</v>
      </c>
      <c r="K482" s="3">
        <f t="shared" si="22"/>
        <v>351912664250</v>
      </c>
      <c r="M482" s="4">
        <f t="shared" si="23"/>
        <v>0.72701131725397972</v>
      </c>
    </row>
    <row r="483" spans="1:13" x14ac:dyDescent="0.45">
      <c r="A483" s="2">
        <v>45237</v>
      </c>
      <c r="B483" s="3">
        <v>2995.5</v>
      </c>
      <c r="D483" s="2">
        <v>45237</v>
      </c>
      <c r="E483" s="3">
        <v>2338.85</v>
      </c>
      <c r="G483" s="3">
        <v>32121767</v>
      </c>
      <c r="H483" s="3">
        <f t="shared" si="21"/>
        <v>96220753048.5</v>
      </c>
      <c r="J483" s="3">
        <v>149645000</v>
      </c>
      <c r="K483" s="3">
        <f t="shared" si="22"/>
        <v>349997208250</v>
      </c>
      <c r="M483" s="4">
        <f t="shared" si="23"/>
        <v>0.72508136984975513</v>
      </c>
    </row>
    <row r="484" spans="1:13" x14ac:dyDescent="0.45">
      <c r="A484" s="2">
        <v>45236</v>
      </c>
      <c r="B484" s="3">
        <v>3033.05</v>
      </c>
      <c r="D484" s="2">
        <v>45236</v>
      </c>
      <c r="E484" s="3">
        <v>2335.6</v>
      </c>
      <c r="G484" s="3">
        <v>32121767</v>
      </c>
      <c r="H484" s="3">
        <f t="shared" si="21"/>
        <v>97426925399.350006</v>
      </c>
      <c r="J484" s="3">
        <v>149645000</v>
      </c>
      <c r="K484" s="3">
        <f t="shared" si="22"/>
        <v>349510862000</v>
      </c>
      <c r="M484" s="4">
        <f t="shared" si="23"/>
        <v>0.72124778943393753</v>
      </c>
    </row>
    <row r="485" spans="1:13" x14ac:dyDescent="0.45">
      <c r="A485" s="2">
        <v>45233</v>
      </c>
      <c r="B485" s="3">
        <v>2978.5</v>
      </c>
      <c r="D485" s="2">
        <v>45233</v>
      </c>
      <c r="E485" s="3">
        <v>2252.65</v>
      </c>
      <c r="G485" s="3">
        <v>32121767</v>
      </c>
      <c r="H485" s="3">
        <f t="shared" si="21"/>
        <v>95674683009.5</v>
      </c>
      <c r="J485" s="3">
        <v>149645000</v>
      </c>
      <c r="K485" s="3">
        <f t="shared" si="22"/>
        <v>337097809250</v>
      </c>
      <c r="M485" s="4">
        <f t="shared" si="23"/>
        <v>0.71618123765810271</v>
      </c>
    </row>
    <row r="486" spans="1:13" x14ac:dyDescent="0.45">
      <c r="A486" s="2">
        <v>45232</v>
      </c>
      <c r="B486" s="3">
        <v>2992.95</v>
      </c>
      <c r="D486" s="2">
        <v>45232</v>
      </c>
      <c r="E486" s="3">
        <v>2238.1999999999998</v>
      </c>
      <c r="G486" s="3">
        <v>32121767</v>
      </c>
      <c r="H486" s="3">
        <f t="shared" si="21"/>
        <v>96138842542.649994</v>
      </c>
      <c r="J486" s="3">
        <v>149645000</v>
      </c>
      <c r="K486" s="3">
        <f t="shared" si="22"/>
        <v>334935439000</v>
      </c>
      <c r="M486" s="4">
        <f t="shared" si="23"/>
        <v>0.71296306288254563</v>
      </c>
    </row>
    <row r="487" spans="1:13" x14ac:dyDescent="0.45">
      <c r="A487" s="2">
        <v>45231</v>
      </c>
      <c r="B487" s="3">
        <v>2983.65</v>
      </c>
      <c r="D487" s="2">
        <v>45231</v>
      </c>
      <c r="E487" s="3">
        <v>2183.6999999999998</v>
      </c>
      <c r="G487" s="3">
        <v>32121767</v>
      </c>
      <c r="H487" s="3">
        <f t="shared" si="21"/>
        <v>95840110109.550003</v>
      </c>
      <c r="J487" s="3">
        <v>149645000</v>
      </c>
      <c r="K487" s="3">
        <f t="shared" si="22"/>
        <v>326779786500</v>
      </c>
      <c r="M487" s="4">
        <f t="shared" si="23"/>
        <v>0.70671346861428352</v>
      </c>
    </row>
    <row r="488" spans="1:13" x14ac:dyDescent="0.45">
      <c r="A488" s="2">
        <v>45230</v>
      </c>
      <c r="B488" s="3">
        <v>2908.95</v>
      </c>
      <c r="D488" s="2">
        <v>45230</v>
      </c>
      <c r="E488" s="3">
        <v>2194.85</v>
      </c>
      <c r="G488" s="3">
        <v>32121767</v>
      </c>
      <c r="H488" s="3">
        <f t="shared" si="21"/>
        <v>93440614114.649994</v>
      </c>
      <c r="J488" s="3">
        <v>149645000</v>
      </c>
      <c r="K488" s="3">
        <f t="shared" si="22"/>
        <v>328448328250</v>
      </c>
      <c r="M488" s="4">
        <f t="shared" si="23"/>
        <v>0.71550893678616245</v>
      </c>
    </row>
    <row r="489" spans="1:13" x14ac:dyDescent="0.45">
      <c r="A489" s="2">
        <v>45229</v>
      </c>
      <c r="B489" s="3">
        <v>2932.45</v>
      </c>
      <c r="D489" s="2">
        <v>45229</v>
      </c>
      <c r="E489" s="3">
        <v>2182.5500000000002</v>
      </c>
      <c r="G489" s="3">
        <v>32121767</v>
      </c>
      <c r="H489" s="3">
        <f t="shared" si="21"/>
        <v>94195475639.149994</v>
      </c>
      <c r="J489" s="3">
        <v>149645000</v>
      </c>
      <c r="K489" s="3">
        <f t="shared" si="22"/>
        <v>326607694750</v>
      </c>
      <c r="M489" s="4">
        <f t="shared" si="23"/>
        <v>0.71159443836358061</v>
      </c>
    </row>
    <row r="490" spans="1:13" x14ac:dyDescent="0.45">
      <c r="A490" s="2">
        <v>45226</v>
      </c>
      <c r="B490" s="3">
        <v>2993.85</v>
      </c>
      <c r="D490" s="2">
        <v>45226</v>
      </c>
      <c r="E490" s="3">
        <v>2176.5500000000002</v>
      </c>
      <c r="G490" s="3">
        <v>32121767</v>
      </c>
      <c r="H490" s="3">
        <f t="shared" si="21"/>
        <v>96167752132.949997</v>
      </c>
      <c r="J490" s="3">
        <v>149645000</v>
      </c>
      <c r="K490" s="3">
        <f t="shared" si="22"/>
        <v>325709824750</v>
      </c>
      <c r="M490" s="4">
        <f t="shared" si="23"/>
        <v>0.70474408560821278</v>
      </c>
    </row>
    <row r="491" spans="1:13" x14ac:dyDescent="0.45">
      <c r="A491" s="2">
        <v>45225</v>
      </c>
      <c r="B491" s="3">
        <v>3004</v>
      </c>
      <c r="D491" s="2">
        <v>45225</v>
      </c>
      <c r="E491" s="3">
        <v>2106.6999999999998</v>
      </c>
      <c r="G491" s="3">
        <v>32121767</v>
      </c>
      <c r="H491" s="3">
        <f t="shared" si="21"/>
        <v>96493788068</v>
      </c>
      <c r="J491" s="3">
        <v>149645000</v>
      </c>
      <c r="K491" s="3">
        <f t="shared" si="22"/>
        <v>315257121500</v>
      </c>
      <c r="M491" s="4">
        <f t="shared" si="23"/>
        <v>0.69392035425280629</v>
      </c>
    </row>
    <row r="492" spans="1:13" x14ac:dyDescent="0.45">
      <c r="A492" s="2">
        <v>45224</v>
      </c>
      <c r="B492" s="3">
        <v>3164.55</v>
      </c>
      <c r="D492" s="2">
        <v>45224</v>
      </c>
      <c r="E492" s="3">
        <v>2143.8000000000002</v>
      </c>
      <c r="G492" s="3">
        <v>32121767</v>
      </c>
      <c r="H492" s="3">
        <f t="shared" si="21"/>
        <v>101650937759.85001</v>
      </c>
      <c r="J492" s="3">
        <v>149645000</v>
      </c>
      <c r="K492" s="3">
        <f t="shared" si="22"/>
        <v>320808951000</v>
      </c>
      <c r="M492" s="4">
        <f t="shared" si="23"/>
        <v>0.68314182804752854</v>
      </c>
    </row>
    <row r="493" spans="1:13" x14ac:dyDescent="0.45">
      <c r="A493" s="2">
        <v>45222</v>
      </c>
      <c r="B493" s="3">
        <v>3173</v>
      </c>
      <c r="D493" s="2">
        <v>45222</v>
      </c>
      <c r="E493" s="3">
        <v>2173</v>
      </c>
      <c r="G493" s="3">
        <v>32121767</v>
      </c>
      <c r="H493" s="3">
        <f t="shared" si="21"/>
        <v>101922366691</v>
      </c>
      <c r="J493" s="3">
        <v>149645000</v>
      </c>
      <c r="K493" s="3">
        <f t="shared" si="22"/>
        <v>325178585000</v>
      </c>
      <c r="M493" s="4">
        <f t="shared" si="23"/>
        <v>0.68656494802386825</v>
      </c>
    </row>
    <row r="494" spans="1:13" x14ac:dyDescent="0.45">
      <c r="A494" s="2">
        <v>45219</v>
      </c>
      <c r="B494" s="3">
        <v>3347.65</v>
      </c>
      <c r="D494" s="2">
        <v>45219</v>
      </c>
      <c r="E494" s="3">
        <v>2233.5</v>
      </c>
      <c r="G494" s="3">
        <v>32121767</v>
      </c>
      <c r="H494" s="3">
        <f t="shared" si="21"/>
        <v>107532433297.55</v>
      </c>
      <c r="J494" s="3">
        <v>149645000</v>
      </c>
      <c r="K494" s="3">
        <f t="shared" si="22"/>
        <v>334232107500</v>
      </c>
      <c r="M494" s="4">
        <f t="shared" si="23"/>
        <v>0.67827018743987666</v>
      </c>
    </row>
    <row r="495" spans="1:13" x14ac:dyDescent="0.45">
      <c r="A495" s="2">
        <v>45218</v>
      </c>
      <c r="B495" s="3">
        <v>3306.9</v>
      </c>
      <c r="D495" s="2">
        <v>45218</v>
      </c>
      <c r="E495" s="3">
        <v>2255.0500000000002</v>
      </c>
      <c r="G495" s="3">
        <v>32121767</v>
      </c>
      <c r="H495" s="3">
        <f t="shared" si="21"/>
        <v>106223471292.3</v>
      </c>
      <c r="J495" s="3">
        <v>149645000</v>
      </c>
      <c r="K495" s="3">
        <f t="shared" si="22"/>
        <v>337456957250</v>
      </c>
      <c r="M495" s="4">
        <f t="shared" si="23"/>
        <v>0.68522364405245939</v>
      </c>
    </row>
    <row r="496" spans="1:13" x14ac:dyDescent="0.45">
      <c r="A496" s="2">
        <v>45217</v>
      </c>
      <c r="B496" s="3">
        <v>3346</v>
      </c>
      <c r="D496" s="2">
        <v>45217</v>
      </c>
      <c r="E496" s="3">
        <v>2244.5500000000002</v>
      </c>
      <c r="G496" s="3">
        <v>32121767</v>
      </c>
      <c r="H496" s="3">
        <f t="shared" si="21"/>
        <v>107479432382</v>
      </c>
      <c r="J496" s="3">
        <v>149645000</v>
      </c>
      <c r="K496" s="3">
        <f t="shared" si="22"/>
        <v>335885684750</v>
      </c>
      <c r="M496" s="4">
        <f t="shared" si="23"/>
        <v>0.6800118693298971</v>
      </c>
    </row>
    <row r="497" spans="1:13" x14ac:dyDescent="0.45">
      <c r="A497" s="2">
        <v>45216</v>
      </c>
      <c r="B497" s="3">
        <v>3363.2</v>
      </c>
      <c r="D497" s="2">
        <v>45216</v>
      </c>
      <c r="E497" s="3">
        <v>2278.1</v>
      </c>
      <c r="G497" s="3">
        <v>32121767</v>
      </c>
      <c r="H497" s="3">
        <f>+G497*B497</f>
        <v>108031926774.39999</v>
      </c>
      <c r="J497" s="3">
        <v>149645000</v>
      </c>
      <c r="K497" s="3">
        <f t="shared" si="22"/>
        <v>340906274500</v>
      </c>
      <c r="M497" s="4">
        <f t="shared" si="23"/>
        <v>0.68310373010045611</v>
      </c>
    </row>
    <row r="498" spans="1:13" x14ac:dyDescent="0.45">
      <c r="A498" s="2">
        <v>45215</v>
      </c>
      <c r="B498" s="3">
        <v>16084.55</v>
      </c>
      <c r="D498" s="2">
        <v>45215</v>
      </c>
      <c r="E498" s="3">
        <v>2252.75</v>
      </c>
      <c r="G498" s="3">
        <v>6452615</v>
      </c>
      <c r="H498" s="3">
        <f t="shared" si="21"/>
        <v>103787408598.25</v>
      </c>
      <c r="J498" s="3">
        <v>149645000</v>
      </c>
      <c r="K498" s="3">
        <f t="shared" si="22"/>
        <v>337112773750</v>
      </c>
      <c r="M498" s="4">
        <f t="shared" si="23"/>
        <v>0.69212851994977242</v>
      </c>
    </row>
    <row r="499" spans="1:13" x14ac:dyDescent="0.45">
      <c r="A499" s="2">
        <v>45212</v>
      </c>
      <c r="B499" s="3">
        <v>16270.65</v>
      </c>
      <c r="D499" s="2">
        <v>45212</v>
      </c>
      <c r="E499" s="3">
        <v>2255.75</v>
      </c>
      <c r="G499" s="3">
        <v>6452615</v>
      </c>
      <c r="H499" s="3">
        <f t="shared" si="21"/>
        <v>104988240249.75</v>
      </c>
      <c r="J499" s="3">
        <v>149645000</v>
      </c>
      <c r="K499" s="3">
        <f t="shared" si="22"/>
        <v>337561708750</v>
      </c>
      <c r="M499" s="4">
        <f t="shared" si="23"/>
        <v>0.6889805996108852</v>
      </c>
    </row>
    <row r="500" spans="1:13" x14ac:dyDescent="0.45">
      <c r="A500" s="2">
        <v>45211</v>
      </c>
      <c r="B500" s="3">
        <v>16391.3</v>
      </c>
      <c r="D500" s="2">
        <v>45211</v>
      </c>
      <c r="E500" s="3">
        <v>2263.1999999999998</v>
      </c>
      <c r="G500" s="3">
        <v>6452615</v>
      </c>
      <c r="H500" s="3">
        <f t="shared" si="21"/>
        <v>105766748249.5</v>
      </c>
      <c r="J500" s="3">
        <v>149645000</v>
      </c>
      <c r="K500" s="3">
        <f t="shared" si="22"/>
        <v>338676564000</v>
      </c>
      <c r="M500" s="4">
        <f t="shared" si="23"/>
        <v>0.68770573611494412</v>
      </c>
    </row>
    <row r="501" spans="1:13" x14ac:dyDescent="0.45">
      <c r="A501" s="2">
        <v>45210</v>
      </c>
      <c r="B501" s="3">
        <v>16270.75</v>
      </c>
      <c r="D501" s="2">
        <v>45210</v>
      </c>
      <c r="E501" s="3">
        <v>2249.3000000000002</v>
      </c>
      <c r="G501" s="3">
        <v>6452615</v>
      </c>
      <c r="H501" s="3">
        <f t="shared" si="21"/>
        <v>104988885511.25</v>
      </c>
      <c r="J501" s="3">
        <v>149645000</v>
      </c>
      <c r="K501" s="3">
        <f t="shared" si="22"/>
        <v>336596498500</v>
      </c>
      <c r="M501" s="4">
        <f t="shared" si="23"/>
        <v>0.68808681617568879</v>
      </c>
    </row>
    <row r="502" spans="1:13" x14ac:dyDescent="0.45">
      <c r="A502" s="2">
        <v>45209</v>
      </c>
      <c r="B502" s="3">
        <v>15997.7</v>
      </c>
      <c r="D502" s="2">
        <v>45209</v>
      </c>
      <c r="E502" s="3">
        <v>2229.15</v>
      </c>
      <c r="G502" s="3">
        <v>6452615</v>
      </c>
      <c r="H502" s="3">
        <f t="shared" si="21"/>
        <v>103226998985.5</v>
      </c>
      <c r="J502" s="3">
        <v>149645000</v>
      </c>
      <c r="K502" s="3">
        <f t="shared" si="22"/>
        <v>333581151750</v>
      </c>
      <c r="M502" s="4">
        <f t="shared" si="23"/>
        <v>0.69054906596502574</v>
      </c>
    </row>
    <row r="503" spans="1:13" x14ac:dyDescent="0.45">
      <c r="A503" s="2">
        <v>45208</v>
      </c>
      <c r="B503" s="3">
        <v>15589.95</v>
      </c>
      <c r="D503" s="2">
        <v>45208</v>
      </c>
      <c r="E503" s="3">
        <v>2203.4</v>
      </c>
      <c r="G503" s="3">
        <v>6452615</v>
      </c>
      <c r="H503" s="3">
        <f t="shared" si="21"/>
        <v>100595945219.25</v>
      </c>
      <c r="J503" s="3">
        <v>149645000</v>
      </c>
      <c r="K503" s="3">
        <f t="shared" si="22"/>
        <v>329727793000</v>
      </c>
      <c r="M503" s="4">
        <f t="shared" si="23"/>
        <v>0.69491214463910844</v>
      </c>
    </row>
    <row r="504" spans="1:13" x14ac:dyDescent="0.45">
      <c r="A504" s="2">
        <v>45205</v>
      </c>
      <c r="B504" s="3">
        <v>15908.3</v>
      </c>
      <c r="D504" s="2">
        <v>45205</v>
      </c>
      <c r="E504" s="3">
        <v>2247.25</v>
      </c>
      <c r="G504" s="3">
        <v>6452615</v>
      </c>
      <c r="H504" s="3">
        <f t="shared" si="21"/>
        <v>102650135204.5</v>
      </c>
      <c r="J504" s="3">
        <v>149645000</v>
      </c>
      <c r="K504" s="3">
        <f t="shared" si="22"/>
        <v>336289726250</v>
      </c>
      <c r="M504" s="4">
        <f t="shared" si="23"/>
        <v>0.69475685044214164</v>
      </c>
    </row>
    <row r="505" spans="1:13" x14ac:dyDescent="0.45">
      <c r="A505" s="2">
        <v>45204</v>
      </c>
      <c r="B505" s="3">
        <v>15450.8</v>
      </c>
      <c r="D505" s="2">
        <v>45204</v>
      </c>
      <c r="E505" s="3">
        <v>2259.85</v>
      </c>
      <c r="G505" s="3">
        <v>6452615</v>
      </c>
      <c r="H505" s="3">
        <f t="shared" si="21"/>
        <v>99698063842</v>
      </c>
      <c r="J505" s="3">
        <v>149645000</v>
      </c>
      <c r="K505" s="3">
        <f t="shared" si="22"/>
        <v>338175253250</v>
      </c>
      <c r="M505" s="4">
        <f t="shared" si="23"/>
        <v>0.70518817422664259</v>
      </c>
    </row>
    <row r="506" spans="1:13" x14ac:dyDescent="0.45">
      <c r="A506" s="2">
        <v>45203</v>
      </c>
      <c r="B506" s="3">
        <v>15020.35</v>
      </c>
      <c r="D506" s="2">
        <v>45203</v>
      </c>
      <c r="E506" s="3">
        <v>2243.85</v>
      </c>
      <c r="G506" s="3">
        <v>6452615</v>
      </c>
      <c r="H506" s="3">
        <f t="shared" si="21"/>
        <v>96920535715.25</v>
      </c>
      <c r="J506" s="3">
        <v>149645000</v>
      </c>
      <c r="K506" s="3">
        <f t="shared" si="22"/>
        <v>335780933250</v>
      </c>
      <c r="M506" s="4">
        <f t="shared" si="23"/>
        <v>0.7113578344751057</v>
      </c>
    </row>
    <row r="507" spans="1:13" x14ac:dyDescent="0.45">
      <c r="A507" s="2">
        <v>45202</v>
      </c>
      <c r="B507" s="3">
        <v>15217.3</v>
      </c>
      <c r="D507" s="2">
        <v>45202</v>
      </c>
      <c r="E507" s="3">
        <v>2256.4499999999998</v>
      </c>
      <c r="G507" s="3">
        <v>6452615</v>
      </c>
      <c r="H507" s="3">
        <f t="shared" si="21"/>
        <v>98191378239.5</v>
      </c>
      <c r="J507" s="3">
        <v>149645000</v>
      </c>
      <c r="K507" s="3">
        <f t="shared" si="22"/>
        <v>337666460250</v>
      </c>
      <c r="M507" s="4">
        <f t="shared" si="23"/>
        <v>0.70920600711482717</v>
      </c>
    </row>
    <row r="508" spans="1:13" x14ac:dyDescent="0.45">
      <c r="A508" s="2">
        <v>45198</v>
      </c>
      <c r="B508" s="3">
        <v>15207</v>
      </c>
      <c r="D508" s="2">
        <v>45198</v>
      </c>
      <c r="E508" s="3">
        <v>2248.5500000000002</v>
      </c>
      <c r="G508" s="3">
        <v>6452615</v>
      </c>
      <c r="H508" s="3">
        <f t="shared" si="21"/>
        <v>98124916305</v>
      </c>
      <c r="J508" s="3">
        <v>149645000</v>
      </c>
      <c r="K508" s="3">
        <f t="shared" si="22"/>
        <v>336484264750</v>
      </c>
      <c r="M508" s="4">
        <f t="shared" si="23"/>
        <v>0.70838185738669079</v>
      </c>
    </row>
    <row r="509" spans="1:13" x14ac:dyDescent="0.45">
      <c r="A509" s="2">
        <v>45197</v>
      </c>
      <c r="B509" s="3">
        <v>15131.1</v>
      </c>
      <c r="D509" s="2">
        <v>45197</v>
      </c>
      <c r="E509" s="3">
        <v>2231.1</v>
      </c>
      <c r="G509" s="3">
        <v>6452615</v>
      </c>
      <c r="H509" s="3">
        <f t="shared" si="21"/>
        <v>97635162826.5</v>
      </c>
      <c r="J509" s="3">
        <v>149645000</v>
      </c>
      <c r="K509" s="3">
        <f t="shared" si="22"/>
        <v>333872959500</v>
      </c>
      <c r="M509" s="4">
        <f t="shared" si="23"/>
        <v>0.70756792352182085</v>
      </c>
    </row>
    <row r="510" spans="1:13" x14ac:dyDescent="0.45">
      <c r="A510" s="2">
        <v>45196</v>
      </c>
      <c r="B510" s="3">
        <v>15186.4</v>
      </c>
      <c r="D510" s="2">
        <v>45196</v>
      </c>
      <c r="E510" s="3">
        <v>2262.35</v>
      </c>
      <c r="G510" s="3">
        <v>6452615</v>
      </c>
      <c r="H510" s="3">
        <f t="shared" si="21"/>
        <v>97991992436</v>
      </c>
      <c r="J510" s="3">
        <v>149645000</v>
      </c>
      <c r="K510" s="3">
        <f t="shared" si="22"/>
        <v>338549365750</v>
      </c>
      <c r="M510" s="4">
        <f t="shared" si="23"/>
        <v>0.71055331260504651</v>
      </c>
    </row>
    <row r="511" spans="1:13" x14ac:dyDescent="0.45">
      <c r="A511" s="2">
        <v>45195</v>
      </c>
      <c r="B511" s="3">
        <v>15202.6</v>
      </c>
      <c r="D511" s="2">
        <v>45195</v>
      </c>
      <c r="E511" s="3">
        <v>2240.0500000000002</v>
      </c>
      <c r="G511" s="3">
        <v>6452615</v>
      </c>
      <c r="H511" s="3">
        <f t="shared" si="21"/>
        <v>98096524799</v>
      </c>
      <c r="J511" s="3">
        <v>149645000</v>
      </c>
      <c r="K511" s="3">
        <f t="shared" si="22"/>
        <v>335212282250</v>
      </c>
      <c r="M511" s="4">
        <f t="shared" si="23"/>
        <v>0.70735999247831849</v>
      </c>
    </row>
    <row r="512" spans="1:13" x14ac:dyDescent="0.45">
      <c r="A512" s="2">
        <v>45194</v>
      </c>
      <c r="B512" s="3">
        <v>15084.65</v>
      </c>
      <c r="D512" s="2">
        <v>45194</v>
      </c>
      <c r="E512" s="3">
        <v>2236.85</v>
      </c>
      <c r="G512" s="3">
        <v>6452615</v>
      </c>
      <c r="H512" s="3">
        <f t="shared" si="21"/>
        <v>97335438859.75</v>
      </c>
      <c r="J512" s="3">
        <v>149645000</v>
      </c>
      <c r="K512" s="3">
        <f t="shared" si="22"/>
        <v>334733418250</v>
      </c>
      <c r="M512" s="4">
        <f t="shared" si="23"/>
        <v>0.70921505427027975</v>
      </c>
    </row>
    <row r="513" spans="1:13" x14ac:dyDescent="0.45">
      <c r="A513" s="2">
        <v>45191</v>
      </c>
      <c r="B513" s="3">
        <v>14976.05</v>
      </c>
      <c r="D513" s="2">
        <v>45191</v>
      </c>
      <c r="E513" s="3">
        <v>2264.1999999999998</v>
      </c>
      <c r="G513" s="3">
        <v>6452615</v>
      </c>
      <c r="H513" s="3">
        <f t="shared" si="21"/>
        <v>96634684870.75</v>
      </c>
      <c r="J513" s="3">
        <v>149645000</v>
      </c>
      <c r="K513" s="3">
        <f t="shared" si="22"/>
        <v>338826209000</v>
      </c>
      <c r="M513" s="4">
        <f t="shared" si="23"/>
        <v>0.71479572033121563</v>
      </c>
    </row>
    <row r="514" spans="1:13" x14ac:dyDescent="0.45">
      <c r="A514" s="2">
        <v>45190</v>
      </c>
      <c r="B514" s="3">
        <v>15087.3</v>
      </c>
      <c r="D514" s="2">
        <v>45190</v>
      </c>
      <c r="E514" s="3">
        <v>2315.65</v>
      </c>
      <c r="G514" s="3">
        <v>6452615</v>
      </c>
      <c r="H514" s="3">
        <f t="shared" si="21"/>
        <v>97352538289.5</v>
      </c>
      <c r="J514" s="3">
        <v>149645000</v>
      </c>
      <c r="K514" s="3">
        <f t="shared" si="22"/>
        <v>346525444250</v>
      </c>
      <c r="M514" s="4">
        <f t="shared" si="23"/>
        <v>0.71906092350533068</v>
      </c>
    </row>
    <row r="515" spans="1:13" x14ac:dyDescent="0.45">
      <c r="A515" s="2">
        <v>45189</v>
      </c>
      <c r="B515" s="3">
        <v>15433.15</v>
      </c>
      <c r="D515" s="2">
        <v>45189</v>
      </c>
      <c r="E515" s="3">
        <v>2319.6999999999998</v>
      </c>
      <c r="G515" s="3">
        <v>6452615</v>
      </c>
      <c r="H515" s="3">
        <f t="shared" si="21"/>
        <v>99584175187.25</v>
      </c>
      <c r="J515" s="3">
        <v>149645000</v>
      </c>
      <c r="K515" s="3">
        <f t="shared" si="22"/>
        <v>347131506500</v>
      </c>
      <c r="M515" s="4">
        <f t="shared" si="23"/>
        <v>0.71312262551065786</v>
      </c>
    </row>
    <row r="516" spans="1:13" x14ac:dyDescent="0.45">
      <c r="A516" s="2">
        <v>45187</v>
      </c>
      <c r="B516" s="3">
        <v>15501.3</v>
      </c>
      <c r="D516" s="2">
        <v>45187</v>
      </c>
      <c r="E516" s="3">
        <v>2369.6</v>
      </c>
      <c r="G516" s="3">
        <v>6452615</v>
      </c>
      <c r="H516" s="3">
        <f t="shared" ref="H516:H579" si="24">+G516*B516</f>
        <v>100023920899.5</v>
      </c>
      <c r="J516" s="3">
        <v>149645000</v>
      </c>
      <c r="K516" s="3">
        <f t="shared" ref="K516:K579" si="25">+J516*E516</f>
        <v>354598792000</v>
      </c>
      <c r="M516" s="4">
        <f t="shared" ref="M516:M579" si="26">1- (H516/K516)</f>
        <v>0.71792368401666751</v>
      </c>
    </row>
    <row r="517" spans="1:13" x14ac:dyDescent="0.45">
      <c r="A517" s="2">
        <v>45184</v>
      </c>
      <c r="B517" s="3">
        <v>15601.65</v>
      </c>
      <c r="D517" s="2">
        <v>45184</v>
      </c>
      <c r="E517" s="3">
        <v>2369.85</v>
      </c>
      <c r="G517" s="3">
        <v>6452615</v>
      </c>
      <c r="H517" s="3">
        <f t="shared" si="24"/>
        <v>100671440814.75</v>
      </c>
      <c r="J517" s="3">
        <v>149645000</v>
      </c>
      <c r="K517" s="3">
        <f t="shared" si="25"/>
        <v>354636203250</v>
      </c>
      <c r="M517" s="4">
        <f t="shared" si="26"/>
        <v>0.71612756990920667</v>
      </c>
    </row>
    <row r="518" spans="1:13" x14ac:dyDescent="0.45">
      <c r="A518" s="2">
        <v>45183</v>
      </c>
      <c r="B518" s="3">
        <v>15515.9</v>
      </c>
      <c r="D518" s="2">
        <v>45183</v>
      </c>
      <c r="E518" s="3">
        <v>2397.5</v>
      </c>
      <c r="G518" s="3">
        <v>6452615</v>
      </c>
      <c r="H518" s="3">
        <f t="shared" si="24"/>
        <v>100118129078.5</v>
      </c>
      <c r="J518" s="3">
        <v>149645000</v>
      </c>
      <c r="K518" s="3">
        <f t="shared" si="25"/>
        <v>358773887500</v>
      </c>
      <c r="M518" s="4">
        <f t="shared" si="26"/>
        <v>0.72094365680807804</v>
      </c>
    </row>
    <row r="519" spans="1:13" x14ac:dyDescent="0.45">
      <c r="A519" s="2">
        <v>45182</v>
      </c>
      <c r="B519" s="3">
        <v>15553.75</v>
      </c>
      <c r="D519" s="2">
        <v>45182</v>
      </c>
      <c r="E519" s="3">
        <v>2393.6</v>
      </c>
      <c r="G519" s="3">
        <v>6452615</v>
      </c>
      <c r="H519" s="3">
        <f t="shared" si="24"/>
        <v>100362360556.25</v>
      </c>
      <c r="J519" s="3">
        <v>149645000</v>
      </c>
      <c r="K519" s="3">
        <f t="shared" si="25"/>
        <v>358190272000</v>
      </c>
      <c r="M519" s="4">
        <f t="shared" si="26"/>
        <v>0.71980712933418245</v>
      </c>
    </row>
    <row r="520" spans="1:13" x14ac:dyDescent="0.45">
      <c r="A520" s="2">
        <v>45181</v>
      </c>
      <c r="B520" s="3">
        <v>15530.95</v>
      </c>
      <c r="D520" s="2">
        <v>45181</v>
      </c>
      <c r="E520" s="3">
        <v>2374.1999999999998</v>
      </c>
      <c r="G520" s="3">
        <v>6452615</v>
      </c>
      <c r="H520" s="3">
        <f t="shared" si="24"/>
        <v>100215240934.25</v>
      </c>
      <c r="J520" s="3">
        <v>149645000</v>
      </c>
      <c r="K520" s="3">
        <f t="shared" si="25"/>
        <v>355287159000</v>
      </c>
      <c r="M520" s="4">
        <f t="shared" si="26"/>
        <v>0.71793171130553013</v>
      </c>
    </row>
    <row r="521" spans="1:13" x14ac:dyDescent="0.45">
      <c r="A521" s="2">
        <v>45180</v>
      </c>
      <c r="B521" s="3">
        <v>16299.7</v>
      </c>
      <c r="D521" s="2">
        <v>45180</v>
      </c>
      <c r="E521" s="3">
        <v>2436.5</v>
      </c>
      <c r="G521" s="3">
        <v>6452615</v>
      </c>
      <c r="H521" s="3">
        <f t="shared" si="24"/>
        <v>105175688715.5</v>
      </c>
      <c r="J521" s="3">
        <v>149645000</v>
      </c>
      <c r="K521" s="3">
        <f t="shared" si="25"/>
        <v>364610042500</v>
      </c>
      <c r="M521" s="4">
        <f t="shared" si="26"/>
        <v>0.71153924342196362</v>
      </c>
    </row>
    <row r="522" spans="1:13" x14ac:dyDescent="0.45">
      <c r="A522" s="2">
        <v>45177</v>
      </c>
      <c r="B522" s="3">
        <v>16222.7</v>
      </c>
      <c r="D522" s="2">
        <v>45177</v>
      </c>
      <c r="E522" s="3">
        <v>2439.65</v>
      </c>
      <c r="G522" s="3">
        <v>6452615</v>
      </c>
      <c r="H522" s="3">
        <f t="shared" si="24"/>
        <v>104678837360.5</v>
      </c>
      <c r="J522" s="3">
        <v>149645000</v>
      </c>
      <c r="K522" s="3">
        <f t="shared" si="25"/>
        <v>365081424250</v>
      </c>
      <c r="M522" s="4">
        <f t="shared" si="26"/>
        <v>0.71327262794718871</v>
      </c>
    </row>
    <row r="523" spans="1:13" x14ac:dyDescent="0.45">
      <c r="A523" s="2">
        <v>45176</v>
      </c>
      <c r="B523" s="1">
        <v>16106.65</v>
      </c>
      <c r="D523" s="2">
        <v>45176</v>
      </c>
      <c r="E523" s="3">
        <v>2463.0500000000002</v>
      </c>
      <c r="G523" s="3">
        <v>6452615</v>
      </c>
      <c r="H523" s="3">
        <f t="shared" si="24"/>
        <v>103930011389.75</v>
      </c>
      <c r="J523" s="3">
        <v>149645000</v>
      </c>
      <c r="K523" s="3">
        <f t="shared" si="25"/>
        <v>368583117250</v>
      </c>
      <c r="M523" s="4">
        <f t="shared" si="26"/>
        <v>0.71802829124358114</v>
      </c>
    </row>
    <row r="524" spans="1:13" x14ac:dyDescent="0.45">
      <c r="A524" s="2">
        <v>45175</v>
      </c>
      <c r="B524" s="3">
        <v>15983.4</v>
      </c>
      <c r="D524" s="2">
        <v>45175</v>
      </c>
      <c r="E524" s="3">
        <v>2453.35</v>
      </c>
      <c r="G524" s="3">
        <v>6452615</v>
      </c>
      <c r="H524" s="3">
        <f t="shared" si="24"/>
        <v>103134726591</v>
      </c>
      <c r="J524" s="3">
        <v>149645000</v>
      </c>
      <c r="K524" s="3">
        <f t="shared" si="25"/>
        <v>367131560750</v>
      </c>
      <c r="M524" s="4">
        <f t="shared" si="26"/>
        <v>0.71907964986635919</v>
      </c>
    </row>
    <row r="525" spans="1:13" x14ac:dyDescent="0.45">
      <c r="A525" s="2">
        <v>45174</v>
      </c>
      <c r="B525" s="1">
        <v>16170.65</v>
      </c>
      <c r="D525" s="2">
        <v>45174</v>
      </c>
      <c r="E525" s="3">
        <v>2416.75</v>
      </c>
      <c r="G525" s="3">
        <v>6452615</v>
      </c>
      <c r="H525" s="3">
        <f t="shared" si="24"/>
        <v>104342978749.75</v>
      </c>
      <c r="J525" s="3">
        <v>149645000</v>
      </c>
      <c r="K525" s="3">
        <f t="shared" si="25"/>
        <v>361654553750</v>
      </c>
      <c r="M525" s="4">
        <f t="shared" si="26"/>
        <v>0.71148440502734855</v>
      </c>
    </row>
    <row r="526" spans="1:13" x14ac:dyDescent="0.45">
      <c r="A526" s="2">
        <v>45173</v>
      </c>
      <c r="B526" s="1">
        <v>15993.55</v>
      </c>
      <c r="D526" s="2">
        <v>45173</v>
      </c>
      <c r="E526" s="3">
        <v>2411.5</v>
      </c>
      <c r="G526" s="3">
        <v>6452615</v>
      </c>
      <c r="H526" s="3">
        <f t="shared" si="24"/>
        <v>103200220633.25</v>
      </c>
      <c r="J526" s="3">
        <v>149645000</v>
      </c>
      <c r="K526" s="3">
        <f t="shared" si="25"/>
        <v>360868917500</v>
      </c>
      <c r="M526" s="4">
        <f t="shared" si="26"/>
        <v>0.71402297169788809</v>
      </c>
    </row>
    <row r="527" spans="1:13" x14ac:dyDescent="0.45">
      <c r="A527" s="2">
        <v>45170</v>
      </c>
      <c r="B527" s="1">
        <v>14945.3</v>
      </c>
      <c r="D527" s="2">
        <v>45170</v>
      </c>
      <c r="E527" s="3">
        <v>2383.85</v>
      </c>
      <c r="G527" s="3">
        <v>6452615</v>
      </c>
      <c r="H527" s="3">
        <f t="shared" si="24"/>
        <v>96436266959.5</v>
      </c>
      <c r="J527" s="3">
        <v>149645000</v>
      </c>
      <c r="K527" s="3">
        <f t="shared" si="25"/>
        <v>356731233250</v>
      </c>
      <c r="M527" s="4">
        <f t="shared" si="26"/>
        <v>0.72966688091503129</v>
      </c>
    </row>
    <row r="528" spans="1:13" x14ac:dyDescent="0.45">
      <c r="A528" s="2">
        <v>45169</v>
      </c>
      <c r="B528" s="1">
        <v>14765.25</v>
      </c>
      <c r="D528" s="2">
        <v>45169</v>
      </c>
      <c r="E528" s="3">
        <v>2357.25</v>
      </c>
      <c r="G528" s="3">
        <v>6452615</v>
      </c>
      <c r="H528" s="3">
        <f t="shared" si="24"/>
        <v>95274473628.75</v>
      </c>
      <c r="J528" s="3">
        <v>149645000</v>
      </c>
      <c r="K528" s="3">
        <f t="shared" si="25"/>
        <v>352750676250</v>
      </c>
      <c r="M528" s="4">
        <f t="shared" si="26"/>
        <v>0.72990987673903862</v>
      </c>
    </row>
    <row r="529" spans="1:13" x14ac:dyDescent="0.45">
      <c r="A529" s="2">
        <v>45168</v>
      </c>
      <c r="B529" s="1">
        <v>14727.35</v>
      </c>
      <c r="D529" s="2">
        <v>45168</v>
      </c>
      <c r="E529" s="3">
        <v>2368.9</v>
      </c>
      <c r="G529" s="3">
        <v>6452615</v>
      </c>
      <c r="H529" s="3">
        <f t="shared" si="24"/>
        <v>95029919520.25</v>
      </c>
      <c r="J529" s="3">
        <v>149645000</v>
      </c>
      <c r="K529" s="3">
        <f t="shared" si="25"/>
        <v>354494040500</v>
      </c>
      <c r="M529" s="4">
        <f t="shared" si="26"/>
        <v>0.73192801947752351</v>
      </c>
    </row>
    <row r="530" spans="1:13" x14ac:dyDescent="0.45">
      <c r="A530" s="2">
        <v>45167</v>
      </c>
      <c r="B530" s="1">
        <v>14386.8</v>
      </c>
      <c r="D530" s="2">
        <v>45167</v>
      </c>
      <c r="E530" s="3">
        <v>2373.85</v>
      </c>
      <c r="G530" s="3">
        <v>6452615</v>
      </c>
      <c r="H530" s="3">
        <f t="shared" si="24"/>
        <v>92832481482</v>
      </c>
      <c r="J530" s="3">
        <v>149645000</v>
      </c>
      <c r="K530" s="3">
        <f t="shared" si="25"/>
        <v>355234783250</v>
      </c>
      <c r="M530" s="4">
        <f t="shared" si="26"/>
        <v>0.73867288379621254</v>
      </c>
    </row>
    <row r="531" spans="1:13" x14ac:dyDescent="0.45">
      <c r="A531" s="2">
        <v>45166</v>
      </c>
      <c r="B531" s="1">
        <v>13513.95</v>
      </c>
      <c r="D531" s="2">
        <v>45166</v>
      </c>
      <c r="E531" s="3">
        <v>2311.9</v>
      </c>
      <c r="G531" s="3">
        <v>6452615</v>
      </c>
      <c r="H531" s="3">
        <f t="shared" si="24"/>
        <v>87200316479.25</v>
      </c>
      <c r="J531" s="3">
        <v>149645000</v>
      </c>
      <c r="K531" s="3">
        <f t="shared" si="25"/>
        <v>345964275500</v>
      </c>
      <c r="M531" s="4">
        <f t="shared" si="26"/>
        <v>0.74794993976408408</v>
      </c>
    </row>
    <row r="532" spans="1:13" x14ac:dyDescent="0.45">
      <c r="A532" s="2">
        <v>45163</v>
      </c>
      <c r="B532" s="1">
        <v>12271.65</v>
      </c>
      <c r="D532" s="2">
        <v>45163</v>
      </c>
      <c r="E532" s="3">
        <v>2311.15</v>
      </c>
      <c r="G532" s="3">
        <v>6452615</v>
      </c>
      <c r="H532" s="3">
        <f t="shared" si="24"/>
        <v>79184232864.75</v>
      </c>
      <c r="J532" s="3">
        <v>149645000</v>
      </c>
      <c r="K532" s="3">
        <f t="shared" si="25"/>
        <v>345852041750</v>
      </c>
      <c r="M532" s="4">
        <f t="shared" si="26"/>
        <v>0.77104592916647141</v>
      </c>
    </row>
    <row r="533" spans="1:13" x14ac:dyDescent="0.45">
      <c r="A533" s="2">
        <v>45162</v>
      </c>
      <c r="B533" s="1">
        <v>12326.7</v>
      </c>
      <c r="D533" s="2">
        <v>45162</v>
      </c>
      <c r="E533" s="3">
        <v>2309.6</v>
      </c>
      <c r="G533" s="3">
        <v>6452615</v>
      </c>
      <c r="H533" s="3">
        <f t="shared" si="24"/>
        <v>79539449320.5</v>
      </c>
      <c r="J533" s="3">
        <v>149645000</v>
      </c>
      <c r="K533" s="3">
        <f t="shared" si="25"/>
        <v>345620092000</v>
      </c>
      <c r="M533" s="4">
        <f t="shared" si="26"/>
        <v>0.76986450972734533</v>
      </c>
    </row>
    <row r="534" spans="1:13" x14ac:dyDescent="0.45">
      <c r="A534" s="2">
        <v>45161</v>
      </c>
      <c r="B534" s="1">
        <v>12314.05</v>
      </c>
      <c r="D534" s="2">
        <v>45161</v>
      </c>
      <c r="E534" s="3">
        <v>2312.1</v>
      </c>
      <c r="G534" s="3">
        <v>6452615</v>
      </c>
      <c r="H534" s="3">
        <f t="shared" si="24"/>
        <v>79457823740.75</v>
      </c>
      <c r="J534" s="3">
        <v>149645000</v>
      </c>
      <c r="K534" s="3">
        <f t="shared" si="25"/>
        <v>345994204500</v>
      </c>
      <c r="M534" s="4">
        <f t="shared" si="26"/>
        <v>0.77034926392603786</v>
      </c>
    </row>
    <row r="535" spans="1:13" x14ac:dyDescent="0.45">
      <c r="A535" s="2">
        <v>45160</v>
      </c>
      <c r="B535" s="1">
        <v>12117.4</v>
      </c>
      <c r="D535" s="2">
        <v>45160</v>
      </c>
      <c r="E535" s="3">
        <v>2300.6</v>
      </c>
      <c r="G535" s="3">
        <v>6452615</v>
      </c>
      <c r="H535" s="3">
        <f t="shared" si="24"/>
        <v>78188917001</v>
      </c>
      <c r="J535" s="3">
        <v>149645000</v>
      </c>
      <c r="K535" s="3">
        <f t="shared" si="25"/>
        <v>344273287000</v>
      </c>
      <c r="M535" s="4">
        <f t="shared" si="26"/>
        <v>0.77288706398820883</v>
      </c>
    </row>
    <row r="536" spans="1:13" x14ac:dyDescent="0.45">
      <c r="A536" s="2">
        <v>45159</v>
      </c>
      <c r="B536" s="1">
        <v>12147.9</v>
      </c>
      <c r="D536" s="2">
        <v>45159</v>
      </c>
      <c r="E536" s="3">
        <v>2301.3000000000002</v>
      </c>
      <c r="G536" s="3">
        <v>6452615</v>
      </c>
      <c r="H536" s="3">
        <f t="shared" si="24"/>
        <v>78385721758.5</v>
      </c>
      <c r="J536" s="3">
        <v>149645000</v>
      </c>
      <c r="K536" s="3">
        <f t="shared" si="25"/>
        <v>344378038500</v>
      </c>
      <c r="M536" s="4">
        <f t="shared" si="26"/>
        <v>0.77238466744301415</v>
      </c>
    </row>
    <row r="537" spans="1:13" x14ac:dyDescent="0.45">
      <c r="A537" s="2">
        <v>45156</v>
      </c>
      <c r="B537" s="1">
        <v>12192.95</v>
      </c>
      <c r="D537" s="2">
        <v>45156</v>
      </c>
      <c r="E537" s="3">
        <v>2275.75</v>
      </c>
      <c r="G537" s="3">
        <v>6452615</v>
      </c>
      <c r="H537" s="3">
        <f t="shared" si="24"/>
        <v>78676412064.25</v>
      </c>
      <c r="J537" s="3">
        <v>149645000</v>
      </c>
      <c r="K537" s="3">
        <f t="shared" si="25"/>
        <v>340554608750</v>
      </c>
      <c r="M537" s="4">
        <f t="shared" si="26"/>
        <v>0.76897563549930958</v>
      </c>
    </row>
    <row r="538" spans="1:13" x14ac:dyDescent="0.45">
      <c r="A538" s="2">
        <v>45155</v>
      </c>
      <c r="B538" s="1">
        <v>12200.45</v>
      </c>
      <c r="D538" s="2">
        <v>45155</v>
      </c>
      <c r="E538" s="3">
        <v>2294.5500000000002</v>
      </c>
      <c r="G538" s="3">
        <v>6452615</v>
      </c>
      <c r="H538" s="3">
        <f t="shared" si="24"/>
        <v>78724806676.75</v>
      </c>
      <c r="J538" s="3">
        <v>149645000</v>
      </c>
      <c r="K538" s="3">
        <f t="shared" si="25"/>
        <v>343367934750</v>
      </c>
      <c r="M538" s="4">
        <f t="shared" si="26"/>
        <v>0.77072755283900318</v>
      </c>
    </row>
    <row r="539" spans="1:13" x14ac:dyDescent="0.45">
      <c r="A539" s="2">
        <v>45154</v>
      </c>
      <c r="B539" s="1">
        <v>12294.7</v>
      </c>
      <c r="D539" s="2">
        <v>45154</v>
      </c>
      <c r="E539" s="3">
        <v>2300.9499999999998</v>
      </c>
      <c r="G539" s="3">
        <v>6452615</v>
      </c>
      <c r="H539" s="3">
        <f t="shared" si="24"/>
        <v>79332965640.5</v>
      </c>
      <c r="J539" s="3">
        <v>149645000</v>
      </c>
      <c r="K539" s="3">
        <f t="shared" si="25"/>
        <v>344325662750</v>
      </c>
      <c r="M539" s="4">
        <f t="shared" si="26"/>
        <v>0.7695990330581306</v>
      </c>
    </row>
    <row r="540" spans="1:13" x14ac:dyDescent="0.45">
      <c r="A540" s="2">
        <v>45152</v>
      </c>
      <c r="B540" s="1">
        <v>12194.05</v>
      </c>
      <c r="D540" s="2">
        <v>45152</v>
      </c>
      <c r="E540" s="3">
        <v>2292.25</v>
      </c>
      <c r="G540" s="3">
        <v>6452615</v>
      </c>
      <c r="H540" s="3">
        <f t="shared" si="24"/>
        <v>78683509940.75</v>
      </c>
      <c r="J540" s="3">
        <v>149645000</v>
      </c>
      <c r="K540" s="3">
        <f t="shared" si="25"/>
        <v>343023751250</v>
      </c>
      <c r="M540" s="4">
        <f t="shared" si="26"/>
        <v>0.7706178955421531</v>
      </c>
    </row>
    <row r="541" spans="1:13" x14ac:dyDescent="0.45">
      <c r="A541" s="2">
        <v>45149</v>
      </c>
      <c r="B541" s="1">
        <v>12201.7</v>
      </c>
      <c r="D541" s="2">
        <v>45149</v>
      </c>
      <c r="E541" s="3">
        <v>2297.8000000000002</v>
      </c>
      <c r="G541" s="3">
        <v>6452615</v>
      </c>
      <c r="H541" s="3">
        <f t="shared" si="24"/>
        <v>78732872445.5</v>
      </c>
      <c r="J541" s="3">
        <v>149645000</v>
      </c>
      <c r="K541" s="3">
        <f t="shared" si="25"/>
        <v>343854281000</v>
      </c>
      <c r="M541" s="4">
        <f t="shared" si="26"/>
        <v>0.77102837801952506</v>
      </c>
    </row>
    <row r="542" spans="1:13" x14ac:dyDescent="0.45">
      <c r="A542" s="2">
        <v>45148</v>
      </c>
      <c r="B542" s="1">
        <v>12225.15</v>
      </c>
      <c r="D542" s="2">
        <v>45148</v>
      </c>
      <c r="E542" s="3">
        <v>2293.0500000000002</v>
      </c>
      <c r="G542" s="3">
        <v>6452615</v>
      </c>
      <c r="H542" s="3">
        <f t="shared" si="24"/>
        <v>78884186267.25</v>
      </c>
      <c r="J542" s="3">
        <v>149645000</v>
      </c>
      <c r="K542" s="3">
        <f t="shared" si="25"/>
        <v>343143467250</v>
      </c>
      <c r="M542" s="4">
        <f t="shared" si="26"/>
        <v>0.77011310487872908</v>
      </c>
    </row>
    <row r="543" spans="1:13" x14ac:dyDescent="0.45">
      <c r="A543" s="2">
        <v>45147</v>
      </c>
      <c r="B543" s="1">
        <v>12123.05</v>
      </c>
      <c r="D543" s="2">
        <v>45147</v>
      </c>
      <c r="E543" s="3">
        <v>2298.6999999999998</v>
      </c>
      <c r="G543" s="3">
        <v>6452615</v>
      </c>
      <c r="H543" s="3">
        <f t="shared" si="24"/>
        <v>78225374275.75</v>
      </c>
      <c r="J543" s="3">
        <v>149645000</v>
      </c>
      <c r="K543" s="3">
        <f t="shared" si="25"/>
        <v>343988961500</v>
      </c>
      <c r="M543" s="4">
        <f t="shared" si="26"/>
        <v>0.77259335900012593</v>
      </c>
    </row>
    <row r="544" spans="1:13" x14ac:dyDescent="0.45">
      <c r="A544" s="2">
        <v>45146</v>
      </c>
      <c r="B544" s="1">
        <v>12027.85</v>
      </c>
      <c r="D544" s="2">
        <v>45146</v>
      </c>
      <c r="E544" s="3">
        <v>2277.15</v>
      </c>
      <c r="G544" s="3">
        <v>6452615</v>
      </c>
      <c r="H544" s="3">
        <f t="shared" si="24"/>
        <v>77611085327.75</v>
      </c>
      <c r="J544" s="3">
        <v>149645000</v>
      </c>
      <c r="K544" s="3">
        <f t="shared" si="25"/>
        <v>340764111750</v>
      </c>
      <c r="M544" s="4">
        <f t="shared" si="26"/>
        <v>0.77224395805891377</v>
      </c>
    </row>
    <row r="545" spans="1:13" x14ac:dyDescent="0.45">
      <c r="A545" s="2">
        <v>45145</v>
      </c>
      <c r="B545" s="1">
        <v>12091.7</v>
      </c>
      <c r="D545" s="2">
        <v>45145</v>
      </c>
      <c r="E545" s="3">
        <v>2284.4499999999998</v>
      </c>
      <c r="G545" s="3">
        <v>6452615</v>
      </c>
      <c r="H545" s="3">
        <f t="shared" si="24"/>
        <v>78023084795.5</v>
      </c>
      <c r="J545" s="3">
        <v>149645000</v>
      </c>
      <c r="K545" s="3">
        <f t="shared" si="25"/>
        <v>341856520250</v>
      </c>
      <c r="M545" s="4">
        <f t="shared" si="26"/>
        <v>0.77176657406317228</v>
      </c>
    </row>
    <row r="546" spans="1:13" x14ac:dyDescent="0.45">
      <c r="A546" s="2">
        <v>45142</v>
      </c>
      <c r="B546" s="1">
        <v>12201</v>
      </c>
      <c r="D546" s="2">
        <v>45142</v>
      </c>
      <c r="E546" s="3">
        <v>2266.5500000000002</v>
      </c>
      <c r="G546" s="3">
        <v>6452615</v>
      </c>
      <c r="H546" s="3">
        <f t="shared" si="24"/>
        <v>78728355615</v>
      </c>
      <c r="J546" s="3">
        <v>149645000</v>
      </c>
      <c r="K546" s="3">
        <f t="shared" si="25"/>
        <v>339177874750</v>
      </c>
      <c r="M546" s="4">
        <f t="shared" si="26"/>
        <v>0.76788475464966921</v>
      </c>
    </row>
    <row r="547" spans="1:13" x14ac:dyDescent="0.45">
      <c r="A547" s="2">
        <v>45141</v>
      </c>
      <c r="B547" s="1">
        <v>12228.85</v>
      </c>
      <c r="D547" s="2">
        <v>45141</v>
      </c>
      <c r="E547" s="3">
        <v>2262.1999999999998</v>
      </c>
      <c r="G547" s="3">
        <v>6452615</v>
      </c>
      <c r="H547" s="3">
        <f t="shared" si="24"/>
        <v>78908060942.75</v>
      </c>
      <c r="J547" s="3">
        <v>149645000</v>
      </c>
      <c r="K547" s="3">
        <f t="shared" si="25"/>
        <v>338526919000</v>
      </c>
      <c r="M547" s="4">
        <f t="shared" si="26"/>
        <v>0.76690757362562945</v>
      </c>
    </row>
    <row r="548" spans="1:13" x14ac:dyDescent="0.45">
      <c r="A548" s="2">
        <v>45140</v>
      </c>
      <c r="B548" s="1">
        <v>12274.65</v>
      </c>
      <c r="D548" s="2">
        <v>45140</v>
      </c>
      <c r="E548" s="3">
        <v>2265.1999999999998</v>
      </c>
      <c r="G548" s="3">
        <v>6452615</v>
      </c>
      <c r="H548" s="3">
        <f t="shared" si="24"/>
        <v>79203590709.75</v>
      </c>
      <c r="J548" s="3">
        <v>149645000</v>
      </c>
      <c r="K548" s="3">
        <f t="shared" si="25"/>
        <v>338975854000</v>
      </c>
      <c r="M548" s="4">
        <f t="shared" si="26"/>
        <v>0.76634444673528279</v>
      </c>
    </row>
    <row r="549" spans="1:13" x14ac:dyDescent="0.45">
      <c r="A549" s="2">
        <v>45139</v>
      </c>
      <c r="B549" s="1">
        <v>12350</v>
      </c>
      <c r="D549" s="2">
        <v>45139</v>
      </c>
      <c r="E549" s="3">
        <v>2251.4</v>
      </c>
      <c r="G549" s="3">
        <v>6452615</v>
      </c>
      <c r="H549" s="3">
        <f t="shared" si="24"/>
        <v>79689795250</v>
      </c>
      <c r="J549" s="3">
        <v>149645000</v>
      </c>
      <c r="K549" s="3">
        <f t="shared" si="25"/>
        <v>336910753000</v>
      </c>
      <c r="M549" s="4">
        <f t="shared" si="26"/>
        <v>0.76346912486346197</v>
      </c>
    </row>
    <row r="550" spans="1:13" x14ac:dyDescent="0.45">
      <c r="A550" s="2">
        <v>45138</v>
      </c>
      <c r="B550" s="1">
        <v>12287.9</v>
      </c>
      <c r="D550" s="2">
        <v>45138</v>
      </c>
      <c r="E550" s="3">
        <v>2169.65</v>
      </c>
      <c r="G550" s="3">
        <v>6452615</v>
      </c>
      <c r="H550" s="3">
        <f t="shared" si="24"/>
        <v>79289087858.5</v>
      </c>
      <c r="J550" s="3">
        <v>149645000</v>
      </c>
      <c r="K550" s="3">
        <f t="shared" si="25"/>
        <v>324677274250</v>
      </c>
      <c r="M550" s="4">
        <f t="shared" si="26"/>
        <v>0.75579107579470506</v>
      </c>
    </row>
    <row r="551" spans="1:13" x14ac:dyDescent="0.45">
      <c r="A551" s="2">
        <v>45135</v>
      </c>
      <c r="B551" s="1">
        <v>12252.75</v>
      </c>
      <c r="D551" s="2">
        <v>45135</v>
      </c>
      <c r="E551" s="3">
        <v>2169.75</v>
      </c>
      <c r="G551" s="3">
        <v>6452615</v>
      </c>
      <c r="H551" s="3">
        <f t="shared" si="24"/>
        <v>79062278441.25</v>
      </c>
      <c r="J551" s="3">
        <v>149645000</v>
      </c>
      <c r="K551" s="3">
        <f t="shared" si="25"/>
        <v>324692238750</v>
      </c>
      <c r="M551" s="4">
        <f t="shared" si="26"/>
        <v>0.75650086757347845</v>
      </c>
    </row>
    <row r="552" spans="1:13" x14ac:dyDescent="0.45">
      <c r="A552" s="2">
        <v>45134</v>
      </c>
      <c r="B552" s="1">
        <v>12296.25</v>
      </c>
      <c r="D552" s="2">
        <v>45134</v>
      </c>
      <c r="E552" s="3">
        <v>2162.3000000000002</v>
      </c>
      <c r="G552" s="3">
        <v>6452615</v>
      </c>
      <c r="H552" s="3">
        <f t="shared" si="24"/>
        <v>79342967193.75</v>
      </c>
      <c r="J552" s="3">
        <v>149645000</v>
      </c>
      <c r="K552" s="3">
        <f t="shared" si="25"/>
        <v>323577383500</v>
      </c>
      <c r="M552" s="4">
        <f t="shared" si="26"/>
        <v>0.75479445956472424</v>
      </c>
    </row>
    <row r="553" spans="1:13" x14ac:dyDescent="0.45">
      <c r="A553" s="2">
        <v>45133</v>
      </c>
      <c r="B553" s="1">
        <v>12349.7</v>
      </c>
      <c r="D553" s="2">
        <v>45133</v>
      </c>
      <c r="E553" s="3">
        <v>2145.0500000000002</v>
      </c>
      <c r="G553" s="3">
        <v>6452615</v>
      </c>
      <c r="H553" s="3">
        <f t="shared" si="24"/>
        <v>79687859465.5</v>
      </c>
      <c r="J553" s="3">
        <v>149645000</v>
      </c>
      <c r="K553" s="3">
        <f t="shared" si="25"/>
        <v>320996007250</v>
      </c>
      <c r="M553" s="4">
        <f t="shared" si="26"/>
        <v>0.75174812874405306</v>
      </c>
    </row>
    <row r="554" spans="1:13" x14ac:dyDescent="0.45">
      <c r="A554" s="2">
        <v>45132</v>
      </c>
      <c r="B554" s="1">
        <v>12257.95</v>
      </c>
      <c r="D554" s="2">
        <v>45132</v>
      </c>
      <c r="E554" s="3">
        <v>2163.1</v>
      </c>
      <c r="G554" s="3">
        <v>6452615</v>
      </c>
      <c r="H554" s="3">
        <f t="shared" si="24"/>
        <v>79095832039.25</v>
      </c>
      <c r="J554" s="3">
        <v>149645000</v>
      </c>
      <c r="K554" s="3">
        <f t="shared" si="25"/>
        <v>323697099500</v>
      </c>
      <c r="M554" s="4">
        <f t="shared" si="26"/>
        <v>0.75564862285937784</v>
      </c>
    </row>
    <row r="555" spans="1:13" x14ac:dyDescent="0.45">
      <c r="A555" s="2">
        <v>45131</v>
      </c>
      <c r="B555" s="1">
        <v>12284.15</v>
      </c>
      <c r="D555" s="2">
        <v>45131</v>
      </c>
      <c r="E555" s="3">
        <v>2144.1999999999998</v>
      </c>
      <c r="G555" s="3">
        <v>6452615</v>
      </c>
      <c r="H555" s="3">
        <f t="shared" si="24"/>
        <v>79264890552.25</v>
      </c>
      <c r="J555" s="3">
        <v>149645000</v>
      </c>
      <c r="K555" s="3">
        <f t="shared" si="25"/>
        <v>320868809000</v>
      </c>
      <c r="M555" s="4">
        <f t="shared" si="26"/>
        <v>0.75296791607983937</v>
      </c>
    </row>
    <row r="556" spans="1:13" x14ac:dyDescent="0.45">
      <c r="A556" s="2">
        <v>45128</v>
      </c>
      <c r="B556" s="1">
        <v>12362.5</v>
      </c>
      <c r="D556" s="2">
        <v>45128</v>
      </c>
      <c r="E556" s="3">
        <v>2214</v>
      </c>
      <c r="G556" s="3">
        <v>6452615</v>
      </c>
      <c r="H556" s="3">
        <f t="shared" si="24"/>
        <v>79770452937.5</v>
      </c>
      <c r="J556" s="3">
        <v>149645000</v>
      </c>
      <c r="K556" s="3">
        <f t="shared" si="25"/>
        <v>331314030000</v>
      </c>
      <c r="M556" s="4">
        <f t="shared" si="26"/>
        <v>0.75923007867339631</v>
      </c>
    </row>
    <row r="557" spans="1:13" x14ac:dyDescent="0.45">
      <c r="A557" s="2">
        <v>45127</v>
      </c>
      <c r="B557" s="1">
        <v>12348.9</v>
      </c>
      <c r="D557" s="2">
        <v>45127</v>
      </c>
      <c r="E557" s="3">
        <v>2242.1999999999998</v>
      </c>
      <c r="G557" s="3">
        <v>6452615</v>
      </c>
      <c r="H557" s="3">
        <f t="shared" si="24"/>
        <v>79682697373.5</v>
      </c>
      <c r="J557" s="3">
        <v>149645000</v>
      </c>
      <c r="K557" s="3">
        <f t="shared" si="25"/>
        <v>335534019000</v>
      </c>
      <c r="M557" s="4">
        <f t="shared" si="26"/>
        <v>0.76251976592126114</v>
      </c>
    </row>
    <row r="558" spans="1:13" x14ac:dyDescent="0.45">
      <c r="A558" s="2">
        <v>45126</v>
      </c>
      <c r="B558" s="1">
        <v>12455.05</v>
      </c>
      <c r="D558" s="2">
        <v>45126</v>
      </c>
      <c r="E558" s="3">
        <v>2243.3000000000002</v>
      </c>
      <c r="G558" s="3">
        <v>6452615</v>
      </c>
      <c r="H558" s="3">
        <f t="shared" si="24"/>
        <v>80367642455.75</v>
      </c>
      <c r="J558" s="3">
        <v>149645000</v>
      </c>
      <c r="K558" s="3">
        <f t="shared" si="25"/>
        <v>335698628500</v>
      </c>
      <c r="M558" s="4">
        <f t="shared" si="26"/>
        <v>0.76059585701956478</v>
      </c>
    </row>
    <row r="559" spans="1:13" x14ac:dyDescent="0.45">
      <c r="A559" s="2">
        <v>45125</v>
      </c>
      <c r="B559" s="1">
        <v>12280.7</v>
      </c>
      <c r="D559" s="2">
        <v>45125</v>
      </c>
      <c r="E559" s="3">
        <v>2225.75</v>
      </c>
      <c r="G559" s="3">
        <v>6452615</v>
      </c>
      <c r="H559" s="3">
        <f t="shared" si="24"/>
        <v>79242629030.5</v>
      </c>
      <c r="J559" s="3">
        <v>149645000</v>
      </c>
      <c r="K559" s="3">
        <f t="shared" si="25"/>
        <v>333072358750</v>
      </c>
      <c r="M559" s="4">
        <f t="shared" si="26"/>
        <v>0.76208584426551429</v>
      </c>
    </row>
    <row r="560" spans="1:13" x14ac:dyDescent="0.45">
      <c r="A560" s="2">
        <v>45124</v>
      </c>
      <c r="B560" s="1">
        <v>12300.05</v>
      </c>
      <c r="D560" s="2">
        <v>45124</v>
      </c>
      <c r="E560" s="3">
        <v>2239.6999999999998</v>
      </c>
      <c r="G560" s="3">
        <v>6452615</v>
      </c>
      <c r="H560" s="3">
        <f t="shared" si="24"/>
        <v>79367487130.75</v>
      </c>
      <c r="J560" s="3">
        <v>149645000</v>
      </c>
      <c r="K560" s="3">
        <f t="shared" si="25"/>
        <v>335159906500</v>
      </c>
      <c r="M560" s="4">
        <f t="shared" si="26"/>
        <v>0.76319516269243859</v>
      </c>
    </row>
    <row r="561" spans="1:13" x14ac:dyDescent="0.45">
      <c r="A561" s="2">
        <v>45121</v>
      </c>
      <c r="B561" s="1">
        <v>12279.35</v>
      </c>
      <c r="D561" s="2">
        <v>45121</v>
      </c>
      <c r="E561" s="3">
        <v>2187.15</v>
      </c>
      <c r="G561" s="3">
        <v>6452615</v>
      </c>
      <c r="H561" s="3">
        <f t="shared" si="24"/>
        <v>79233918000.25</v>
      </c>
      <c r="J561" s="3">
        <v>149645000</v>
      </c>
      <c r="K561" s="3">
        <f t="shared" si="25"/>
        <v>327296061750</v>
      </c>
      <c r="M561" s="4">
        <f t="shared" si="26"/>
        <v>0.7579136223741928</v>
      </c>
    </row>
    <row r="562" spans="1:13" x14ac:dyDescent="0.45">
      <c r="A562" s="2">
        <v>45120</v>
      </c>
      <c r="B562" s="1">
        <v>12273.8</v>
      </c>
      <c r="D562" s="2">
        <v>45120</v>
      </c>
      <c r="E562" s="3">
        <v>2173.8000000000002</v>
      </c>
      <c r="G562" s="3">
        <v>6452615</v>
      </c>
      <c r="H562" s="3">
        <f t="shared" si="24"/>
        <v>79198105987</v>
      </c>
      <c r="J562" s="3">
        <v>149645000</v>
      </c>
      <c r="K562" s="3">
        <f t="shared" si="25"/>
        <v>325298301000</v>
      </c>
      <c r="M562" s="4">
        <f t="shared" si="26"/>
        <v>0.75653698238344014</v>
      </c>
    </row>
    <row r="563" spans="1:13" x14ac:dyDescent="0.45">
      <c r="A563" s="2">
        <v>45119</v>
      </c>
      <c r="B563" s="1">
        <v>12311.3</v>
      </c>
      <c r="D563" s="2">
        <v>45119</v>
      </c>
      <c r="E563" s="3">
        <v>2210.8000000000002</v>
      </c>
      <c r="G563" s="3">
        <v>6452615</v>
      </c>
      <c r="H563" s="3">
        <f t="shared" si="24"/>
        <v>79440079049.5</v>
      </c>
      <c r="J563" s="3">
        <v>149645000</v>
      </c>
      <c r="K563" s="3">
        <f t="shared" si="25"/>
        <v>330835166000</v>
      </c>
      <c r="M563" s="4">
        <f t="shared" si="26"/>
        <v>0.75988018441334626</v>
      </c>
    </row>
    <row r="564" spans="1:13" x14ac:dyDescent="0.45">
      <c r="A564" s="2">
        <v>45118</v>
      </c>
      <c r="B564" s="1">
        <v>12313.9</v>
      </c>
      <c r="D564" s="2">
        <v>45118</v>
      </c>
      <c r="E564" s="3">
        <v>2175.1</v>
      </c>
      <c r="G564" s="3">
        <v>6452615</v>
      </c>
      <c r="H564" s="3">
        <f t="shared" si="24"/>
        <v>79456855848.5</v>
      </c>
      <c r="J564" s="3">
        <v>149645000</v>
      </c>
      <c r="K564" s="3">
        <f t="shared" si="25"/>
        <v>325492839500</v>
      </c>
      <c r="M564" s="4">
        <f t="shared" si="26"/>
        <v>0.75588754588102081</v>
      </c>
    </row>
    <row r="565" spans="1:13" x14ac:dyDescent="0.45">
      <c r="A565" s="2">
        <v>45117</v>
      </c>
      <c r="B565" s="1">
        <v>12266.7</v>
      </c>
      <c r="D565" s="2">
        <v>45117</v>
      </c>
      <c r="E565" s="3">
        <v>2188.6</v>
      </c>
      <c r="G565" s="3">
        <v>6452615</v>
      </c>
      <c r="H565" s="3">
        <f t="shared" si="24"/>
        <v>79152292420.5</v>
      </c>
      <c r="J565" s="3">
        <v>149645000</v>
      </c>
      <c r="K565" s="3">
        <f t="shared" si="25"/>
        <v>327513047000</v>
      </c>
      <c r="M565" s="4">
        <f t="shared" si="26"/>
        <v>0.75832323888916708</v>
      </c>
    </row>
    <row r="566" spans="1:13" x14ac:dyDescent="0.45">
      <c r="A566" s="2">
        <v>45114</v>
      </c>
      <c r="B566" s="1">
        <v>12583.3</v>
      </c>
      <c r="D566" s="2">
        <v>45114</v>
      </c>
      <c r="E566" s="3">
        <v>2223.65</v>
      </c>
      <c r="G566" s="3">
        <v>6452615</v>
      </c>
      <c r="H566" s="3">
        <f t="shared" si="24"/>
        <v>81195190329.5</v>
      </c>
      <c r="J566" s="3">
        <v>149645000</v>
      </c>
      <c r="K566" s="3">
        <f t="shared" si="25"/>
        <v>332758104250</v>
      </c>
      <c r="M566" s="4">
        <f t="shared" si="26"/>
        <v>0.75599334984641475</v>
      </c>
    </row>
    <row r="567" spans="1:13" x14ac:dyDescent="0.45">
      <c r="A567" s="2">
        <v>45113</v>
      </c>
      <c r="B567" s="1">
        <v>12438.95</v>
      </c>
      <c r="D567" s="2">
        <v>45113</v>
      </c>
      <c r="E567" s="3">
        <v>2277.4</v>
      </c>
      <c r="G567" s="3">
        <v>6452615</v>
      </c>
      <c r="H567" s="3">
        <f t="shared" si="24"/>
        <v>80263755354.25</v>
      </c>
      <c r="J567" s="3">
        <v>149645000</v>
      </c>
      <c r="K567" s="3">
        <f t="shared" si="25"/>
        <v>340801523000</v>
      </c>
      <c r="M567" s="4">
        <f t="shared" si="26"/>
        <v>0.7644853384230621</v>
      </c>
    </row>
    <row r="568" spans="1:13" x14ac:dyDescent="0.45">
      <c r="A568" s="2">
        <v>45112</v>
      </c>
      <c r="B568" s="1">
        <v>12505.1</v>
      </c>
      <c r="D568" s="2">
        <v>45112</v>
      </c>
      <c r="E568" s="3">
        <v>2224.0500000000002</v>
      </c>
      <c r="G568" s="3">
        <v>6452615</v>
      </c>
      <c r="H568" s="3">
        <f t="shared" si="24"/>
        <v>80690595836.5</v>
      </c>
      <c r="J568" s="3">
        <v>149645000</v>
      </c>
      <c r="K568" s="3">
        <f t="shared" si="25"/>
        <v>332817962250</v>
      </c>
      <c r="M568" s="4">
        <f t="shared" si="26"/>
        <v>0.75755336253189265</v>
      </c>
    </row>
    <row r="569" spans="1:13" x14ac:dyDescent="0.45">
      <c r="A569" s="2">
        <v>45111</v>
      </c>
      <c r="B569" s="1">
        <v>12603.8</v>
      </c>
      <c r="D569" s="2">
        <v>45111</v>
      </c>
      <c r="E569" s="3">
        <v>2274.3000000000002</v>
      </c>
      <c r="G569" s="3">
        <v>6452615</v>
      </c>
      <c r="H569" s="3">
        <f t="shared" si="24"/>
        <v>81327468937</v>
      </c>
      <c r="J569" s="3">
        <v>149645000</v>
      </c>
      <c r="K569" s="3">
        <f t="shared" si="25"/>
        <v>340337623500</v>
      </c>
      <c r="M569" s="4">
        <f t="shared" si="26"/>
        <v>0.76103885282903494</v>
      </c>
    </row>
    <row r="570" spans="1:13" x14ac:dyDescent="0.45">
      <c r="A570" s="2">
        <v>45110</v>
      </c>
      <c r="B570" s="1">
        <v>12531.15</v>
      </c>
      <c r="D570" s="2">
        <v>45110</v>
      </c>
      <c r="E570" s="3">
        <v>2274.25</v>
      </c>
      <c r="G570" s="3">
        <v>6452615</v>
      </c>
      <c r="H570" s="3">
        <f t="shared" si="24"/>
        <v>80858686457.25</v>
      </c>
      <c r="J570" s="3">
        <v>149645000</v>
      </c>
      <c r="K570" s="3">
        <f t="shared" si="25"/>
        <v>340330141250</v>
      </c>
      <c r="M570" s="4">
        <f t="shared" si="26"/>
        <v>0.76241103370902208</v>
      </c>
    </row>
    <row r="571" spans="1:13" x14ac:dyDescent="0.45">
      <c r="A571" s="2">
        <v>45107</v>
      </c>
      <c r="B571" s="1">
        <v>12770.1</v>
      </c>
      <c r="D571" s="2">
        <v>45107</v>
      </c>
      <c r="E571" s="3">
        <v>2290.25</v>
      </c>
      <c r="G571" s="3">
        <v>6452615</v>
      </c>
      <c r="H571" s="3">
        <f t="shared" si="24"/>
        <v>82400538811.5</v>
      </c>
      <c r="J571" s="3">
        <v>149645000</v>
      </c>
      <c r="K571" s="3">
        <f t="shared" si="25"/>
        <v>342724461250</v>
      </c>
      <c r="M571" s="4">
        <f t="shared" si="26"/>
        <v>0.75957205239752934</v>
      </c>
    </row>
    <row r="572" spans="1:13" x14ac:dyDescent="0.45">
      <c r="A572" s="2">
        <v>45105</v>
      </c>
      <c r="B572" s="1">
        <v>12507.8</v>
      </c>
      <c r="D572" s="2">
        <v>45105</v>
      </c>
      <c r="E572" s="3">
        <v>2306.0500000000002</v>
      </c>
      <c r="G572" s="3">
        <v>6452615</v>
      </c>
      <c r="H572" s="3">
        <f t="shared" si="24"/>
        <v>80708017897</v>
      </c>
      <c r="J572" s="3">
        <v>149645000</v>
      </c>
      <c r="K572" s="3">
        <f t="shared" si="25"/>
        <v>345088852250</v>
      </c>
      <c r="M572" s="4">
        <f t="shared" si="26"/>
        <v>0.76612394932267769</v>
      </c>
    </row>
    <row r="573" spans="1:13" x14ac:dyDescent="0.45">
      <c r="A573" s="2">
        <v>45104</v>
      </c>
      <c r="B573" s="1">
        <v>12289</v>
      </c>
      <c r="D573" s="2">
        <v>45104</v>
      </c>
      <c r="E573" s="3">
        <v>2307.75</v>
      </c>
      <c r="G573" s="3">
        <v>6452615</v>
      </c>
      <c r="H573" s="3">
        <f t="shared" si="24"/>
        <v>79296185735</v>
      </c>
      <c r="J573" s="3">
        <v>149645000</v>
      </c>
      <c r="K573" s="3">
        <f t="shared" si="25"/>
        <v>345343248750</v>
      </c>
      <c r="M573" s="4">
        <f t="shared" si="26"/>
        <v>0.77038443339483409</v>
      </c>
    </row>
    <row r="574" spans="1:13" x14ac:dyDescent="0.45">
      <c r="A574" s="2">
        <v>45103</v>
      </c>
      <c r="B574" s="1">
        <v>12254.05</v>
      </c>
      <c r="D574" s="2">
        <v>45103</v>
      </c>
      <c r="E574" s="3">
        <v>2336.25</v>
      </c>
      <c r="G574" s="3">
        <v>6452615</v>
      </c>
      <c r="H574" s="3">
        <f t="shared" si="24"/>
        <v>79070666840.75</v>
      </c>
      <c r="J574" s="3">
        <v>149645000</v>
      </c>
      <c r="K574" s="3">
        <f t="shared" si="25"/>
        <v>349608131250</v>
      </c>
      <c r="M574" s="4">
        <f t="shared" si="26"/>
        <v>0.77383058409414496</v>
      </c>
    </row>
    <row r="575" spans="1:13" x14ac:dyDescent="0.45">
      <c r="A575" s="2">
        <v>45100</v>
      </c>
      <c r="B575" s="1">
        <v>12227.05</v>
      </c>
      <c r="D575" s="2">
        <v>45100</v>
      </c>
      <c r="E575" s="3">
        <v>2316.3000000000002</v>
      </c>
      <c r="G575" s="3">
        <v>6452615</v>
      </c>
      <c r="H575" s="3">
        <f t="shared" si="24"/>
        <v>78896446235.75</v>
      </c>
      <c r="J575" s="3">
        <v>149645000</v>
      </c>
      <c r="K575" s="3">
        <f t="shared" si="25"/>
        <v>346622713500</v>
      </c>
      <c r="M575" s="4">
        <f t="shared" si="26"/>
        <v>0.77238523858088137</v>
      </c>
    </row>
    <row r="576" spans="1:13" x14ac:dyDescent="0.45">
      <c r="A576" s="2">
        <v>45099</v>
      </c>
      <c r="B576" s="1">
        <v>12250.45</v>
      </c>
      <c r="D576" s="2">
        <v>45099</v>
      </c>
      <c r="E576" s="3">
        <v>2362.65</v>
      </c>
      <c r="G576" s="3">
        <v>6452615</v>
      </c>
      <c r="H576" s="3">
        <f t="shared" si="24"/>
        <v>79047437426.75</v>
      </c>
      <c r="J576" s="3">
        <v>149645000</v>
      </c>
      <c r="K576" s="3">
        <f t="shared" si="25"/>
        <v>353558759250</v>
      </c>
      <c r="M576" s="4">
        <f t="shared" si="26"/>
        <v>0.77642347881740392</v>
      </c>
    </row>
    <row r="577" spans="1:13" x14ac:dyDescent="0.45">
      <c r="A577" s="2">
        <v>45098</v>
      </c>
      <c r="B577" s="1">
        <v>12366.7</v>
      </c>
      <c r="D577" s="2">
        <v>45098</v>
      </c>
      <c r="E577" s="3">
        <v>2389.25</v>
      </c>
      <c r="G577" s="3">
        <v>6452615</v>
      </c>
      <c r="H577" s="3">
        <f t="shared" si="24"/>
        <v>79797553920.5</v>
      </c>
      <c r="J577" s="3">
        <v>149645000</v>
      </c>
      <c r="K577" s="3">
        <f t="shared" si="25"/>
        <v>357539316250</v>
      </c>
      <c r="M577" s="4">
        <f t="shared" si="26"/>
        <v>0.77681460389462831</v>
      </c>
    </row>
    <row r="578" spans="1:13" x14ac:dyDescent="0.45">
      <c r="A578" s="2">
        <v>45097</v>
      </c>
      <c r="B578" s="1">
        <v>12306.6</v>
      </c>
      <c r="D578" s="2">
        <v>45097</v>
      </c>
      <c r="E578" s="3">
        <v>2406.35</v>
      </c>
      <c r="G578" s="3">
        <v>6452615</v>
      </c>
      <c r="H578" s="3">
        <f t="shared" si="24"/>
        <v>79409751759</v>
      </c>
      <c r="J578" s="3">
        <v>149645000</v>
      </c>
      <c r="K578" s="3">
        <f t="shared" si="25"/>
        <v>360098245750</v>
      </c>
      <c r="M578" s="4">
        <f t="shared" si="26"/>
        <v>0.77947753787689755</v>
      </c>
    </row>
    <row r="579" spans="1:13" x14ac:dyDescent="0.45">
      <c r="A579" s="2">
        <v>45096</v>
      </c>
      <c r="B579" s="1">
        <v>12301.95</v>
      </c>
      <c r="D579" s="2">
        <v>45096</v>
      </c>
      <c r="E579" s="3">
        <v>2404.6999999999998</v>
      </c>
      <c r="G579" s="3">
        <v>6452615</v>
      </c>
      <c r="H579" s="3">
        <f t="shared" si="24"/>
        <v>79379747099.25</v>
      </c>
      <c r="J579" s="3">
        <v>149645000</v>
      </c>
      <c r="K579" s="3">
        <f t="shared" si="25"/>
        <v>359851331500</v>
      </c>
      <c r="M579" s="4">
        <f t="shared" si="26"/>
        <v>0.77940960571588158</v>
      </c>
    </row>
    <row r="580" spans="1:13" x14ac:dyDescent="0.45">
      <c r="A580" s="2">
        <v>45093</v>
      </c>
      <c r="B580" s="1">
        <v>12499.7</v>
      </c>
      <c r="D580" s="2">
        <v>45093</v>
      </c>
      <c r="E580" s="3">
        <v>2396.8000000000002</v>
      </c>
      <c r="G580" s="3">
        <v>6452615</v>
      </c>
      <c r="H580" s="3">
        <f t="shared" ref="H580:H643" si="27">+G580*B580</f>
        <v>80655751715.5</v>
      </c>
      <c r="J580" s="3">
        <v>149645000</v>
      </c>
      <c r="K580" s="3">
        <f t="shared" ref="K580:K643" si="28">+J580*E580</f>
        <v>358669136000</v>
      </c>
      <c r="M580" s="4">
        <f t="shared" ref="M580:M643" si="29">1- (H580/K580)</f>
        <v>0.77512491703356379</v>
      </c>
    </row>
    <row r="581" spans="1:13" x14ac:dyDescent="0.45">
      <c r="A581" s="2">
        <v>45092</v>
      </c>
      <c r="B581" s="1">
        <v>12402.6</v>
      </c>
      <c r="D581" s="2">
        <v>45092</v>
      </c>
      <c r="E581" s="3">
        <v>2368.35</v>
      </c>
      <c r="G581" s="3">
        <v>6452615</v>
      </c>
      <c r="H581" s="3">
        <f t="shared" si="27"/>
        <v>80029202799</v>
      </c>
      <c r="J581" s="3">
        <v>149645000</v>
      </c>
      <c r="K581" s="3">
        <f t="shared" si="28"/>
        <v>354411735750</v>
      </c>
      <c r="M581" s="4">
        <f t="shared" si="29"/>
        <v>0.77419144253323446</v>
      </c>
    </row>
    <row r="582" spans="1:13" x14ac:dyDescent="0.45">
      <c r="A582" s="2">
        <v>45091</v>
      </c>
      <c r="B582" s="1">
        <v>12502.2</v>
      </c>
      <c r="D582" s="2">
        <v>45091</v>
      </c>
      <c r="E582" s="3">
        <v>2349.4</v>
      </c>
      <c r="G582" s="3">
        <v>6452615</v>
      </c>
      <c r="H582" s="3">
        <f t="shared" si="27"/>
        <v>80671883253</v>
      </c>
      <c r="J582" s="3">
        <v>149645000</v>
      </c>
      <c r="K582" s="3">
        <f t="shared" si="28"/>
        <v>351575963000</v>
      </c>
      <c r="M582" s="4">
        <f t="shared" si="29"/>
        <v>0.77054209689244313</v>
      </c>
    </row>
    <row r="583" spans="1:13" x14ac:dyDescent="0.45">
      <c r="A583" s="2">
        <v>45090</v>
      </c>
      <c r="B583" s="1">
        <v>12235.55</v>
      </c>
      <c r="D583" s="2">
        <v>45090</v>
      </c>
      <c r="E583" s="3">
        <v>2344.6</v>
      </c>
      <c r="G583" s="3">
        <v>6452615</v>
      </c>
      <c r="H583" s="3">
        <f t="shared" si="27"/>
        <v>78951293463.25</v>
      </c>
      <c r="J583" s="3">
        <v>149645000</v>
      </c>
      <c r="K583" s="3">
        <f t="shared" si="28"/>
        <v>350857667000</v>
      </c>
      <c r="M583" s="4">
        <f t="shared" si="29"/>
        <v>0.77497629127411938</v>
      </c>
    </row>
    <row r="584" spans="1:13" x14ac:dyDescent="0.45">
      <c r="A584" s="2">
        <v>45089</v>
      </c>
      <c r="B584" s="1">
        <v>12258.55</v>
      </c>
      <c r="D584" s="2">
        <v>45089</v>
      </c>
      <c r="E584" s="3">
        <v>2338.5</v>
      </c>
      <c r="G584" s="3">
        <v>6452615</v>
      </c>
      <c r="H584" s="3">
        <f t="shared" si="27"/>
        <v>79099703608.25</v>
      </c>
      <c r="J584" s="3">
        <v>149645000</v>
      </c>
      <c r="K584" s="3">
        <f t="shared" si="28"/>
        <v>349944832500</v>
      </c>
      <c r="M584" s="4">
        <f t="shared" si="29"/>
        <v>0.77396521890846892</v>
      </c>
    </row>
    <row r="585" spans="1:13" x14ac:dyDescent="0.45">
      <c r="A585" s="2">
        <v>45086</v>
      </c>
      <c r="B585" s="1">
        <v>12286.35</v>
      </c>
      <c r="D585" s="2">
        <v>45086</v>
      </c>
      <c r="E585" s="3">
        <v>2427.85</v>
      </c>
      <c r="G585" s="3">
        <v>6452615</v>
      </c>
      <c r="H585" s="3">
        <f t="shared" si="27"/>
        <v>79279086305.25</v>
      </c>
      <c r="J585" s="3">
        <v>149645000</v>
      </c>
      <c r="K585" s="3">
        <f t="shared" si="28"/>
        <v>363315613250</v>
      </c>
      <c r="M585" s="4">
        <f t="shared" si="29"/>
        <v>0.78179003760375831</v>
      </c>
    </row>
    <row r="586" spans="1:13" x14ac:dyDescent="0.45">
      <c r="A586" s="2">
        <v>45085</v>
      </c>
      <c r="B586" s="1">
        <v>12275.85</v>
      </c>
      <c r="D586" s="2">
        <v>45085</v>
      </c>
      <c r="E586" s="3">
        <v>2513.9</v>
      </c>
      <c r="G586" s="3">
        <v>6452615</v>
      </c>
      <c r="H586" s="3">
        <f t="shared" si="27"/>
        <v>79211333847.75</v>
      </c>
      <c r="J586" s="3">
        <v>149645000</v>
      </c>
      <c r="K586" s="3">
        <f t="shared" si="28"/>
        <v>376192565500</v>
      </c>
      <c r="M586" s="4">
        <f t="shared" si="29"/>
        <v>0.78943939590494117</v>
      </c>
    </row>
    <row r="587" spans="1:13" x14ac:dyDescent="0.45">
      <c r="A587" s="2">
        <v>45084</v>
      </c>
      <c r="B587" s="1">
        <v>12269.9</v>
      </c>
      <c r="D587" s="2">
        <v>45084</v>
      </c>
      <c r="E587" s="3">
        <v>2567</v>
      </c>
      <c r="G587" s="3">
        <v>6452615</v>
      </c>
      <c r="H587" s="3">
        <f t="shared" si="27"/>
        <v>79172940788.5</v>
      </c>
      <c r="J587" s="3">
        <v>149645000</v>
      </c>
      <c r="K587" s="3">
        <f t="shared" si="28"/>
        <v>384138715000</v>
      </c>
      <c r="M587" s="4">
        <f t="shared" si="29"/>
        <v>0.79389491947329494</v>
      </c>
    </row>
    <row r="588" spans="1:13" x14ac:dyDescent="0.45">
      <c r="A588" s="2">
        <v>45083</v>
      </c>
      <c r="B588" s="1">
        <v>12332.5</v>
      </c>
      <c r="D588" s="2">
        <v>45083</v>
      </c>
      <c r="E588" s="3">
        <v>2534.4499999999998</v>
      </c>
      <c r="G588" s="3">
        <v>6452615</v>
      </c>
      <c r="H588" s="3">
        <f t="shared" si="27"/>
        <v>79576874487.5</v>
      </c>
      <c r="J588" s="3">
        <v>149645000</v>
      </c>
      <c r="K588" s="3">
        <f t="shared" si="28"/>
        <v>379267770250</v>
      </c>
      <c r="M588" s="4">
        <f t="shared" si="29"/>
        <v>0.79018287149723876</v>
      </c>
    </row>
    <row r="589" spans="1:13" x14ac:dyDescent="0.45">
      <c r="A589" s="2">
        <v>45082</v>
      </c>
      <c r="B589" s="1">
        <v>12421.6</v>
      </c>
      <c r="D589" s="2">
        <v>45082</v>
      </c>
      <c r="E589" s="3">
        <v>2532.1999999999998</v>
      </c>
      <c r="G589" s="3">
        <v>6452615</v>
      </c>
      <c r="H589" s="3">
        <f t="shared" si="27"/>
        <v>80151802484</v>
      </c>
      <c r="J589" s="3">
        <v>149645000</v>
      </c>
      <c r="K589" s="3">
        <f t="shared" si="28"/>
        <v>378931069000</v>
      </c>
      <c r="M589" s="4">
        <f t="shared" si="29"/>
        <v>0.7884792009915661</v>
      </c>
    </row>
    <row r="590" spans="1:13" x14ac:dyDescent="0.45">
      <c r="A590" s="2">
        <v>45079</v>
      </c>
      <c r="B590" s="1">
        <v>12302.7</v>
      </c>
      <c r="D590" s="2">
        <v>45079</v>
      </c>
      <c r="E590" s="3">
        <v>2513.1999999999998</v>
      </c>
      <c r="G590" s="3">
        <v>6452615</v>
      </c>
      <c r="H590" s="3">
        <f t="shared" si="27"/>
        <v>79384586560.5</v>
      </c>
      <c r="J590" s="3">
        <v>149645000</v>
      </c>
      <c r="K590" s="3">
        <f t="shared" si="28"/>
        <v>376087814000</v>
      </c>
      <c r="M590" s="4">
        <f t="shared" si="29"/>
        <v>0.78892007769095118</v>
      </c>
    </row>
    <row r="591" spans="1:13" x14ac:dyDescent="0.45">
      <c r="A591" s="2">
        <v>45078</v>
      </c>
      <c r="B591" s="1">
        <v>12238.95</v>
      </c>
      <c r="D591" s="2">
        <v>45078</v>
      </c>
      <c r="E591" s="3">
        <v>2477.9</v>
      </c>
      <c r="G591" s="3">
        <v>6452615</v>
      </c>
      <c r="H591" s="3">
        <f t="shared" si="27"/>
        <v>78973232354.25</v>
      </c>
      <c r="J591" s="3">
        <v>149645000</v>
      </c>
      <c r="K591" s="3">
        <f t="shared" si="28"/>
        <v>370805345500</v>
      </c>
      <c r="M591" s="4">
        <f t="shared" si="29"/>
        <v>0.7870224005326536</v>
      </c>
    </row>
    <row r="592" spans="1:13" x14ac:dyDescent="0.45">
      <c r="A592" s="2">
        <v>45077</v>
      </c>
      <c r="B592" s="1">
        <v>12279.45</v>
      </c>
      <c r="D592" s="2">
        <v>45077</v>
      </c>
      <c r="E592" s="3">
        <v>2528.3000000000002</v>
      </c>
      <c r="G592" s="3">
        <v>6452615</v>
      </c>
      <c r="H592" s="3">
        <f t="shared" si="27"/>
        <v>79234563261.75</v>
      </c>
      <c r="J592" s="3">
        <v>149645000</v>
      </c>
      <c r="K592" s="3">
        <f t="shared" si="28"/>
        <v>378347453500</v>
      </c>
      <c r="M592" s="4">
        <f t="shared" si="29"/>
        <v>0.79057725239387666</v>
      </c>
    </row>
    <row r="593" spans="1:13" x14ac:dyDescent="0.45">
      <c r="A593" s="2">
        <v>45076</v>
      </c>
      <c r="B593" s="1">
        <v>12282</v>
      </c>
      <c r="D593" s="2">
        <v>45076</v>
      </c>
      <c r="E593" s="3">
        <v>2527.6</v>
      </c>
      <c r="G593" s="3">
        <v>6452615</v>
      </c>
      <c r="H593" s="3">
        <f t="shared" si="27"/>
        <v>79251017430</v>
      </c>
      <c r="J593" s="3">
        <v>149645000</v>
      </c>
      <c r="K593" s="3">
        <f t="shared" si="28"/>
        <v>378242702000</v>
      </c>
      <c r="M593" s="4">
        <f t="shared" si="29"/>
        <v>0.79047575270864046</v>
      </c>
    </row>
    <row r="594" spans="1:13" x14ac:dyDescent="0.45">
      <c r="A594" s="2">
        <v>45075</v>
      </c>
      <c r="B594" s="1">
        <v>12298.95</v>
      </c>
      <c r="D594" s="2">
        <v>45075</v>
      </c>
      <c r="E594" s="3">
        <v>2534.8000000000002</v>
      </c>
      <c r="G594" s="3">
        <v>6452615</v>
      </c>
      <c r="H594" s="3">
        <f t="shared" si="27"/>
        <v>79360389254.25</v>
      </c>
      <c r="J594" s="3">
        <v>149645000</v>
      </c>
      <c r="K594" s="3">
        <f t="shared" si="28"/>
        <v>379320146000</v>
      </c>
      <c r="M594" s="4">
        <f t="shared" si="29"/>
        <v>0.79078256166691974</v>
      </c>
    </row>
    <row r="595" spans="1:13" x14ac:dyDescent="0.45">
      <c r="A595" s="2">
        <v>45072</v>
      </c>
      <c r="B595" s="1">
        <v>12330.9</v>
      </c>
      <c r="D595" s="2">
        <v>45072</v>
      </c>
      <c r="E595" s="3">
        <v>2515.6999999999998</v>
      </c>
      <c r="G595" s="3">
        <v>6452615</v>
      </c>
      <c r="H595" s="3">
        <f t="shared" si="27"/>
        <v>79566550303.5</v>
      </c>
      <c r="J595" s="3">
        <v>149645000</v>
      </c>
      <c r="K595" s="3">
        <f t="shared" si="28"/>
        <v>376461926500</v>
      </c>
      <c r="M595" s="4">
        <f t="shared" si="29"/>
        <v>0.78864648799086456</v>
      </c>
    </row>
    <row r="596" spans="1:13" x14ac:dyDescent="0.45">
      <c r="A596" s="2">
        <v>45071</v>
      </c>
      <c r="B596" s="1">
        <v>12348.7</v>
      </c>
      <c r="D596" s="2">
        <v>45071</v>
      </c>
      <c r="E596" s="3">
        <v>2472.5500000000002</v>
      </c>
      <c r="G596" s="3">
        <v>6452615</v>
      </c>
      <c r="H596" s="3">
        <f t="shared" si="27"/>
        <v>79681406850.5</v>
      </c>
      <c r="J596" s="3">
        <v>149645000</v>
      </c>
      <c r="K596" s="3">
        <f t="shared" si="28"/>
        <v>370004744750</v>
      </c>
      <c r="M596" s="4">
        <f t="shared" si="29"/>
        <v>0.78464760795341126</v>
      </c>
    </row>
    <row r="597" spans="1:13" x14ac:dyDescent="0.45">
      <c r="A597" s="2">
        <v>45070</v>
      </c>
      <c r="B597" s="1">
        <v>12300.1</v>
      </c>
      <c r="D597" s="2">
        <v>45070</v>
      </c>
      <c r="E597" s="3">
        <v>2451.0500000000002</v>
      </c>
      <c r="G597" s="3">
        <v>6452615</v>
      </c>
      <c r="H597" s="3">
        <f t="shared" si="27"/>
        <v>79367809761.5</v>
      </c>
      <c r="J597" s="3">
        <v>149645000</v>
      </c>
      <c r="K597" s="3">
        <f t="shared" si="28"/>
        <v>366787377250</v>
      </c>
      <c r="M597" s="4">
        <f t="shared" si="29"/>
        <v>0.78361357373701712</v>
      </c>
    </row>
    <row r="598" spans="1:13" x14ac:dyDescent="0.45">
      <c r="A598" s="2">
        <v>45069</v>
      </c>
      <c r="B598" s="1">
        <v>12366.75</v>
      </c>
      <c r="D598" s="2">
        <v>45069</v>
      </c>
      <c r="E598" s="3">
        <v>2471.8000000000002</v>
      </c>
      <c r="G598" s="3">
        <v>6452615</v>
      </c>
      <c r="H598" s="3">
        <f t="shared" si="27"/>
        <v>79797876551.25</v>
      </c>
      <c r="J598" s="3">
        <v>149645000</v>
      </c>
      <c r="K598" s="3">
        <f t="shared" si="28"/>
        <v>369892511000</v>
      </c>
      <c r="M598" s="4">
        <f t="shared" si="29"/>
        <v>0.7842673907197597</v>
      </c>
    </row>
    <row r="599" spans="1:13" x14ac:dyDescent="0.45">
      <c r="A599" s="2">
        <v>45068</v>
      </c>
      <c r="B599" s="1">
        <v>12443.3</v>
      </c>
      <c r="D599" s="2">
        <v>45068</v>
      </c>
      <c r="E599" s="3">
        <v>2457.35</v>
      </c>
      <c r="G599" s="3">
        <v>6452615</v>
      </c>
      <c r="H599" s="3">
        <f t="shared" si="27"/>
        <v>80291824229.5</v>
      </c>
      <c r="J599" s="3">
        <v>149645000</v>
      </c>
      <c r="K599" s="3">
        <f t="shared" si="28"/>
        <v>367730140750</v>
      </c>
      <c r="M599" s="4">
        <f t="shared" si="29"/>
        <v>0.78165558018784731</v>
      </c>
    </row>
    <row r="600" spans="1:13" x14ac:dyDescent="0.45">
      <c r="A600" s="2">
        <v>45065</v>
      </c>
      <c r="B600" s="1">
        <v>12480.6</v>
      </c>
      <c r="D600" s="2">
        <v>45065</v>
      </c>
      <c r="E600" s="3">
        <v>2438.4499999999998</v>
      </c>
      <c r="G600" s="3">
        <v>6452615</v>
      </c>
      <c r="H600" s="3">
        <f t="shared" si="27"/>
        <v>80532506769</v>
      </c>
      <c r="J600" s="3">
        <v>149645000</v>
      </c>
      <c r="K600" s="3">
        <f t="shared" si="28"/>
        <v>364901850250</v>
      </c>
      <c r="M600" s="4">
        <f t="shared" si="29"/>
        <v>0.7793036491488714</v>
      </c>
    </row>
    <row r="601" spans="1:13" x14ac:dyDescent="0.45">
      <c r="A601" s="2">
        <v>45064</v>
      </c>
      <c r="B601" s="1">
        <v>12614.4</v>
      </c>
      <c r="D601" s="2">
        <v>45064</v>
      </c>
      <c r="E601" s="3">
        <v>2428.3000000000002</v>
      </c>
      <c r="G601" s="3">
        <v>6452615</v>
      </c>
      <c r="H601" s="3">
        <f t="shared" si="27"/>
        <v>81395866656</v>
      </c>
      <c r="J601" s="3">
        <v>149645000</v>
      </c>
      <c r="K601" s="3">
        <f t="shared" si="28"/>
        <v>363382953500</v>
      </c>
      <c r="M601" s="4">
        <f t="shared" si="29"/>
        <v>0.77600526972435424</v>
      </c>
    </row>
    <row r="602" spans="1:13" x14ac:dyDescent="0.45">
      <c r="A602" s="2">
        <v>45063</v>
      </c>
      <c r="B602" s="1">
        <v>12628.75</v>
      </c>
      <c r="D602" s="2">
        <v>45063</v>
      </c>
      <c r="E602" s="1">
        <v>2471.4</v>
      </c>
      <c r="G602" s="3">
        <v>6452615</v>
      </c>
      <c r="H602" s="3">
        <f t="shared" si="27"/>
        <v>81488461681.25</v>
      </c>
      <c r="J602" s="3">
        <v>149645000</v>
      </c>
      <c r="K602" s="3">
        <f t="shared" si="28"/>
        <v>369832653000</v>
      </c>
      <c r="M602" s="4">
        <f t="shared" si="29"/>
        <v>0.77966125754382753</v>
      </c>
    </row>
    <row r="603" spans="1:13" x14ac:dyDescent="0.45">
      <c r="A603" s="2">
        <v>45062</v>
      </c>
      <c r="B603" s="1">
        <v>12659.05</v>
      </c>
      <c r="D603" s="2">
        <v>45062</v>
      </c>
      <c r="E603" s="1">
        <v>2541.65</v>
      </c>
      <c r="G603" s="3">
        <v>6452615</v>
      </c>
      <c r="H603" s="3">
        <f t="shared" si="27"/>
        <v>81683975915.75</v>
      </c>
      <c r="J603" s="3">
        <v>149645000</v>
      </c>
      <c r="K603" s="3">
        <f t="shared" si="28"/>
        <v>380345214250</v>
      </c>
      <c r="M603" s="4">
        <f t="shared" si="29"/>
        <v>0.78523727168009183</v>
      </c>
    </row>
    <row r="604" spans="1:13" x14ac:dyDescent="0.45">
      <c r="A604" s="2">
        <v>45061</v>
      </c>
      <c r="B604" s="1">
        <v>12621.85</v>
      </c>
      <c r="D604" s="2">
        <v>45061</v>
      </c>
      <c r="E604" s="1">
        <v>2531.15</v>
      </c>
      <c r="G604" s="3">
        <v>6452615</v>
      </c>
      <c r="H604" s="3">
        <f t="shared" si="27"/>
        <v>81443938637.75</v>
      </c>
      <c r="J604" s="3">
        <v>149645000</v>
      </c>
      <c r="K604" s="3">
        <f t="shared" si="28"/>
        <v>378773941750</v>
      </c>
      <c r="M604" s="4">
        <f t="shared" si="29"/>
        <v>0.78498009060109797</v>
      </c>
    </row>
    <row r="605" spans="1:13" x14ac:dyDescent="0.45">
      <c r="A605" s="2">
        <v>45058</v>
      </c>
      <c r="B605" s="1">
        <v>12589.3</v>
      </c>
      <c r="D605" s="2">
        <v>45058</v>
      </c>
      <c r="E605" s="3">
        <v>2552.1</v>
      </c>
      <c r="G605" s="3">
        <v>6452615</v>
      </c>
      <c r="H605" s="3">
        <f t="shared" si="27"/>
        <v>81233906019.5</v>
      </c>
      <c r="J605" s="3">
        <v>149645000</v>
      </c>
      <c r="K605" s="3">
        <f t="shared" si="28"/>
        <v>381909004500</v>
      </c>
      <c r="M605" s="4">
        <f t="shared" si="29"/>
        <v>0.78729512773375832</v>
      </c>
    </row>
    <row r="606" spans="1:13" x14ac:dyDescent="0.45">
      <c r="A606" s="2">
        <v>45057</v>
      </c>
      <c r="B606" s="1">
        <v>12614.75</v>
      </c>
      <c r="D606" s="2">
        <v>45057</v>
      </c>
      <c r="E606" s="1">
        <v>2560.25</v>
      </c>
      <c r="G606" s="3">
        <v>6452615</v>
      </c>
      <c r="H606" s="3">
        <f t="shared" si="27"/>
        <v>81398125071.25</v>
      </c>
      <c r="J606" s="3">
        <v>149645000</v>
      </c>
      <c r="K606" s="3">
        <f t="shared" si="28"/>
        <v>383128611250</v>
      </c>
      <c r="M606" s="4">
        <f t="shared" si="29"/>
        <v>0.78754360107515986</v>
      </c>
    </row>
    <row r="607" spans="1:13" x14ac:dyDescent="0.45">
      <c r="A607" s="2">
        <v>45056</v>
      </c>
      <c r="B607" s="1">
        <v>12539.4</v>
      </c>
      <c r="D607" s="2">
        <v>45056</v>
      </c>
      <c r="E607" s="1">
        <v>2571.6999999999998</v>
      </c>
      <c r="G607" s="3">
        <v>6452615</v>
      </c>
      <c r="H607" s="3">
        <f t="shared" si="27"/>
        <v>80911920531</v>
      </c>
      <c r="J607" s="3">
        <v>149645000</v>
      </c>
      <c r="K607" s="3">
        <f t="shared" si="28"/>
        <v>384842046500</v>
      </c>
      <c r="M607" s="4">
        <f t="shared" si="29"/>
        <v>0.78975290962392286</v>
      </c>
    </row>
    <row r="608" spans="1:13" x14ac:dyDescent="0.45">
      <c r="A608" s="2">
        <v>45055</v>
      </c>
      <c r="B608" s="1">
        <v>12566.15</v>
      </c>
      <c r="D608" s="2">
        <v>45055</v>
      </c>
      <c r="E608" s="1">
        <v>2587.4</v>
      </c>
      <c r="G608" s="3">
        <v>6452615</v>
      </c>
      <c r="H608" s="3">
        <f t="shared" si="27"/>
        <v>81084527982.25</v>
      </c>
      <c r="J608" s="3">
        <v>149645000</v>
      </c>
      <c r="K608" s="3">
        <f t="shared" si="28"/>
        <v>387191473000</v>
      </c>
      <c r="M608" s="4">
        <f t="shared" si="29"/>
        <v>0.7905828675564609</v>
      </c>
    </row>
    <row r="609" spans="1:13" x14ac:dyDescent="0.45">
      <c r="A609" s="2">
        <v>45054</v>
      </c>
      <c r="B609" s="1">
        <v>12487.65</v>
      </c>
      <c r="D609" s="2">
        <v>45054</v>
      </c>
      <c r="E609" s="1">
        <v>2545.25</v>
      </c>
      <c r="G609" s="3">
        <v>6452615</v>
      </c>
      <c r="H609" s="3">
        <f t="shared" si="27"/>
        <v>80577997704.75</v>
      </c>
      <c r="J609" s="3">
        <v>149645000</v>
      </c>
      <c r="K609" s="3">
        <f t="shared" si="28"/>
        <v>380883936250</v>
      </c>
      <c r="M609" s="4">
        <f t="shared" si="29"/>
        <v>0.78844474645457041</v>
      </c>
    </row>
    <row r="610" spans="1:13" x14ac:dyDescent="0.45">
      <c r="A610" s="2">
        <v>45051</v>
      </c>
      <c r="B610" s="1">
        <v>12417.5</v>
      </c>
      <c r="D610" s="2">
        <v>45051</v>
      </c>
      <c r="E610" s="1">
        <v>2529.0500000000002</v>
      </c>
      <c r="G610" s="3">
        <v>6452615</v>
      </c>
      <c r="H610" s="3">
        <f t="shared" si="27"/>
        <v>80125346762.5</v>
      </c>
      <c r="J610" s="3">
        <v>149645000</v>
      </c>
      <c r="K610" s="3">
        <f t="shared" si="28"/>
        <v>378459687250</v>
      </c>
      <c r="M610" s="4">
        <f t="shared" si="29"/>
        <v>0.7882856498013977</v>
      </c>
    </row>
    <row r="611" spans="1:13" x14ac:dyDescent="0.45">
      <c r="A611" s="2">
        <v>45050</v>
      </c>
      <c r="B611" s="1">
        <v>12631.5</v>
      </c>
      <c r="D611" s="2">
        <v>45050</v>
      </c>
      <c r="E611" s="1">
        <v>2551.4</v>
      </c>
      <c r="G611" s="3">
        <v>6452615</v>
      </c>
      <c r="H611" s="3">
        <f t="shared" si="27"/>
        <v>81506206372.5</v>
      </c>
      <c r="J611" s="3">
        <v>149645000</v>
      </c>
      <c r="K611" s="3">
        <f t="shared" si="28"/>
        <v>381804253000</v>
      </c>
      <c r="M611" s="4">
        <f t="shared" si="29"/>
        <v>0.78652357659174632</v>
      </c>
    </row>
    <row r="612" spans="1:13" x14ac:dyDescent="0.45">
      <c r="A612" s="2">
        <v>45049</v>
      </c>
      <c r="B612" s="1">
        <v>12461.65</v>
      </c>
      <c r="D612" s="2">
        <v>45049</v>
      </c>
      <c r="E612" s="1">
        <v>2568.4499999999998</v>
      </c>
      <c r="G612" s="3">
        <v>6452615</v>
      </c>
      <c r="H612" s="3">
        <f t="shared" si="27"/>
        <v>80410229714.75</v>
      </c>
      <c r="J612" s="3">
        <v>149645000</v>
      </c>
      <c r="K612" s="3">
        <f t="shared" si="28"/>
        <v>384355700250</v>
      </c>
      <c r="M612" s="4">
        <f t="shared" si="29"/>
        <v>0.790792149921419</v>
      </c>
    </row>
    <row r="613" spans="1:13" x14ac:dyDescent="0.45">
      <c r="A613" s="2">
        <v>45048</v>
      </c>
      <c r="B613" s="1">
        <v>12598.75</v>
      </c>
      <c r="D613" s="2">
        <v>45048</v>
      </c>
      <c r="E613" s="1">
        <v>2550.8000000000002</v>
      </c>
      <c r="G613" s="3">
        <v>6452615</v>
      </c>
      <c r="H613" s="3">
        <f t="shared" si="27"/>
        <v>81294883231.25</v>
      </c>
      <c r="J613" s="3">
        <v>149645000</v>
      </c>
      <c r="K613" s="3">
        <f t="shared" si="28"/>
        <v>381714466000</v>
      </c>
      <c r="M613" s="4">
        <f t="shared" si="29"/>
        <v>0.78702697835074975</v>
      </c>
    </row>
    <row r="614" spans="1:13" x14ac:dyDescent="0.45">
      <c r="A614" s="2">
        <v>45044</v>
      </c>
      <c r="B614" s="1">
        <v>12458.7</v>
      </c>
      <c r="D614" s="2">
        <v>45044</v>
      </c>
      <c r="E614" s="1">
        <v>2539.8000000000002</v>
      </c>
      <c r="G614" s="3">
        <v>6452615</v>
      </c>
      <c r="H614" s="3">
        <f t="shared" si="27"/>
        <v>80391194500.5</v>
      </c>
      <c r="J614" s="3">
        <v>149645000</v>
      </c>
      <c r="K614" s="3">
        <f t="shared" si="28"/>
        <v>380068371000</v>
      </c>
      <c r="M614" s="4">
        <f t="shared" si="29"/>
        <v>0.78848228204577431</v>
      </c>
    </row>
    <row r="615" spans="1:13" x14ac:dyDescent="0.45">
      <c r="A615" s="2">
        <v>45043</v>
      </c>
      <c r="B615" s="1">
        <v>12300.4</v>
      </c>
      <c r="D615" s="2">
        <v>45043</v>
      </c>
      <c r="E615" s="1">
        <v>2495.3000000000002</v>
      </c>
      <c r="G615" s="3">
        <v>6452615</v>
      </c>
      <c r="H615" s="3">
        <f t="shared" si="27"/>
        <v>79369745546</v>
      </c>
      <c r="J615" s="3">
        <v>149645000</v>
      </c>
      <c r="K615" s="3">
        <f t="shared" si="28"/>
        <v>373409168500</v>
      </c>
      <c r="M615" s="4">
        <f t="shared" si="29"/>
        <v>0.78744564343497103</v>
      </c>
    </row>
    <row r="616" spans="1:13" x14ac:dyDescent="0.45">
      <c r="A616" s="2">
        <v>45042</v>
      </c>
      <c r="B616" s="1">
        <v>12392.3</v>
      </c>
      <c r="D616" s="2">
        <v>45042</v>
      </c>
      <c r="E616" s="1">
        <v>2496.3000000000002</v>
      </c>
      <c r="G616" s="3">
        <v>6452615</v>
      </c>
      <c r="H616" s="3">
        <f t="shared" si="27"/>
        <v>79962740864.5</v>
      </c>
      <c r="J616" s="3">
        <v>149645000</v>
      </c>
      <c r="K616" s="3">
        <f t="shared" si="28"/>
        <v>373558813500</v>
      </c>
      <c r="M616" s="4">
        <f t="shared" si="29"/>
        <v>0.78594336962551681</v>
      </c>
    </row>
    <row r="617" spans="1:13" x14ac:dyDescent="0.45">
      <c r="A617" s="2">
        <v>45041</v>
      </c>
      <c r="B617" s="1">
        <v>12300.85</v>
      </c>
      <c r="D617" s="2">
        <v>45041</v>
      </c>
      <c r="E617" s="1">
        <v>2491.6999999999998</v>
      </c>
      <c r="G617" s="3">
        <v>6452615</v>
      </c>
      <c r="H617" s="3">
        <f t="shared" si="27"/>
        <v>79372649222.75</v>
      </c>
      <c r="J617" s="3">
        <v>149645000</v>
      </c>
      <c r="K617" s="3">
        <f t="shared" si="28"/>
        <v>372870446500</v>
      </c>
      <c r="M617" s="4">
        <f t="shared" si="29"/>
        <v>0.78713075823575629</v>
      </c>
    </row>
    <row r="618" spans="1:13" x14ac:dyDescent="0.45">
      <c r="A618" s="2">
        <v>45040</v>
      </c>
      <c r="B618" s="1">
        <v>12383.7</v>
      </c>
      <c r="D618" s="2">
        <v>45040</v>
      </c>
      <c r="E618" s="1">
        <v>2497.4</v>
      </c>
      <c r="G618" s="3">
        <v>6452615</v>
      </c>
      <c r="H618" s="3">
        <f t="shared" si="27"/>
        <v>79907248375.5</v>
      </c>
      <c r="J618" s="3">
        <v>149645000</v>
      </c>
      <c r="K618" s="3">
        <f t="shared" si="28"/>
        <v>373723423000</v>
      </c>
      <c r="M618" s="4">
        <f t="shared" si="29"/>
        <v>0.78618613804278459</v>
      </c>
    </row>
    <row r="619" spans="1:13" x14ac:dyDescent="0.45">
      <c r="A619" s="2">
        <v>45037</v>
      </c>
      <c r="B619" s="1">
        <v>12274.95</v>
      </c>
      <c r="D619" s="2">
        <v>45037</v>
      </c>
      <c r="E619" s="1">
        <v>2475.1999999999998</v>
      </c>
      <c r="G619" s="3">
        <v>6452615</v>
      </c>
      <c r="H619" s="3">
        <f t="shared" si="27"/>
        <v>79205526494.25</v>
      </c>
      <c r="J619" s="3">
        <v>149645000</v>
      </c>
      <c r="K619" s="3">
        <f t="shared" si="28"/>
        <v>370401304000</v>
      </c>
      <c r="M619" s="4">
        <f t="shared" si="29"/>
        <v>0.78616293830798711</v>
      </c>
    </row>
    <row r="620" spans="1:13" x14ac:dyDescent="0.45">
      <c r="A620" s="2">
        <v>45036</v>
      </c>
      <c r="B620" s="1">
        <v>12407.95</v>
      </c>
      <c r="D620" s="2">
        <v>45036</v>
      </c>
      <c r="E620" s="1">
        <v>2472.3000000000002</v>
      </c>
      <c r="G620" s="3">
        <v>6452615</v>
      </c>
      <c r="H620" s="3">
        <f t="shared" si="27"/>
        <v>80063724289.25</v>
      </c>
      <c r="J620" s="3">
        <v>149645000</v>
      </c>
      <c r="K620" s="3">
        <f t="shared" si="28"/>
        <v>369967333500</v>
      </c>
      <c r="M620" s="4">
        <f t="shared" si="29"/>
        <v>0.78359244982030285</v>
      </c>
    </row>
    <row r="621" spans="1:13" x14ac:dyDescent="0.45">
      <c r="A621" s="2">
        <v>45035</v>
      </c>
      <c r="B621" s="1">
        <v>12571.85</v>
      </c>
      <c r="D621" s="2">
        <v>45035</v>
      </c>
      <c r="E621" s="1">
        <v>2470.9</v>
      </c>
      <c r="G621" s="3">
        <v>6452615</v>
      </c>
      <c r="H621" s="3">
        <f t="shared" si="27"/>
        <v>81121307887.75</v>
      </c>
      <c r="J621" s="3">
        <v>149645000</v>
      </c>
      <c r="K621" s="3">
        <f t="shared" si="28"/>
        <v>369757830500</v>
      </c>
      <c r="M621" s="4">
        <f t="shared" si="29"/>
        <v>0.78060962825843383</v>
      </c>
    </row>
    <row r="622" spans="1:13" x14ac:dyDescent="0.45">
      <c r="A622" s="2">
        <v>45034</v>
      </c>
      <c r="B622" s="1">
        <v>12407.25</v>
      </c>
      <c r="D622" s="2">
        <v>45034</v>
      </c>
      <c r="E622" s="1">
        <v>2484.0500000000002</v>
      </c>
      <c r="G622" s="3">
        <v>6452615</v>
      </c>
      <c r="H622" s="3">
        <f t="shared" si="27"/>
        <v>80059207458.75</v>
      </c>
      <c r="J622" s="3">
        <v>149645000</v>
      </c>
      <c r="K622" s="3">
        <f t="shared" si="28"/>
        <v>371725662250</v>
      </c>
      <c r="M622" s="4">
        <f t="shared" si="29"/>
        <v>0.78462824714827717</v>
      </c>
    </row>
    <row r="623" spans="1:13" x14ac:dyDescent="0.45">
      <c r="A623" s="2">
        <v>45033</v>
      </c>
      <c r="B623" s="1">
        <v>12348.45</v>
      </c>
      <c r="D623" s="2">
        <v>45033</v>
      </c>
      <c r="E623" s="1">
        <v>2461.3000000000002</v>
      </c>
      <c r="G623" s="3">
        <v>6452615</v>
      </c>
      <c r="H623" s="3">
        <f t="shared" si="27"/>
        <v>79679793696.75</v>
      </c>
      <c r="J623" s="3">
        <v>149645000</v>
      </c>
      <c r="K623" s="3">
        <f t="shared" si="28"/>
        <v>368321238500</v>
      </c>
      <c r="M623" s="4">
        <f t="shared" si="29"/>
        <v>0.78366766461459436</v>
      </c>
    </row>
    <row r="624" spans="1:13" x14ac:dyDescent="0.45">
      <c r="A624" s="2">
        <v>45029</v>
      </c>
      <c r="B624" s="1">
        <v>12247.95</v>
      </c>
      <c r="D624" s="2">
        <v>45029</v>
      </c>
      <c r="E624" s="1">
        <v>2438.9</v>
      </c>
      <c r="G624" s="3">
        <v>6452615</v>
      </c>
      <c r="H624" s="3">
        <f t="shared" si="27"/>
        <v>79031305889.25</v>
      </c>
      <c r="J624" s="3">
        <v>149645000</v>
      </c>
      <c r="K624" s="3">
        <f t="shared" si="28"/>
        <v>364969190500</v>
      </c>
      <c r="M624" s="4">
        <f t="shared" si="29"/>
        <v>0.78345759602069753</v>
      </c>
    </row>
    <row r="625" spans="1:13" x14ac:dyDescent="0.45">
      <c r="A625" s="2">
        <v>45028</v>
      </c>
      <c r="B625" s="1">
        <v>12269.35</v>
      </c>
      <c r="D625" s="2">
        <v>45028</v>
      </c>
      <c r="E625" s="1">
        <v>2424.75</v>
      </c>
      <c r="G625" s="3">
        <v>6452615</v>
      </c>
      <c r="H625" s="3">
        <f t="shared" si="27"/>
        <v>79169391850.25</v>
      </c>
      <c r="J625" s="3">
        <v>149645000</v>
      </c>
      <c r="K625" s="3">
        <f t="shared" si="28"/>
        <v>362851713750</v>
      </c>
      <c r="M625" s="4">
        <f t="shared" si="29"/>
        <v>0.78181337210164958</v>
      </c>
    </row>
    <row r="626" spans="1:13" x14ac:dyDescent="0.45">
      <c r="A626" s="2">
        <v>45027</v>
      </c>
      <c r="B626" s="1">
        <v>12159.45</v>
      </c>
      <c r="D626" s="2">
        <v>45027</v>
      </c>
      <c r="E626" s="1">
        <v>2398.25</v>
      </c>
      <c r="G626" s="3">
        <v>6452615</v>
      </c>
      <c r="H626" s="3">
        <f t="shared" si="27"/>
        <v>78460249461.75</v>
      </c>
      <c r="J626" s="3">
        <v>149645000</v>
      </c>
      <c r="K626" s="3">
        <f t="shared" si="28"/>
        <v>358886121250</v>
      </c>
      <c r="M626" s="4">
        <f t="shared" si="29"/>
        <v>0.78137842391766776</v>
      </c>
    </row>
    <row r="627" spans="1:13" x14ac:dyDescent="0.45">
      <c r="A627" s="2">
        <v>45026</v>
      </c>
      <c r="B627" s="1">
        <v>12218.05</v>
      </c>
      <c r="D627" s="2">
        <v>45026</v>
      </c>
      <c r="E627" s="1">
        <v>2392.85</v>
      </c>
      <c r="G627" s="3">
        <v>6452615</v>
      </c>
      <c r="H627" s="3">
        <f t="shared" si="27"/>
        <v>78838372700.75</v>
      </c>
      <c r="J627" s="3">
        <v>149645000</v>
      </c>
      <c r="K627" s="3">
        <f t="shared" si="28"/>
        <v>358078038250</v>
      </c>
      <c r="M627" s="4">
        <f t="shared" si="29"/>
        <v>0.77982907556674208</v>
      </c>
    </row>
    <row r="628" spans="1:13" x14ac:dyDescent="0.45">
      <c r="A628" s="2">
        <v>45022</v>
      </c>
      <c r="B628" s="1">
        <v>12196.9</v>
      </c>
      <c r="D628" s="2">
        <v>45022</v>
      </c>
      <c r="E628" s="1">
        <v>2369</v>
      </c>
      <c r="G628" s="3">
        <v>6452615</v>
      </c>
      <c r="H628" s="3">
        <f t="shared" si="27"/>
        <v>78701899893.5</v>
      </c>
      <c r="J628" s="3">
        <v>149645000</v>
      </c>
      <c r="K628" s="3">
        <f t="shared" si="28"/>
        <v>354509005000</v>
      </c>
      <c r="M628" s="4">
        <f t="shared" si="29"/>
        <v>0.77799745906736562</v>
      </c>
    </row>
    <row r="629" spans="1:13" x14ac:dyDescent="0.45">
      <c r="A629" s="2">
        <v>45021</v>
      </c>
      <c r="B629" s="1">
        <v>12459.25</v>
      </c>
      <c r="D629" s="2">
        <v>45021</v>
      </c>
      <c r="E629" s="1">
        <v>2374.85</v>
      </c>
      <c r="G629" s="3">
        <v>6452615</v>
      </c>
      <c r="H629" s="3">
        <f t="shared" si="27"/>
        <v>80394743438.75</v>
      </c>
      <c r="J629" s="3">
        <v>149645000</v>
      </c>
      <c r="K629" s="3">
        <f t="shared" si="28"/>
        <v>355384428250</v>
      </c>
      <c r="M629" s="4">
        <f t="shared" si="29"/>
        <v>0.77378090583587633</v>
      </c>
    </row>
    <row r="630" spans="1:13" x14ac:dyDescent="0.45">
      <c r="A630" s="2">
        <v>45019</v>
      </c>
      <c r="B630" s="1">
        <v>12478.9</v>
      </c>
      <c r="D630" s="2">
        <v>45019</v>
      </c>
      <c r="E630" s="1">
        <v>2362.9499999999998</v>
      </c>
      <c r="G630" s="3">
        <v>6452615</v>
      </c>
      <c r="H630" s="3">
        <f t="shared" si="27"/>
        <v>80521537323.5</v>
      </c>
      <c r="J630" s="3">
        <v>149645000</v>
      </c>
      <c r="K630" s="3">
        <f t="shared" si="28"/>
        <v>353603652750</v>
      </c>
      <c r="M630" s="4">
        <f t="shared" si="29"/>
        <v>0.77228307259475848</v>
      </c>
    </row>
    <row r="631" spans="1:13" x14ac:dyDescent="0.45">
      <c r="A631" s="2">
        <v>45016</v>
      </c>
      <c r="B631" s="1">
        <v>12554.55</v>
      </c>
      <c r="D631" s="2">
        <v>45016</v>
      </c>
      <c r="E631" s="1">
        <v>2406.1999999999998</v>
      </c>
      <c r="G631" s="3">
        <v>6452615</v>
      </c>
      <c r="H631" s="3">
        <f t="shared" si="27"/>
        <v>81009677648.25</v>
      </c>
      <c r="J631" s="3">
        <v>149645000</v>
      </c>
      <c r="K631" s="3">
        <f t="shared" si="28"/>
        <v>360075799000</v>
      </c>
      <c r="M631" s="4">
        <f t="shared" si="29"/>
        <v>0.77502048770500687</v>
      </c>
    </row>
    <row r="632" spans="1:13" x14ac:dyDescent="0.45">
      <c r="A632" s="2">
        <v>45014</v>
      </c>
      <c r="B632" s="1">
        <v>11812.45</v>
      </c>
      <c r="D632" s="2">
        <v>45014</v>
      </c>
      <c r="E632" s="1">
        <v>2398.8000000000002</v>
      </c>
      <c r="G632" s="3">
        <v>6452615</v>
      </c>
      <c r="H632" s="3">
        <f t="shared" si="27"/>
        <v>76221192056.75</v>
      </c>
      <c r="J632" s="3">
        <v>149645000</v>
      </c>
      <c r="K632" s="3">
        <f t="shared" si="28"/>
        <v>358968426000</v>
      </c>
      <c r="M632" s="4">
        <f t="shared" si="29"/>
        <v>0.78766602704843458</v>
      </c>
    </row>
    <row r="633" spans="1:13" x14ac:dyDescent="0.45">
      <c r="A633" s="2">
        <v>45013</v>
      </c>
      <c r="B633" s="1">
        <v>11823.95</v>
      </c>
      <c r="D633" s="2">
        <v>45013</v>
      </c>
      <c r="E633" s="1">
        <v>2378.1</v>
      </c>
      <c r="G633" s="3">
        <v>6452615</v>
      </c>
      <c r="H633" s="3">
        <f t="shared" si="27"/>
        <v>76295397129.25</v>
      </c>
      <c r="J633" s="3">
        <v>149645000</v>
      </c>
      <c r="K633" s="3">
        <f t="shared" si="28"/>
        <v>355870774500</v>
      </c>
      <c r="M633" s="4">
        <f t="shared" si="29"/>
        <v>0.78560926438411427</v>
      </c>
    </row>
    <row r="634" spans="1:13" x14ac:dyDescent="0.45">
      <c r="A634" s="2">
        <v>45012</v>
      </c>
      <c r="B634" s="1">
        <v>11843.25</v>
      </c>
      <c r="D634" s="2">
        <v>45012</v>
      </c>
      <c r="E634" s="1">
        <v>2385.9499999999998</v>
      </c>
      <c r="G634" s="3">
        <v>6452615</v>
      </c>
      <c r="H634" s="3">
        <f t="shared" si="27"/>
        <v>76419932598.75</v>
      </c>
      <c r="J634" s="3">
        <v>149645000</v>
      </c>
      <c r="K634" s="3">
        <f t="shared" si="28"/>
        <v>357045487750</v>
      </c>
      <c r="M634" s="4">
        <f t="shared" si="29"/>
        <v>0.78596583566893152</v>
      </c>
    </row>
    <row r="635" spans="1:13" x14ac:dyDescent="0.45">
      <c r="A635" s="2">
        <v>45009</v>
      </c>
      <c r="B635" s="1">
        <v>11875.25</v>
      </c>
      <c r="D635" s="2">
        <v>45009</v>
      </c>
      <c r="E635" s="1">
        <v>2380.5</v>
      </c>
      <c r="G635" s="3">
        <v>6452615</v>
      </c>
      <c r="H635" s="3">
        <f t="shared" si="27"/>
        <v>76626416278.75</v>
      </c>
      <c r="J635" s="3">
        <v>149645000</v>
      </c>
      <c r="K635" s="3">
        <f t="shared" si="28"/>
        <v>356229922500</v>
      </c>
      <c r="M635" s="4">
        <f t="shared" si="29"/>
        <v>0.78489618238414549</v>
      </c>
    </row>
    <row r="636" spans="1:13" x14ac:dyDescent="0.45">
      <c r="A636" s="2">
        <v>45008</v>
      </c>
      <c r="B636" s="1">
        <v>12002.55</v>
      </c>
      <c r="D636" s="2">
        <v>45008</v>
      </c>
      <c r="E636" s="1">
        <v>2382.85</v>
      </c>
      <c r="G636" s="3">
        <v>6452615</v>
      </c>
      <c r="H636" s="3">
        <f t="shared" si="27"/>
        <v>77447834168.25</v>
      </c>
      <c r="J636" s="3">
        <v>149645000</v>
      </c>
      <c r="K636" s="3">
        <f t="shared" si="28"/>
        <v>356581588250</v>
      </c>
      <c r="M636" s="4">
        <f t="shared" si="29"/>
        <v>0.78280473047320887</v>
      </c>
    </row>
    <row r="637" spans="1:13" x14ac:dyDescent="0.45">
      <c r="A637" s="2">
        <v>45007</v>
      </c>
      <c r="B637" s="1">
        <v>12010.85</v>
      </c>
      <c r="D637" s="2">
        <v>45007</v>
      </c>
      <c r="E637" s="1">
        <v>2383.6</v>
      </c>
      <c r="G637" s="3">
        <v>6452615</v>
      </c>
      <c r="H637" s="3">
        <f t="shared" si="27"/>
        <v>77501390872.75</v>
      </c>
      <c r="J637" s="3">
        <v>149645000</v>
      </c>
      <c r="K637" s="3">
        <f t="shared" si="28"/>
        <v>356693822000</v>
      </c>
      <c r="M637" s="4">
        <f t="shared" si="29"/>
        <v>0.78272292343557881</v>
      </c>
    </row>
    <row r="638" spans="1:13" x14ac:dyDescent="0.45">
      <c r="A638" s="2">
        <v>45006</v>
      </c>
      <c r="B638" s="1">
        <v>11981.6</v>
      </c>
      <c r="D638" s="2">
        <v>45006</v>
      </c>
      <c r="E638" s="1">
        <v>2348.4499999999998</v>
      </c>
      <c r="G638" s="3">
        <v>6452615</v>
      </c>
      <c r="H638" s="3">
        <f t="shared" si="27"/>
        <v>77312651884</v>
      </c>
      <c r="J638" s="3">
        <v>149645000</v>
      </c>
      <c r="K638" s="3">
        <f t="shared" si="28"/>
        <v>351433800250</v>
      </c>
      <c r="M638" s="4">
        <f t="shared" si="29"/>
        <v>0.78000792231993055</v>
      </c>
    </row>
    <row r="639" spans="1:13" x14ac:dyDescent="0.45">
      <c r="A639" s="2">
        <v>45005</v>
      </c>
      <c r="B639" s="1">
        <v>12009.75</v>
      </c>
      <c r="D639" s="2">
        <v>45005</v>
      </c>
      <c r="E639" s="1">
        <v>2303.85</v>
      </c>
      <c r="G639" s="3">
        <v>6452615</v>
      </c>
      <c r="H639" s="3">
        <f t="shared" si="27"/>
        <v>77494292996.25</v>
      </c>
      <c r="J639" s="3">
        <v>149645000</v>
      </c>
      <c r="K639" s="3">
        <f t="shared" si="28"/>
        <v>344759633250</v>
      </c>
      <c r="M639" s="4">
        <f t="shared" si="29"/>
        <v>0.77522225480482643</v>
      </c>
    </row>
    <row r="640" spans="1:13" x14ac:dyDescent="0.45">
      <c r="A640" s="2">
        <v>45002</v>
      </c>
      <c r="B640" s="1">
        <v>12039.45</v>
      </c>
      <c r="D640" s="2">
        <v>45002</v>
      </c>
      <c r="E640" s="1">
        <v>2304.5500000000002</v>
      </c>
      <c r="G640" s="3">
        <v>6452615</v>
      </c>
      <c r="H640" s="3">
        <f t="shared" si="27"/>
        <v>77685935661.75</v>
      </c>
      <c r="J640" s="3">
        <v>149645000</v>
      </c>
      <c r="K640" s="3">
        <f t="shared" si="28"/>
        <v>344864384750</v>
      </c>
      <c r="M640" s="4">
        <f t="shared" si="29"/>
        <v>0.77473482592855658</v>
      </c>
    </row>
    <row r="641" spans="1:13" x14ac:dyDescent="0.45">
      <c r="A641" s="2">
        <v>45001</v>
      </c>
      <c r="B641" s="1">
        <v>11987.45</v>
      </c>
      <c r="D641" s="2">
        <v>45001</v>
      </c>
      <c r="E641" s="1">
        <v>2311.25</v>
      </c>
      <c r="G641" s="3">
        <v>6452615</v>
      </c>
      <c r="H641" s="3">
        <f t="shared" si="27"/>
        <v>77350399681.75</v>
      </c>
      <c r="J641" s="3">
        <v>149645000</v>
      </c>
      <c r="K641" s="3">
        <f t="shared" si="28"/>
        <v>345867006250</v>
      </c>
      <c r="M641" s="4">
        <f t="shared" si="29"/>
        <v>0.77635796915002786</v>
      </c>
    </row>
    <row r="642" spans="1:13" x14ac:dyDescent="0.45">
      <c r="A642" s="2">
        <v>45000</v>
      </c>
      <c r="B642" s="1">
        <v>12067.55</v>
      </c>
      <c r="D642" s="2">
        <v>45000</v>
      </c>
      <c r="E642" s="1">
        <v>2271.3000000000002</v>
      </c>
      <c r="G642" s="3">
        <v>6452615</v>
      </c>
      <c r="H642" s="3">
        <f t="shared" si="27"/>
        <v>77867254143.25</v>
      </c>
      <c r="J642" s="3">
        <v>149645000</v>
      </c>
      <c r="K642" s="3">
        <f t="shared" si="28"/>
        <v>339888688500</v>
      </c>
      <c r="M642" s="4">
        <f t="shared" si="29"/>
        <v>0.770903661175385</v>
      </c>
    </row>
    <row r="643" spans="1:13" x14ac:dyDescent="0.45">
      <c r="A643" s="2">
        <v>44999</v>
      </c>
      <c r="B643" s="1">
        <v>12041.45</v>
      </c>
      <c r="D643" s="2">
        <v>44999</v>
      </c>
      <c r="E643" s="1">
        <v>2304.9499999999998</v>
      </c>
      <c r="G643" s="3">
        <v>6452615</v>
      </c>
      <c r="H643" s="3">
        <f t="shared" si="27"/>
        <v>77698840891.75</v>
      </c>
      <c r="J643" s="3">
        <v>149645000</v>
      </c>
      <c r="K643" s="3">
        <f t="shared" si="28"/>
        <v>344924242750</v>
      </c>
      <c r="M643" s="4">
        <f t="shared" si="29"/>
        <v>0.77473650366736946</v>
      </c>
    </row>
    <row r="644" spans="1:13" x14ac:dyDescent="0.45">
      <c r="A644" s="2">
        <v>44998</v>
      </c>
      <c r="B644" s="1">
        <v>12031.6</v>
      </c>
      <c r="D644" s="2">
        <v>44998</v>
      </c>
      <c r="E644" s="1">
        <v>2281.0500000000002</v>
      </c>
      <c r="G644" s="3">
        <v>6452615</v>
      </c>
      <c r="H644" s="3">
        <f t="shared" ref="H644:H707" si="30">+G644*B644</f>
        <v>77635282634</v>
      </c>
      <c r="J644" s="3">
        <v>149645000</v>
      </c>
      <c r="K644" s="3">
        <f t="shared" ref="K644:K707" si="31">+J644*E644</f>
        <v>341347727250</v>
      </c>
      <c r="M644" s="4">
        <f t="shared" ref="M644:M707" si="32">1- (H644/K644)</f>
        <v>0.77256247387538446</v>
      </c>
    </row>
    <row r="645" spans="1:13" x14ac:dyDescent="0.45">
      <c r="A645" s="2">
        <v>44995</v>
      </c>
      <c r="B645" s="1">
        <v>12203.15</v>
      </c>
      <c r="D645" s="2">
        <v>44995</v>
      </c>
      <c r="E645" s="1">
        <v>2293.6</v>
      </c>
      <c r="G645" s="3">
        <v>6452615</v>
      </c>
      <c r="H645" s="3">
        <f t="shared" si="30"/>
        <v>78742228737.25</v>
      </c>
      <c r="J645" s="3">
        <v>149645000</v>
      </c>
      <c r="K645" s="3">
        <f t="shared" si="31"/>
        <v>343225772000</v>
      </c>
      <c r="M645" s="4">
        <f t="shared" si="32"/>
        <v>0.77058182933521091</v>
      </c>
    </row>
    <row r="646" spans="1:13" x14ac:dyDescent="0.45">
      <c r="A646" s="2">
        <v>44994</v>
      </c>
      <c r="B646" s="1">
        <v>12158.8</v>
      </c>
      <c r="D646" s="2">
        <v>44994</v>
      </c>
      <c r="E646" s="1">
        <v>2301.0500000000002</v>
      </c>
      <c r="G646" s="3">
        <v>6452615</v>
      </c>
      <c r="H646" s="3">
        <f t="shared" si="30"/>
        <v>78456055262</v>
      </c>
      <c r="J646" s="3">
        <v>149645000</v>
      </c>
      <c r="K646" s="3">
        <f t="shared" si="31"/>
        <v>344340627250</v>
      </c>
      <c r="M646" s="4">
        <f t="shared" si="32"/>
        <v>0.77215568232952392</v>
      </c>
    </row>
    <row r="647" spans="1:13" x14ac:dyDescent="0.45">
      <c r="A647" s="2">
        <v>44993</v>
      </c>
      <c r="B647" s="1">
        <v>12145.45</v>
      </c>
      <c r="D647" s="2">
        <v>44993</v>
      </c>
      <c r="E647" s="1">
        <v>2306.0500000000002</v>
      </c>
      <c r="G647" s="3">
        <v>6452615</v>
      </c>
      <c r="H647" s="3">
        <f t="shared" si="30"/>
        <v>78369912851.75</v>
      </c>
      <c r="J647" s="3">
        <v>149645000</v>
      </c>
      <c r="K647" s="3">
        <f t="shared" si="31"/>
        <v>345088852250</v>
      </c>
      <c r="M647" s="4">
        <f t="shared" si="32"/>
        <v>0.77289932044812959</v>
      </c>
    </row>
    <row r="648" spans="1:13" x14ac:dyDescent="0.45">
      <c r="A648" s="2">
        <v>44991</v>
      </c>
      <c r="B648" s="1">
        <v>12167.05</v>
      </c>
      <c r="D648" s="2">
        <v>44991</v>
      </c>
      <c r="E648" s="1">
        <v>2299.15</v>
      </c>
      <c r="G648" s="3">
        <v>6452615</v>
      </c>
      <c r="H648" s="3">
        <f t="shared" si="30"/>
        <v>78509289335.75</v>
      </c>
      <c r="J648" s="3">
        <v>149645000</v>
      </c>
      <c r="K648" s="3">
        <f t="shared" si="31"/>
        <v>344056301750</v>
      </c>
      <c r="M648" s="4">
        <f t="shared" si="32"/>
        <v>0.771812668634691</v>
      </c>
    </row>
    <row r="649" spans="1:13" x14ac:dyDescent="0.45">
      <c r="A649" s="2">
        <v>44988</v>
      </c>
      <c r="B649" s="1">
        <v>12216.85</v>
      </c>
      <c r="D649" s="2">
        <v>44988</v>
      </c>
      <c r="E649" s="1">
        <v>2272.35</v>
      </c>
      <c r="G649" s="3">
        <v>6452615</v>
      </c>
      <c r="H649" s="3">
        <f t="shared" si="30"/>
        <v>78830629562.75</v>
      </c>
      <c r="J649" s="3">
        <v>149645000</v>
      </c>
      <c r="K649" s="3">
        <f t="shared" si="31"/>
        <v>340045815750</v>
      </c>
      <c r="M649" s="4">
        <f t="shared" si="32"/>
        <v>0.76817644590367229</v>
      </c>
    </row>
    <row r="650" spans="1:13" x14ac:dyDescent="0.45">
      <c r="A650" s="2">
        <v>44987</v>
      </c>
      <c r="B650" s="1">
        <v>12248.3</v>
      </c>
      <c r="D650" s="2">
        <v>44987</v>
      </c>
      <c r="E650" s="1">
        <v>2245.15</v>
      </c>
      <c r="G650" s="3">
        <v>6452615</v>
      </c>
      <c r="H650" s="3">
        <f t="shared" si="30"/>
        <v>79033564304.5</v>
      </c>
      <c r="J650" s="3">
        <v>149645000</v>
      </c>
      <c r="K650" s="3">
        <f t="shared" si="31"/>
        <v>335975471750</v>
      </c>
      <c r="M650" s="4">
        <f t="shared" si="32"/>
        <v>0.76476388620622571</v>
      </c>
    </row>
    <row r="651" spans="1:13" x14ac:dyDescent="0.45">
      <c r="A651" s="2">
        <v>44986</v>
      </c>
      <c r="B651" s="1">
        <v>12343.2</v>
      </c>
      <c r="D651" s="2">
        <v>44986</v>
      </c>
      <c r="E651" s="1">
        <v>2235.3000000000002</v>
      </c>
      <c r="G651" s="3">
        <v>6452615</v>
      </c>
      <c r="H651" s="3">
        <f t="shared" si="30"/>
        <v>79645917468</v>
      </c>
      <c r="J651" s="3">
        <v>149645000</v>
      </c>
      <c r="K651" s="3">
        <f t="shared" si="31"/>
        <v>334501468500</v>
      </c>
      <c r="M651" s="4">
        <f t="shared" si="32"/>
        <v>0.76189665825637476</v>
      </c>
    </row>
    <row r="652" spans="1:13" x14ac:dyDescent="0.45">
      <c r="A652" s="2">
        <v>44985</v>
      </c>
      <c r="B652" s="1">
        <v>12210.7</v>
      </c>
      <c r="D652" s="2">
        <v>44985</v>
      </c>
      <c r="E652" s="1">
        <v>2168.4</v>
      </c>
      <c r="G652" s="3">
        <v>6452615</v>
      </c>
      <c r="H652" s="3">
        <f t="shared" si="30"/>
        <v>78790945980.5</v>
      </c>
      <c r="J652" s="3">
        <v>149645000</v>
      </c>
      <c r="K652" s="3">
        <f t="shared" si="31"/>
        <v>324490218000</v>
      </c>
      <c r="M652" s="4">
        <f t="shared" si="32"/>
        <v>0.7571854508708179</v>
      </c>
    </row>
    <row r="653" spans="1:13" x14ac:dyDescent="0.45">
      <c r="A653" s="2">
        <v>44984</v>
      </c>
      <c r="B653" s="1">
        <v>12207.3</v>
      </c>
      <c r="D653" s="2">
        <v>44984</v>
      </c>
      <c r="E653" s="1">
        <v>2192.4499999999998</v>
      </c>
      <c r="G653" s="3">
        <v>6452615</v>
      </c>
      <c r="H653" s="3">
        <f t="shared" si="30"/>
        <v>78769007089.5</v>
      </c>
      <c r="J653" s="3">
        <v>149645000</v>
      </c>
      <c r="K653" s="3">
        <f t="shared" si="31"/>
        <v>328089180250</v>
      </c>
      <c r="M653" s="4">
        <f t="shared" si="32"/>
        <v>0.7599158648588199</v>
      </c>
    </row>
    <row r="654" spans="1:13" x14ac:dyDescent="0.45">
      <c r="A654" s="2">
        <v>44981</v>
      </c>
      <c r="B654" s="1">
        <v>12355.9</v>
      </c>
      <c r="D654" s="2">
        <v>44981</v>
      </c>
      <c r="E654" s="1">
        <v>2223.1999999999998</v>
      </c>
      <c r="G654" s="3">
        <v>6452615</v>
      </c>
      <c r="H654" s="3">
        <f t="shared" si="30"/>
        <v>79727865678.5</v>
      </c>
      <c r="J654" s="3">
        <v>149645000</v>
      </c>
      <c r="K654" s="3">
        <f t="shared" si="31"/>
        <v>332690764000</v>
      </c>
      <c r="M654" s="4">
        <f t="shared" si="32"/>
        <v>0.76035443629417976</v>
      </c>
    </row>
    <row r="655" spans="1:13" x14ac:dyDescent="0.45">
      <c r="A655" s="2">
        <v>44980</v>
      </c>
      <c r="B655" s="1">
        <v>12241.65</v>
      </c>
      <c r="D655" s="2">
        <v>44980</v>
      </c>
      <c r="E655" s="1">
        <v>2243</v>
      </c>
      <c r="G655" s="3">
        <v>6452615</v>
      </c>
      <c r="H655" s="3">
        <f t="shared" si="30"/>
        <v>78990654414.75</v>
      </c>
      <c r="J655" s="3">
        <v>149645000</v>
      </c>
      <c r="K655" s="3">
        <f t="shared" si="31"/>
        <v>335653735000</v>
      </c>
      <c r="M655" s="4">
        <f t="shared" si="32"/>
        <v>0.76466624327970012</v>
      </c>
    </row>
    <row r="656" spans="1:13" x14ac:dyDescent="0.45">
      <c r="A656" s="2">
        <v>44979</v>
      </c>
      <c r="B656" s="1">
        <v>12256.1</v>
      </c>
      <c r="D656" s="2">
        <v>44979</v>
      </c>
      <c r="E656" s="1">
        <v>2273.75</v>
      </c>
      <c r="G656" s="3">
        <v>6452615</v>
      </c>
      <c r="H656" s="3">
        <f t="shared" si="30"/>
        <v>79083894701.5</v>
      </c>
      <c r="J656" s="3">
        <v>149645000</v>
      </c>
      <c r="K656" s="3">
        <f t="shared" si="31"/>
        <v>340255318750</v>
      </c>
      <c r="M656" s="4">
        <f t="shared" si="32"/>
        <v>0.76757484646520313</v>
      </c>
    </row>
    <row r="657" spans="1:13" x14ac:dyDescent="0.45">
      <c r="A657" s="2">
        <v>44978</v>
      </c>
      <c r="B657" s="1">
        <v>12251.8</v>
      </c>
      <c r="D657" s="2">
        <v>44978</v>
      </c>
      <c r="E657" s="1">
        <v>2320.25</v>
      </c>
      <c r="G657" s="3">
        <v>6452615</v>
      </c>
      <c r="H657" s="3">
        <f t="shared" si="30"/>
        <v>79056148457</v>
      </c>
      <c r="J657" s="3">
        <v>149645000</v>
      </c>
      <c r="K657" s="3">
        <f t="shared" si="31"/>
        <v>347213811250</v>
      </c>
      <c r="M657" s="4">
        <f t="shared" si="32"/>
        <v>0.77231277703962586</v>
      </c>
    </row>
    <row r="658" spans="1:13" x14ac:dyDescent="0.45">
      <c r="A658" s="2">
        <v>44977</v>
      </c>
      <c r="B658" s="1">
        <v>12399.4</v>
      </c>
      <c r="D658" s="2">
        <v>44977</v>
      </c>
      <c r="E658" s="1">
        <v>2310.3000000000002</v>
      </c>
      <c r="G658" s="3">
        <v>6452615</v>
      </c>
      <c r="H658" s="3">
        <f t="shared" si="30"/>
        <v>80008554431</v>
      </c>
      <c r="J658" s="3">
        <v>149645000</v>
      </c>
      <c r="K658" s="3">
        <f t="shared" si="31"/>
        <v>345724843500</v>
      </c>
      <c r="M658" s="4">
        <f t="shared" si="32"/>
        <v>0.76857736452775338</v>
      </c>
    </row>
    <row r="659" spans="1:13" x14ac:dyDescent="0.45">
      <c r="A659" s="2">
        <v>44974</v>
      </c>
      <c r="B659" s="1">
        <v>12395.35</v>
      </c>
      <c r="D659" s="2">
        <v>44974</v>
      </c>
      <c r="E659" s="1">
        <v>2319</v>
      </c>
      <c r="G659" s="3">
        <v>6452615</v>
      </c>
      <c r="H659" s="3">
        <f t="shared" si="30"/>
        <v>79982421340.25</v>
      </c>
      <c r="J659" s="3">
        <v>149645000</v>
      </c>
      <c r="K659" s="3">
        <f t="shared" si="31"/>
        <v>347026755000</v>
      </c>
      <c r="M659" s="4">
        <f t="shared" si="32"/>
        <v>0.76952087933320878</v>
      </c>
    </row>
    <row r="660" spans="1:13" x14ac:dyDescent="0.45">
      <c r="A660" s="2">
        <v>44973</v>
      </c>
      <c r="B660" s="1">
        <v>12550.05</v>
      </c>
      <c r="D660" s="2">
        <v>44973</v>
      </c>
      <c r="E660" s="1">
        <v>2327.9499999999998</v>
      </c>
      <c r="G660" s="3">
        <v>6452615</v>
      </c>
      <c r="H660" s="3">
        <f t="shared" si="30"/>
        <v>80980640880.75</v>
      </c>
      <c r="J660" s="3">
        <v>149645000</v>
      </c>
      <c r="K660" s="3">
        <f t="shared" si="31"/>
        <v>348366077750</v>
      </c>
      <c r="M660" s="4">
        <f t="shared" si="32"/>
        <v>0.76754154306934375</v>
      </c>
    </row>
    <row r="661" spans="1:13" x14ac:dyDescent="0.45">
      <c r="A661" s="2">
        <v>44972</v>
      </c>
      <c r="B661" s="1">
        <v>12398.05</v>
      </c>
      <c r="D661" s="2">
        <v>44972</v>
      </c>
      <c r="E661" s="1">
        <v>2253.1999999999998</v>
      </c>
      <c r="G661" s="3">
        <v>6452615</v>
      </c>
      <c r="H661" s="3">
        <f t="shared" si="30"/>
        <v>79999843400.75</v>
      </c>
      <c r="J661" s="3">
        <v>149645000</v>
      </c>
      <c r="K661" s="3">
        <f t="shared" si="31"/>
        <v>337180114000</v>
      </c>
      <c r="M661" s="4">
        <f t="shared" si="32"/>
        <v>0.76273854809613717</v>
      </c>
    </row>
    <row r="662" spans="1:13" x14ac:dyDescent="0.45">
      <c r="A662" s="2">
        <v>44971</v>
      </c>
      <c r="B662" s="1">
        <v>12406.6</v>
      </c>
      <c r="D662" s="2">
        <v>44971</v>
      </c>
      <c r="E662" s="1">
        <v>2226.4</v>
      </c>
      <c r="G662" s="3">
        <v>6452615</v>
      </c>
      <c r="H662" s="3">
        <f t="shared" si="30"/>
        <v>80055013259</v>
      </c>
      <c r="J662" s="3">
        <v>149645000</v>
      </c>
      <c r="K662" s="3">
        <f t="shared" si="31"/>
        <v>333169628000</v>
      </c>
      <c r="M662" s="4">
        <f t="shared" si="32"/>
        <v>0.75971695337427336</v>
      </c>
    </row>
    <row r="663" spans="1:13" x14ac:dyDescent="0.45">
      <c r="A663" s="2">
        <v>44970</v>
      </c>
      <c r="B663" s="1">
        <v>12525.6</v>
      </c>
      <c r="D663" s="2">
        <v>44970</v>
      </c>
      <c r="E663" s="1">
        <v>2215.5</v>
      </c>
      <c r="G663" s="3">
        <v>6452615</v>
      </c>
      <c r="H663" s="3">
        <f t="shared" si="30"/>
        <v>80822874444</v>
      </c>
      <c r="J663" s="3">
        <v>149645000</v>
      </c>
      <c r="K663" s="3">
        <f t="shared" si="31"/>
        <v>331538497500</v>
      </c>
      <c r="M663" s="4">
        <f t="shared" si="32"/>
        <v>0.75621873461618128</v>
      </c>
    </row>
    <row r="664" spans="1:13" x14ac:dyDescent="0.45">
      <c r="A664" s="2">
        <v>44967</v>
      </c>
      <c r="B664" s="1">
        <v>12467.85</v>
      </c>
      <c r="D664" s="2">
        <v>44967</v>
      </c>
      <c r="E664" s="1">
        <v>2290</v>
      </c>
      <c r="G664" s="3">
        <v>6452615</v>
      </c>
      <c r="H664" s="3">
        <f t="shared" si="30"/>
        <v>80450235927.75</v>
      </c>
      <c r="J664" s="3">
        <v>149645000</v>
      </c>
      <c r="K664" s="3">
        <f t="shared" si="31"/>
        <v>342687050000</v>
      </c>
      <c r="M664" s="4">
        <f t="shared" si="32"/>
        <v>0.76523701164736169</v>
      </c>
    </row>
    <row r="665" spans="1:13" x14ac:dyDescent="0.45">
      <c r="A665" s="2">
        <v>44966</v>
      </c>
      <c r="B665" s="1">
        <v>12533.1</v>
      </c>
      <c r="D665" s="2">
        <v>44966</v>
      </c>
      <c r="E665" s="1">
        <v>2216.9</v>
      </c>
      <c r="G665" s="3">
        <v>6452615</v>
      </c>
      <c r="H665" s="3">
        <f t="shared" si="30"/>
        <v>80871269056.5</v>
      </c>
      <c r="J665" s="3">
        <v>149645000</v>
      </c>
      <c r="K665" s="3">
        <f t="shared" si="31"/>
        <v>331748000500</v>
      </c>
      <c r="M665" s="4">
        <f t="shared" si="32"/>
        <v>0.75622680789450603</v>
      </c>
    </row>
    <row r="666" spans="1:13" x14ac:dyDescent="0.45">
      <c r="A666" s="2">
        <v>44965</v>
      </c>
      <c r="B666" s="1">
        <v>12505.75</v>
      </c>
      <c r="D666" s="2">
        <v>44965</v>
      </c>
      <c r="E666" s="1">
        <v>2198.6999999999998</v>
      </c>
      <c r="G666" s="3">
        <v>6452615</v>
      </c>
      <c r="H666" s="3">
        <f t="shared" si="30"/>
        <v>80694790036.25</v>
      </c>
      <c r="J666" s="3">
        <v>149645000</v>
      </c>
      <c r="K666" s="3">
        <f t="shared" si="31"/>
        <v>329024461500</v>
      </c>
      <c r="M666" s="4">
        <f t="shared" si="32"/>
        <v>0.75474531690328439</v>
      </c>
    </row>
    <row r="667" spans="1:13" x14ac:dyDescent="0.45">
      <c r="A667" s="2">
        <v>44964</v>
      </c>
      <c r="B667" s="1">
        <v>12385.25</v>
      </c>
      <c r="D667" s="2">
        <v>44964</v>
      </c>
      <c r="E667" s="1">
        <v>2203.1999999999998</v>
      </c>
      <c r="G667" s="3">
        <v>6452615</v>
      </c>
      <c r="H667" s="3">
        <f t="shared" si="30"/>
        <v>79917249928.75</v>
      </c>
      <c r="J667" s="3">
        <v>149645000</v>
      </c>
      <c r="K667" s="3">
        <f t="shared" si="31"/>
        <v>329697864000</v>
      </c>
      <c r="M667" s="4">
        <f t="shared" si="32"/>
        <v>0.75760458694160659</v>
      </c>
    </row>
    <row r="668" spans="1:13" x14ac:dyDescent="0.45">
      <c r="A668" s="2">
        <v>44963</v>
      </c>
      <c r="B668" s="1">
        <v>12333</v>
      </c>
      <c r="D668" s="2">
        <v>44963</v>
      </c>
      <c r="E668" s="1">
        <v>2219.1999999999998</v>
      </c>
      <c r="G668" s="3">
        <v>6452615</v>
      </c>
      <c r="H668" s="3">
        <f t="shared" si="30"/>
        <v>79580100795</v>
      </c>
      <c r="J668" s="3">
        <v>149645000</v>
      </c>
      <c r="K668" s="3">
        <f t="shared" si="31"/>
        <v>332092184000</v>
      </c>
      <c r="M668" s="4">
        <f t="shared" si="32"/>
        <v>0.76036743823215058</v>
      </c>
    </row>
    <row r="669" spans="1:13" x14ac:dyDescent="0.45">
      <c r="A669" s="2">
        <v>44960</v>
      </c>
      <c r="B669" s="1">
        <v>12382</v>
      </c>
      <c r="D669" s="2">
        <v>44960</v>
      </c>
      <c r="E669" s="1">
        <v>2204.85</v>
      </c>
      <c r="G669" s="3">
        <v>6452615</v>
      </c>
      <c r="H669" s="3">
        <f t="shared" si="30"/>
        <v>79896278930</v>
      </c>
      <c r="J669" s="3">
        <v>149645000</v>
      </c>
      <c r="K669" s="3">
        <f t="shared" si="31"/>
        <v>329944778250</v>
      </c>
      <c r="M669" s="4">
        <f t="shared" si="32"/>
        <v>0.757849542721169</v>
      </c>
    </row>
    <row r="670" spans="1:13" x14ac:dyDescent="0.45">
      <c r="A670" s="2">
        <v>44959</v>
      </c>
      <c r="B670" s="1">
        <v>12528.8</v>
      </c>
      <c r="D670" s="2">
        <v>44959</v>
      </c>
      <c r="E670" s="1">
        <v>2204.0500000000002</v>
      </c>
      <c r="G670" s="3">
        <v>6452615</v>
      </c>
      <c r="H670" s="3">
        <f t="shared" si="30"/>
        <v>80843522812</v>
      </c>
      <c r="J670" s="3">
        <v>149645000</v>
      </c>
      <c r="K670" s="3">
        <f t="shared" si="31"/>
        <v>329825062250</v>
      </c>
      <c r="M670" s="4">
        <f t="shared" si="32"/>
        <v>0.75488969133970052</v>
      </c>
    </row>
    <row r="671" spans="1:13" x14ac:dyDescent="0.45">
      <c r="A671" s="2">
        <v>44958</v>
      </c>
      <c r="B671" s="1">
        <v>12421.6</v>
      </c>
      <c r="D671" s="2">
        <v>44958</v>
      </c>
      <c r="E671" s="1">
        <v>2221.8000000000002</v>
      </c>
      <c r="G671" s="3">
        <v>6452615</v>
      </c>
      <c r="H671" s="3">
        <f t="shared" si="30"/>
        <v>80151802484</v>
      </c>
      <c r="J671" s="3">
        <v>149645000</v>
      </c>
      <c r="K671" s="3">
        <f t="shared" si="31"/>
        <v>332481261000</v>
      </c>
      <c r="M671" s="4">
        <f t="shared" si="32"/>
        <v>0.75892836112649364</v>
      </c>
    </row>
    <row r="672" spans="1:13" x14ac:dyDescent="0.45">
      <c r="A672" s="2">
        <v>44957</v>
      </c>
      <c r="B672" s="1">
        <v>12591.75</v>
      </c>
      <c r="D672" s="2">
        <v>44957</v>
      </c>
      <c r="E672" s="1">
        <v>2182.1</v>
      </c>
      <c r="G672" s="3">
        <v>6452615</v>
      </c>
      <c r="H672" s="3">
        <f t="shared" si="30"/>
        <v>81249714926.25</v>
      </c>
      <c r="J672" s="3">
        <v>149645000</v>
      </c>
      <c r="K672" s="3">
        <f t="shared" si="31"/>
        <v>326540354500</v>
      </c>
      <c r="M672" s="4">
        <f t="shared" si="32"/>
        <v>0.75118017174122342</v>
      </c>
    </row>
    <row r="673" spans="1:13" x14ac:dyDescent="0.45">
      <c r="A673" s="2">
        <v>44956</v>
      </c>
      <c r="B673" s="1">
        <v>12518</v>
      </c>
      <c r="D673" s="2">
        <v>44956</v>
      </c>
      <c r="E673" s="1">
        <v>2144.75</v>
      </c>
      <c r="G673" s="3">
        <v>6452615</v>
      </c>
      <c r="H673" s="3">
        <f t="shared" si="30"/>
        <v>80773834570</v>
      </c>
      <c r="J673" s="3">
        <v>149645000</v>
      </c>
      <c r="K673" s="3">
        <f t="shared" si="31"/>
        <v>320951113750</v>
      </c>
      <c r="M673" s="4">
        <f t="shared" si="32"/>
        <v>0.74832978883844115</v>
      </c>
    </row>
    <row r="674" spans="1:13" x14ac:dyDescent="0.45">
      <c r="A674" s="2">
        <v>44953</v>
      </c>
      <c r="B674" s="1">
        <v>12314.25</v>
      </c>
      <c r="D674" s="2">
        <v>44953</v>
      </c>
      <c r="E674" s="1">
        <v>2130.4</v>
      </c>
      <c r="G674" s="3">
        <v>6452615</v>
      </c>
      <c r="H674" s="3">
        <f t="shared" si="30"/>
        <v>79459114263.75</v>
      </c>
      <c r="J674" s="3">
        <v>149645000</v>
      </c>
      <c r="K674" s="3">
        <f t="shared" si="31"/>
        <v>318803708000</v>
      </c>
      <c r="M674" s="4">
        <f t="shared" si="32"/>
        <v>0.75075850038811343</v>
      </c>
    </row>
    <row r="675" spans="1:13" x14ac:dyDescent="0.45">
      <c r="A675" s="2">
        <v>44951</v>
      </c>
      <c r="B675" s="1">
        <v>12284.45</v>
      </c>
      <c r="D675" s="2">
        <v>44951</v>
      </c>
      <c r="E675" s="1">
        <v>2130.1999999999998</v>
      </c>
      <c r="G675" s="3">
        <v>6452615</v>
      </c>
      <c r="H675" s="3">
        <f t="shared" si="30"/>
        <v>79266826336.75</v>
      </c>
      <c r="J675" s="3">
        <v>149645000</v>
      </c>
      <c r="K675" s="3">
        <f t="shared" si="31"/>
        <v>318773779000</v>
      </c>
      <c r="M675" s="4">
        <f t="shared" si="32"/>
        <v>0.75133831086919478</v>
      </c>
    </row>
    <row r="676" spans="1:13" x14ac:dyDescent="0.45">
      <c r="A676" s="2">
        <v>44950</v>
      </c>
      <c r="B676" s="1">
        <v>12312.95</v>
      </c>
      <c r="D676" s="2">
        <v>44950</v>
      </c>
      <c r="E676" s="1">
        <v>2128.15</v>
      </c>
      <c r="G676" s="3">
        <v>6452615</v>
      </c>
      <c r="H676" s="3">
        <f t="shared" si="30"/>
        <v>79450725864.25</v>
      </c>
      <c r="J676" s="3">
        <v>149645000</v>
      </c>
      <c r="K676" s="3">
        <f t="shared" si="31"/>
        <v>318467006750</v>
      </c>
      <c r="M676" s="4">
        <f t="shared" si="32"/>
        <v>0.75052132817444517</v>
      </c>
    </row>
    <row r="677" spans="1:13" x14ac:dyDescent="0.45">
      <c r="A677" s="2">
        <v>44949</v>
      </c>
      <c r="B677" s="1">
        <v>12318.1</v>
      </c>
      <c r="D677" s="2">
        <v>44949</v>
      </c>
      <c r="E677" s="1">
        <v>2113.5500000000002</v>
      </c>
      <c r="G677" s="3">
        <v>6452615</v>
      </c>
      <c r="H677" s="3">
        <f t="shared" si="30"/>
        <v>79483956831.5</v>
      </c>
      <c r="J677" s="3">
        <v>149645000</v>
      </c>
      <c r="K677" s="3">
        <f t="shared" si="31"/>
        <v>316282189750</v>
      </c>
      <c r="M677" s="4">
        <f t="shared" si="32"/>
        <v>0.7486929096629602</v>
      </c>
    </row>
    <row r="678" spans="1:13" x14ac:dyDescent="0.45">
      <c r="A678" s="2">
        <v>44946</v>
      </c>
      <c r="B678" s="1">
        <v>12462.15</v>
      </c>
      <c r="D678" s="2">
        <v>44946</v>
      </c>
      <c r="E678" s="1">
        <v>2105.5500000000002</v>
      </c>
      <c r="G678" s="3">
        <v>6452615</v>
      </c>
      <c r="H678" s="3">
        <f t="shared" si="30"/>
        <v>80413456022.25</v>
      </c>
      <c r="J678" s="3">
        <v>149645000</v>
      </c>
      <c r="K678" s="3">
        <f t="shared" si="31"/>
        <v>315085029750</v>
      </c>
      <c r="M678" s="4">
        <f t="shared" si="32"/>
        <v>0.74478807804339997</v>
      </c>
    </row>
    <row r="679" spans="1:13" x14ac:dyDescent="0.45">
      <c r="A679" s="2">
        <v>44945</v>
      </c>
      <c r="B679" s="1">
        <v>12441.3</v>
      </c>
      <c r="D679" s="2">
        <v>44945</v>
      </c>
      <c r="E679" s="1">
        <v>2137.9499999999998</v>
      </c>
      <c r="G679" s="3">
        <v>6452615</v>
      </c>
      <c r="H679" s="3">
        <f t="shared" si="30"/>
        <v>80278918999.5</v>
      </c>
      <c r="J679" s="3">
        <v>149645000</v>
      </c>
      <c r="K679" s="3">
        <f t="shared" si="31"/>
        <v>319933527750</v>
      </c>
      <c r="M679" s="4">
        <f t="shared" si="32"/>
        <v>0.74907625479555573</v>
      </c>
    </row>
    <row r="680" spans="1:13" x14ac:dyDescent="0.45">
      <c r="A680" s="2">
        <v>44944</v>
      </c>
      <c r="B680" s="1">
        <v>12406.65</v>
      </c>
      <c r="D680" s="2">
        <v>44944</v>
      </c>
      <c r="E680" s="1">
        <v>2167.6999999999998</v>
      </c>
      <c r="G680" s="3">
        <v>6452615</v>
      </c>
      <c r="H680" s="3">
        <f t="shared" si="30"/>
        <v>80055335889.75</v>
      </c>
      <c r="J680" s="3">
        <v>149645000</v>
      </c>
      <c r="K680" s="3">
        <f t="shared" si="31"/>
        <v>324385466500</v>
      </c>
      <c r="M680" s="4">
        <f t="shared" si="32"/>
        <v>0.75320923975565968</v>
      </c>
    </row>
    <row r="681" spans="1:13" x14ac:dyDescent="0.45">
      <c r="A681" s="2">
        <v>44943</v>
      </c>
      <c r="B681" s="1">
        <v>12403.15</v>
      </c>
      <c r="D681" s="2">
        <v>44943</v>
      </c>
      <c r="E681" s="1">
        <v>2188.35</v>
      </c>
      <c r="G681" s="3">
        <v>6452615</v>
      </c>
      <c r="H681" s="3">
        <f t="shared" si="30"/>
        <v>80032751737.25</v>
      </c>
      <c r="J681" s="3">
        <v>149645000</v>
      </c>
      <c r="K681" s="3">
        <f t="shared" si="31"/>
        <v>327475635750</v>
      </c>
      <c r="M681" s="4">
        <f t="shared" si="32"/>
        <v>0.75560700400212899</v>
      </c>
    </row>
    <row r="682" spans="1:13" x14ac:dyDescent="0.45">
      <c r="A682" s="2">
        <v>44942</v>
      </c>
      <c r="B682" s="1">
        <v>12431.8</v>
      </c>
      <c r="D682" s="2">
        <v>44942</v>
      </c>
      <c r="E682" s="1">
        <v>2179</v>
      </c>
      <c r="G682" s="3">
        <v>6452615</v>
      </c>
      <c r="H682" s="3">
        <f t="shared" si="30"/>
        <v>80217619157</v>
      </c>
      <c r="J682" s="3">
        <v>149645000</v>
      </c>
      <c r="K682" s="3">
        <f t="shared" si="31"/>
        <v>326076455000</v>
      </c>
      <c r="M682" s="4">
        <f t="shared" si="32"/>
        <v>0.75399137862621823</v>
      </c>
    </row>
    <row r="683" spans="1:13" x14ac:dyDescent="0.45">
      <c r="A683" s="2">
        <v>44939</v>
      </c>
      <c r="B683" s="1">
        <v>12446.1</v>
      </c>
      <c r="D683" s="2">
        <v>44939</v>
      </c>
      <c r="E683" s="1">
        <v>2198.4</v>
      </c>
      <c r="G683" s="3">
        <v>6452615</v>
      </c>
      <c r="H683" s="3">
        <f t="shared" si="30"/>
        <v>80309891551.5</v>
      </c>
      <c r="J683" s="3">
        <v>149645000</v>
      </c>
      <c r="K683" s="3">
        <f t="shared" si="31"/>
        <v>328979568000</v>
      </c>
      <c r="M683" s="4">
        <f t="shared" si="32"/>
        <v>0.75588182561082329</v>
      </c>
    </row>
    <row r="684" spans="1:13" x14ac:dyDescent="0.45">
      <c r="A684" s="2">
        <v>44938</v>
      </c>
      <c r="B684" s="1">
        <v>12414.6</v>
      </c>
      <c r="D684" s="2">
        <v>44938</v>
      </c>
      <c r="E684" s="1">
        <v>2219.4499999999998</v>
      </c>
      <c r="G684" s="3">
        <v>6452615</v>
      </c>
      <c r="H684" s="3">
        <f t="shared" si="30"/>
        <v>80106634179</v>
      </c>
      <c r="J684" s="3">
        <v>149645000</v>
      </c>
      <c r="K684" s="3">
        <f t="shared" si="31"/>
        <v>332129595250</v>
      </c>
      <c r="M684" s="4">
        <f t="shared" si="32"/>
        <v>0.75880910546769464</v>
      </c>
    </row>
    <row r="685" spans="1:13" x14ac:dyDescent="0.45">
      <c r="A685" s="2">
        <v>44937</v>
      </c>
      <c r="B685" s="1">
        <v>12536.25</v>
      </c>
      <c r="D685" s="2">
        <v>44937</v>
      </c>
      <c r="E685" s="1">
        <v>2196.6999999999998</v>
      </c>
      <c r="G685" s="3">
        <v>6452615</v>
      </c>
      <c r="H685" s="3">
        <f t="shared" si="30"/>
        <v>80891594793.75</v>
      </c>
      <c r="J685" s="3">
        <v>149645000</v>
      </c>
      <c r="K685" s="3">
        <f t="shared" si="31"/>
        <v>328725171500</v>
      </c>
      <c r="M685" s="4">
        <f t="shared" si="32"/>
        <v>0.75392333229416231</v>
      </c>
    </row>
    <row r="686" spans="1:13" x14ac:dyDescent="0.45">
      <c r="A686" s="2">
        <v>44936</v>
      </c>
      <c r="B686" s="1">
        <v>12479.5</v>
      </c>
      <c r="D686" s="2">
        <v>44936</v>
      </c>
      <c r="E686" s="1">
        <v>2269.9499999999998</v>
      </c>
      <c r="G686" s="3">
        <v>6452615</v>
      </c>
      <c r="H686" s="3">
        <f t="shared" si="30"/>
        <v>80525408892.5</v>
      </c>
      <c r="J686" s="3">
        <v>149645000</v>
      </c>
      <c r="K686" s="3">
        <f t="shared" si="31"/>
        <v>339686667750</v>
      </c>
      <c r="M686" s="4">
        <f t="shared" si="32"/>
        <v>0.76294209771057464</v>
      </c>
    </row>
    <row r="687" spans="1:13" x14ac:dyDescent="0.45">
      <c r="A687" s="2">
        <v>44935</v>
      </c>
      <c r="B687" s="1">
        <v>12565.8</v>
      </c>
      <c r="D687" s="2">
        <v>44935</v>
      </c>
      <c r="E687" s="1">
        <v>2236.9499999999998</v>
      </c>
      <c r="G687" s="3">
        <v>6452615</v>
      </c>
      <c r="H687" s="3">
        <f t="shared" si="30"/>
        <v>81082269567</v>
      </c>
      <c r="J687" s="3">
        <v>149645000</v>
      </c>
      <c r="K687" s="3">
        <f t="shared" si="31"/>
        <v>334748382750</v>
      </c>
      <c r="M687" s="4">
        <f t="shared" si="32"/>
        <v>0.75778144497398625</v>
      </c>
    </row>
    <row r="688" spans="1:13" x14ac:dyDescent="0.45">
      <c r="A688" s="2">
        <v>44932</v>
      </c>
      <c r="B688" s="1">
        <v>12539.3</v>
      </c>
      <c r="D688" s="2">
        <v>44932</v>
      </c>
      <c r="E688" s="1">
        <v>2238.15</v>
      </c>
      <c r="G688" s="3">
        <v>6452615</v>
      </c>
      <c r="H688" s="3">
        <f t="shared" si="30"/>
        <v>80911275269.5</v>
      </c>
      <c r="J688" s="3">
        <v>149645000</v>
      </c>
      <c r="K688" s="3">
        <f t="shared" si="31"/>
        <v>334927956750</v>
      </c>
      <c r="M688" s="4">
        <f t="shared" si="32"/>
        <v>0.75842185270340234</v>
      </c>
    </row>
    <row r="689" spans="1:13" x14ac:dyDescent="0.45">
      <c r="A689" s="2">
        <v>44931</v>
      </c>
      <c r="B689" s="1">
        <v>12492.45</v>
      </c>
      <c r="D689" s="2">
        <v>44931</v>
      </c>
      <c r="E689" s="1">
        <v>2262.1</v>
      </c>
      <c r="G689" s="3">
        <v>6452615</v>
      </c>
      <c r="H689" s="3">
        <f t="shared" si="30"/>
        <v>80608970256.75</v>
      </c>
      <c r="J689" s="3">
        <v>149645000</v>
      </c>
      <c r="K689" s="3">
        <f t="shared" si="31"/>
        <v>338511954500</v>
      </c>
      <c r="M689" s="4">
        <f t="shared" si="32"/>
        <v>0.76187260395038725</v>
      </c>
    </row>
    <row r="690" spans="1:13" x14ac:dyDescent="0.45">
      <c r="A690" s="2">
        <v>44930</v>
      </c>
      <c r="B690" s="1">
        <v>12530.55</v>
      </c>
      <c r="D690" s="2">
        <v>44930</v>
      </c>
      <c r="E690" s="1">
        <v>2265.6999999999998</v>
      </c>
      <c r="G690" s="3">
        <v>6452615</v>
      </c>
      <c r="H690" s="3">
        <f t="shared" si="30"/>
        <v>80854814888.25</v>
      </c>
      <c r="J690" s="3">
        <v>149645000</v>
      </c>
      <c r="K690" s="3">
        <f t="shared" si="31"/>
        <v>339050676500</v>
      </c>
      <c r="M690" s="4">
        <f t="shared" si="32"/>
        <v>0.76152587063706978</v>
      </c>
    </row>
    <row r="691" spans="1:13" x14ac:dyDescent="0.45">
      <c r="A691" s="2">
        <v>44929</v>
      </c>
      <c r="B691" s="1">
        <v>12602.55</v>
      </c>
      <c r="D691" s="2">
        <v>44929</v>
      </c>
      <c r="E691" s="1">
        <v>2302.35</v>
      </c>
      <c r="G691" s="3">
        <v>6452615</v>
      </c>
      <c r="H691" s="3">
        <f t="shared" si="30"/>
        <v>81319403168.25</v>
      </c>
      <c r="J691" s="3">
        <v>149645000</v>
      </c>
      <c r="K691" s="3">
        <f t="shared" si="31"/>
        <v>344535165750</v>
      </c>
      <c r="M691" s="4">
        <f t="shared" si="32"/>
        <v>0.76397357584317938</v>
      </c>
    </row>
    <row r="692" spans="1:13" x14ac:dyDescent="0.45">
      <c r="A692" s="2">
        <v>44928</v>
      </c>
      <c r="B692" s="1">
        <v>12393</v>
      </c>
      <c r="D692" s="2">
        <v>44928</v>
      </c>
      <c r="E692" s="1">
        <v>2293.0500000000002</v>
      </c>
      <c r="G692" s="3">
        <v>6452615</v>
      </c>
      <c r="H692" s="3">
        <f t="shared" si="30"/>
        <v>79967257695</v>
      </c>
      <c r="J692" s="3">
        <v>149645000</v>
      </c>
      <c r="K692" s="3">
        <f t="shared" si="31"/>
        <v>343143467250</v>
      </c>
      <c r="M692" s="4">
        <f t="shared" si="32"/>
        <v>0.76695678243310628</v>
      </c>
    </row>
    <row r="693" spans="1:13" x14ac:dyDescent="0.45">
      <c r="A693" s="2">
        <v>44925</v>
      </c>
      <c r="B693" s="1">
        <v>12365.65</v>
      </c>
      <c r="D693" s="2">
        <v>44925</v>
      </c>
      <c r="E693" s="1">
        <v>2291.6</v>
      </c>
      <c r="G693" s="3">
        <v>6452615</v>
      </c>
      <c r="H693" s="3">
        <f t="shared" si="30"/>
        <v>79790778674.75</v>
      </c>
      <c r="J693" s="3">
        <v>149645000</v>
      </c>
      <c r="K693" s="3">
        <f t="shared" si="31"/>
        <v>342926482000</v>
      </c>
      <c r="M693" s="4">
        <f t="shared" si="32"/>
        <v>0.76732395174208212</v>
      </c>
    </row>
    <row r="694" spans="1:13" x14ac:dyDescent="0.45">
      <c r="A694" s="2">
        <v>44924</v>
      </c>
      <c r="B694" s="1">
        <v>12637.5</v>
      </c>
      <c r="D694" s="2">
        <v>44924</v>
      </c>
      <c r="E694" s="1">
        <v>2277.4</v>
      </c>
      <c r="G694" s="3">
        <v>6452615</v>
      </c>
      <c r="H694" s="3">
        <f t="shared" si="30"/>
        <v>81544922062.5</v>
      </c>
      <c r="J694" s="3">
        <v>149645000</v>
      </c>
      <c r="K694" s="3">
        <f t="shared" si="31"/>
        <v>340801523000</v>
      </c>
      <c r="M694" s="4">
        <f t="shared" si="32"/>
        <v>0.76072606323857306</v>
      </c>
    </row>
    <row r="695" spans="1:13" x14ac:dyDescent="0.45">
      <c r="A695" s="2">
        <v>44923</v>
      </c>
      <c r="B695" s="1">
        <v>12598.85</v>
      </c>
      <c r="D695" s="2">
        <v>44923</v>
      </c>
      <c r="E695" s="1">
        <v>2309.3000000000002</v>
      </c>
      <c r="G695" s="3">
        <v>6452615</v>
      </c>
      <c r="H695" s="3">
        <f t="shared" si="30"/>
        <v>81295528492.75</v>
      </c>
      <c r="J695" s="3">
        <v>149645000</v>
      </c>
      <c r="K695" s="3">
        <f t="shared" si="31"/>
        <v>345575198500</v>
      </c>
      <c r="M695" s="4">
        <f t="shared" si="32"/>
        <v>0.76475300066202523</v>
      </c>
    </row>
    <row r="696" spans="1:13" x14ac:dyDescent="0.45">
      <c r="A696" s="2">
        <v>44922</v>
      </c>
      <c r="B696" s="1">
        <v>12653.2</v>
      </c>
      <c r="D696" s="2">
        <v>44922</v>
      </c>
      <c r="E696" s="1">
        <v>2325</v>
      </c>
      <c r="G696" s="3">
        <v>6452615</v>
      </c>
      <c r="H696" s="3">
        <f t="shared" si="30"/>
        <v>81646228118</v>
      </c>
      <c r="J696" s="3">
        <v>149645000</v>
      </c>
      <c r="K696" s="3">
        <f t="shared" si="31"/>
        <v>347924625000</v>
      </c>
      <c r="M696" s="4">
        <f t="shared" si="32"/>
        <v>0.76533357442578254</v>
      </c>
    </row>
    <row r="697" spans="1:13" x14ac:dyDescent="0.45">
      <c r="A697" s="2">
        <v>44921</v>
      </c>
      <c r="B697" s="1">
        <v>12455.6</v>
      </c>
      <c r="D697" s="2">
        <v>44921</v>
      </c>
      <c r="E697" s="1">
        <v>2296.6999999999998</v>
      </c>
      <c r="G697" s="3">
        <v>6452615</v>
      </c>
      <c r="H697" s="3">
        <f t="shared" si="30"/>
        <v>80371191394</v>
      </c>
      <c r="J697" s="3">
        <v>149645000</v>
      </c>
      <c r="K697" s="3">
        <f t="shared" si="31"/>
        <v>343689671500</v>
      </c>
      <c r="M697" s="4">
        <f t="shared" si="32"/>
        <v>0.76615185715873335</v>
      </c>
    </row>
    <row r="698" spans="1:13" x14ac:dyDescent="0.45">
      <c r="A698" s="2">
        <v>44918</v>
      </c>
      <c r="B698" s="1">
        <v>12201.7</v>
      </c>
      <c r="D698" s="2">
        <v>44918</v>
      </c>
      <c r="E698" s="1">
        <v>2219.9499999999998</v>
      </c>
      <c r="G698" s="3">
        <v>6452615</v>
      </c>
      <c r="H698" s="3">
        <f t="shared" si="30"/>
        <v>78732872445.5</v>
      </c>
      <c r="J698" s="3">
        <v>149645000</v>
      </c>
      <c r="K698" s="3">
        <f t="shared" si="31"/>
        <v>332204417750</v>
      </c>
      <c r="M698" s="4">
        <f t="shared" si="32"/>
        <v>0.76299871934650088</v>
      </c>
    </row>
    <row r="699" spans="1:13" x14ac:dyDescent="0.45">
      <c r="A699" s="2">
        <v>44917</v>
      </c>
      <c r="B699" s="1">
        <v>12714.45</v>
      </c>
      <c r="D699" s="2">
        <v>44917</v>
      </c>
      <c r="E699" s="1">
        <v>2296.25</v>
      </c>
      <c r="G699" s="3">
        <v>6452615</v>
      </c>
      <c r="H699" s="3">
        <f t="shared" si="30"/>
        <v>82041450786.75</v>
      </c>
      <c r="J699" s="3">
        <v>149645000</v>
      </c>
      <c r="K699" s="3">
        <f t="shared" si="31"/>
        <v>343622331250</v>
      </c>
      <c r="M699" s="4">
        <f t="shared" si="32"/>
        <v>0.76124528784754297</v>
      </c>
    </row>
    <row r="700" spans="1:13" x14ac:dyDescent="0.45">
      <c r="A700" s="2">
        <v>44916</v>
      </c>
      <c r="B700" s="1">
        <v>13091.4</v>
      </c>
      <c r="D700" s="2">
        <v>44916</v>
      </c>
      <c r="E700" s="1">
        <v>2298</v>
      </c>
      <c r="G700" s="3">
        <v>6452615</v>
      </c>
      <c r="H700" s="3">
        <f t="shared" si="30"/>
        <v>84473764011</v>
      </c>
      <c r="J700" s="3">
        <v>149645000</v>
      </c>
      <c r="K700" s="3">
        <f t="shared" si="31"/>
        <v>343884210000</v>
      </c>
      <c r="M700" s="4">
        <f t="shared" si="32"/>
        <v>0.75435404838448383</v>
      </c>
    </row>
    <row r="701" spans="1:13" x14ac:dyDescent="0.45">
      <c r="A701" s="2">
        <v>44915</v>
      </c>
      <c r="B701" s="1">
        <v>13212.6</v>
      </c>
      <c r="D701" s="2">
        <v>44915</v>
      </c>
      <c r="E701" s="1">
        <v>2319.6</v>
      </c>
      <c r="G701" s="3">
        <v>6452615</v>
      </c>
      <c r="H701" s="3">
        <f t="shared" si="30"/>
        <v>85255820949</v>
      </c>
      <c r="J701" s="3">
        <v>149645000</v>
      </c>
      <c r="K701" s="3">
        <f t="shared" si="31"/>
        <v>347116542000</v>
      </c>
      <c r="M701" s="4">
        <f t="shared" si="32"/>
        <v>0.75438848158092098</v>
      </c>
    </row>
    <row r="702" spans="1:13" x14ac:dyDescent="0.45">
      <c r="A702" s="2">
        <v>44914</v>
      </c>
      <c r="B702" s="1">
        <v>13306.45</v>
      </c>
      <c r="D702" s="2">
        <v>44914</v>
      </c>
      <c r="E702" s="1">
        <v>2322.75</v>
      </c>
      <c r="G702" s="3">
        <v>6452615</v>
      </c>
      <c r="H702" s="3">
        <f t="shared" si="30"/>
        <v>85861398866.75</v>
      </c>
      <c r="J702" s="3">
        <v>149645000</v>
      </c>
      <c r="K702" s="3">
        <f t="shared" si="31"/>
        <v>347587923750</v>
      </c>
      <c r="M702" s="4">
        <f t="shared" si="32"/>
        <v>0.75297933846371157</v>
      </c>
    </row>
    <row r="703" spans="1:13" x14ac:dyDescent="0.45">
      <c r="A703" s="2">
        <v>44911</v>
      </c>
      <c r="B703" s="1">
        <v>13375.3</v>
      </c>
      <c r="D703" s="2">
        <v>44911</v>
      </c>
      <c r="E703" s="1">
        <v>2324.35</v>
      </c>
      <c r="G703" s="3">
        <v>6452615</v>
      </c>
      <c r="H703" s="3">
        <f t="shared" si="30"/>
        <v>86305661409.5</v>
      </c>
      <c r="J703" s="3">
        <v>149645000</v>
      </c>
      <c r="K703" s="3">
        <f t="shared" si="31"/>
        <v>347827355750</v>
      </c>
      <c r="M703" s="4">
        <f t="shared" si="32"/>
        <v>0.75187212856388452</v>
      </c>
    </row>
    <row r="704" spans="1:13" x14ac:dyDescent="0.45">
      <c r="A704" s="2">
        <v>44910</v>
      </c>
      <c r="B704" s="1">
        <v>13546.7</v>
      </c>
      <c r="D704" s="2">
        <v>44910</v>
      </c>
      <c r="E704" s="1">
        <v>2399.15</v>
      </c>
      <c r="G704" s="3">
        <v>6452615</v>
      </c>
      <c r="H704" s="3">
        <f t="shared" si="30"/>
        <v>87411639620.5</v>
      </c>
      <c r="J704" s="3">
        <v>149645000</v>
      </c>
      <c r="K704" s="3">
        <f t="shared" si="31"/>
        <v>359020801750</v>
      </c>
      <c r="M704" s="4">
        <f t="shared" si="32"/>
        <v>0.75652764632460467</v>
      </c>
    </row>
    <row r="705" spans="1:13" x14ac:dyDescent="0.45">
      <c r="A705" s="2">
        <v>44909</v>
      </c>
      <c r="B705" s="1">
        <v>13683.85</v>
      </c>
      <c r="D705" s="2">
        <v>44909</v>
      </c>
      <c r="E705" s="1">
        <v>2401.15</v>
      </c>
      <c r="G705" s="3">
        <v>6452615</v>
      </c>
      <c r="H705" s="3">
        <f t="shared" si="30"/>
        <v>88296615767.75</v>
      </c>
      <c r="J705" s="3">
        <v>149645000</v>
      </c>
      <c r="K705" s="3">
        <f t="shared" si="31"/>
        <v>359320091750</v>
      </c>
      <c r="M705" s="4">
        <f t="shared" si="32"/>
        <v>0.75426752415174403</v>
      </c>
    </row>
    <row r="706" spans="1:13" x14ac:dyDescent="0.45">
      <c r="A706" s="2">
        <v>44908</v>
      </c>
      <c r="B706" s="1">
        <v>13636.5</v>
      </c>
      <c r="D706" s="2">
        <v>44908</v>
      </c>
      <c r="E706" s="1">
        <v>2328.4</v>
      </c>
      <c r="G706" s="3">
        <v>6452615</v>
      </c>
      <c r="H706" s="3">
        <f t="shared" si="30"/>
        <v>87991084447.5</v>
      </c>
      <c r="J706" s="3">
        <v>149645000</v>
      </c>
      <c r="K706" s="3">
        <f t="shared" si="31"/>
        <v>348433418000</v>
      </c>
      <c r="M706" s="4">
        <f t="shared" si="32"/>
        <v>0.74746657495550561</v>
      </c>
    </row>
    <row r="707" spans="1:13" x14ac:dyDescent="0.45">
      <c r="A707" s="2">
        <v>44907</v>
      </c>
      <c r="B707" s="1">
        <v>13788.05</v>
      </c>
      <c r="D707" s="2">
        <v>44907</v>
      </c>
      <c r="E707" s="1">
        <v>2340.6</v>
      </c>
      <c r="G707" s="3">
        <v>6452615</v>
      </c>
      <c r="H707" s="3">
        <f t="shared" si="30"/>
        <v>88968978250.75</v>
      </c>
      <c r="J707" s="3">
        <v>149645000</v>
      </c>
      <c r="K707" s="3">
        <f t="shared" si="31"/>
        <v>350259087000</v>
      </c>
      <c r="M707" s="4">
        <f t="shared" si="32"/>
        <v>0.74599094912061481</v>
      </c>
    </row>
    <row r="708" spans="1:13" x14ac:dyDescent="0.45">
      <c r="A708" s="2">
        <v>44904</v>
      </c>
      <c r="B708" s="1">
        <v>13642.45</v>
      </c>
      <c r="D708" s="2">
        <v>44904</v>
      </c>
      <c r="E708" s="1">
        <v>2364.1999999999998</v>
      </c>
      <c r="G708" s="3">
        <v>6452615</v>
      </c>
      <c r="H708" s="3">
        <f t="shared" ref="H708:H771" si="33">+G708*B708</f>
        <v>88029477506.75</v>
      </c>
      <c r="J708" s="3">
        <v>149645000</v>
      </c>
      <c r="K708" s="3">
        <f t="shared" ref="K708:K771" si="34">+J708*E708</f>
        <v>353790709000</v>
      </c>
      <c r="M708" s="4">
        <f t="shared" ref="M708:M771" si="35">1- (H708/K708)</f>
        <v>0.75118205405798266</v>
      </c>
    </row>
    <row r="709" spans="1:13" x14ac:dyDescent="0.45">
      <c r="A709" s="2">
        <v>44903</v>
      </c>
      <c r="B709" s="1">
        <v>13910.65</v>
      </c>
      <c r="D709" s="2">
        <v>44903</v>
      </c>
      <c r="E709" s="1">
        <v>2384.35</v>
      </c>
      <c r="G709" s="3">
        <v>6452615</v>
      </c>
      <c r="H709" s="3">
        <f t="shared" si="33"/>
        <v>89760068849.75</v>
      </c>
      <c r="J709" s="3">
        <v>149645000</v>
      </c>
      <c r="K709" s="3">
        <f t="shared" si="34"/>
        <v>356806055750</v>
      </c>
      <c r="M709" s="4">
        <f t="shared" si="35"/>
        <v>0.7484345699764654</v>
      </c>
    </row>
    <row r="710" spans="1:13" x14ac:dyDescent="0.45">
      <c r="A710" s="2">
        <v>44902</v>
      </c>
      <c r="B710" s="1">
        <v>13921.1</v>
      </c>
      <c r="D710" s="2">
        <v>44902</v>
      </c>
      <c r="E710" s="1">
        <v>2373.4499999999998</v>
      </c>
      <c r="G710" s="3">
        <v>6452615</v>
      </c>
      <c r="H710" s="3">
        <f t="shared" si="33"/>
        <v>89827498676.5</v>
      </c>
      <c r="J710" s="3">
        <v>149645000</v>
      </c>
      <c r="K710" s="3">
        <f t="shared" si="34"/>
        <v>355174925250</v>
      </c>
      <c r="M710" s="4">
        <f t="shared" si="35"/>
        <v>0.74708941343966684</v>
      </c>
    </row>
    <row r="711" spans="1:13" x14ac:dyDescent="0.45">
      <c r="A711" s="2">
        <v>44901</v>
      </c>
      <c r="B711" s="1">
        <v>13943.95</v>
      </c>
      <c r="D711" s="2">
        <v>44901</v>
      </c>
      <c r="E711" s="1">
        <v>2385.1999999999998</v>
      </c>
      <c r="G711" s="3">
        <v>6452615</v>
      </c>
      <c r="H711" s="3">
        <f t="shared" si="33"/>
        <v>89974940929.25</v>
      </c>
      <c r="J711" s="3">
        <v>149645000</v>
      </c>
      <c r="K711" s="3">
        <f t="shared" si="34"/>
        <v>356933254000</v>
      </c>
      <c r="M711" s="4">
        <f t="shared" si="35"/>
        <v>0.74792222377450435</v>
      </c>
    </row>
    <row r="712" spans="1:13" x14ac:dyDescent="0.45">
      <c r="A712" s="2">
        <v>44900</v>
      </c>
      <c r="B712" s="1">
        <v>14209.15</v>
      </c>
      <c r="D712" s="2">
        <v>44900</v>
      </c>
      <c r="E712" s="1">
        <v>2399.25</v>
      </c>
      <c r="G712" s="3">
        <v>6452615</v>
      </c>
      <c r="H712" s="3">
        <f t="shared" si="33"/>
        <v>91686174427.25</v>
      </c>
      <c r="J712" s="3">
        <v>149645000</v>
      </c>
      <c r="K712" s="3">
        <f t="shared" si="34"/>
        <v>359035766250</v>
      </c>
      <c r="M712" s="4">
        <f t="shared" si="35"/>
        <v>0.74463219810973358</v>
      </c>
    </row>
    <row r="713" spans="1:13" x14ac:dyDescent="0.45">
      <c r="A713" s="2">
        <v>44897</v>
      </c>
      <c r="B713" s="1">
        <v>14096.8</v>
      </c>
      <c r="D713" s="2">
        <v>44897</v>
      </c>
      <c r="E713" s="1">
        <v>2398.3000000000002</v>
      </c>
      <c r="G713" s="3">
        <v>6452615</v>
      </c>
      <c r="H713" s="3">
        <f t="shared" si="33"/>
        <v>90961223132</v>
      </c>
      <c r="J713" s="3">
        <v>149645000</v>
      </c>
      <c r="K713" s="3">
        <f t="shared" si="34"/>
        <v>358893603500</v>
      </c>
      <c r="M713" s="4">
        <f t="shared" si="35"/>
        <v>0.74655100496378735</v>
      </c>
    </row>
    <row r="714" spans="1:13" x14ac:dyDescent="0.45">
      <c r="A714" s="2">
        <v>44896</v>
      </c>
      <c r="B714" s="1">
        <v>14019.55</v>
      </c>
      <c r="D714" s="2">
        <v>44896</v>
      </c>
      <c r="E714" s="1">
        <v>2395.9499999999998</v>
      </c>
      <c r="G714" s="3">
        <v>6452615</v>
      </c>
      <c r="H714" s="3">
        <f t="shared" si="33"/>
        <v>90462758623.25</v>
      </c>
      <c r="J714" s="3">
        <v>149645000</v>
      </c>
      <c r="K714" s="3">
        <f t="shared" si="34"/>
        <v>358541937750</v>
      </c>
      <c r="M714" s="4">
        <f t="shared" si="35"/>
        <v>0.74769267106955051</v>
      </c>
    </row>
    <row r="715" spans="1:13" x14ac:dyDescent="0.45">
      <c r="A715" s="2">
        <v>44895</v>
      </c>
      <c r="B715" s="1">
        <v>13631.95</v>
      </c>
      <c r="D715" s="2">
        <v>44895</v>
      </c>
      <c r="E715" s="1">
        <v>2363.25</v>
      </c>
      <c r="G715" s="3">
        <v>6452615</v>
      </c>
      <c r="H715" s="3">
        <f t="shared" si="33"/>
        <v>87961725049.25</v>
      </c>
      <c r="J715" s="3">
        <v>149645000</v>
      </c>
      <c r="K715" s="3">
        <f t="shared" si="34"/>
        <v>353648546250</v>
      </c>
      <c r="M715" s="4">
        <f t="shared" si="35"/>
        <v>0.75127361336000398</v>
      </c>
    </row>
    <row r="716" spans="1:13" x14ac:dyDescent="0.45">
      <c r="A716" s="2">
        <v>44894</v>
      </c>
      <c r="B716" s="1">
        <v>13272.15</v>
      </c>
      <c r="D716" s="2">
        <v>44894</v>
      </c>
      <c r="E716" s="1">
        <v>2320.65</v>
      </c>
      <c r="G716" s="3">
        <v>6452615</v>
      </c>
      <c r="H716" s="3">
        <f t="shared" si="33"/>
        <v>85640074172.25</v>
      </c>
      <c r="J716" s="3">
        <v>149645000</v>
      </c>
      <c r="K716" s="3">
        <f t="shared" si="34"/>
        <v>347273669250</v>
      </c>
      <c r="M716" s="4">
        <f t="shared" si="35"/>
        <v>0.75339312549320203</v>
      </c>
    </row>
    <row r="717" spans="1:13" x14ac:dyDescent="0.45">
      <c r="A717" s="2">
        <v>44893</v>
      </c>
      <c r="B717" s="1">
        <v>13583.15</v>
      </c>
      <c r="D717" s="2">
        <v>44893</v>
      </c>
      <c r="E717" s="1">
        <v>2324.5500000000002</v>
      </c>
      <c r="G717" s="3">
        <v>6452615</v>
      </c>
      <c r="H717" s="3">
        <f t="shared" si="33"/>
        <v>87646837437.25</v>
      </c>
      <c r="J717" s="3">
        <v>149645000</v>
      </c>
      <c r="K717" s="3">
        <f t="shared" si="34"/>
        <v>347857284750</v>
      </c>
      <c r="M717" s="4">
        <f t="shared" si="35"/>
        <v>0.74803794176614558</v>
      </c>
    </row>
    <row r="718" spans="1:13" x14ac:dyDescent="0.45">
      <c r="A718" s="2">
        <v>44890</v>
      </c>
      <c r="B718" s="1">
        <v>13692.95</v>
      </c>
      <c r="D718" s="2">
        <v>44890</v>
      </c>
      <c r="E718" s="1">
        <v>2278.8000000000002</v>
      </c>
      <c r="G718" s="3">
        <v>6452615</v>
      </c>
      <c r="H718" s="3">
        <f t="shared" si="33"/>
        <v>88355334564.25</v>
      </c>
      <c r="J718" s="3">
        <v>149645000</v>
      </c>
      <c r="K718" s="3">
        <f t="shared" si="34"/>
        <v>341011026000</v>
      </c>
      <c r="M718" s="4">
        <f t="shared" si="35"/>
        <v>0.74090182478659794</v>
      </c>
    </row>
    <row r="719" spans="1:13" x14ac:dyDescent="0.45">
      <c r="A719" s="2">
        <v>44889</v>
      </c>
      <c r="B719" s="1">
        <v>13792.5</v>
      </c>
      <c r="D719" s="2">
        <v>44889</v>
      </c>
      <c r="E719" s="1">
        <v>2260.15</v>
      </c>
      <c r="G719" s="3">
        <v>6452615</v>
      </c>
      <c r="H719" s="3">
        <f t="shared" si="33"/>
        <v>88997692387.5</v>
      </c>
      <c r="J719" s="3">
        <v>149645000</v>
      </c>
      <c r="K719" s="3">
        <f t="shared" si="34"/>
        <v>338220146750</v>
      </c>
      <c r="M719" s="4">
        <f t="shared" si="35"/>
        <v>0.73686460359416772</v>
      </c>
    </row>
    <row r="720" spans="1:13" x14ac:dyDescent="0.45">
      <c r="A720" s="2">
        <v>44888</v>
      </c>
      <c r="B720" s="1">
        <v>13426</v>
      </c>
      <c r="D720" s="2">
        <v>44888</v>
      </c>
      <c r="E720" s="1">
        <v>2277.3000000000002</v>
      </c>
      <c r="G720" s="3">
        <v>6452615</v>
      </c>
      <c r="H720" s="3">
        <f t="shared" si="33"/>
        <v>86632808990</v>
      </c>
      <c r="J720" s="3">
        <v>149645000</v>
      </c>
      <c r="K720" s="3">
        <f t="shared" si="34"/>
        <v>340786558500</v>
      </c>
      <c r="M720" s="4">
        <f t="shared" si="35"/>
        <v>0.74578572179806213</v>
      </c>
    </row>
    <row r="721" spans="1:13" x14ac:dyDescent="0.45">
      <c r="A721" s="2">
        <v>44887</v>
      </c>
      <c r="B721" s="1">
        <v>13298.45</v>
      </c>
      <c r="D721" s="2">
        <v>44887</v>
      </c>
      <c r="E721" s="1">
        <v>2288.75</v>
      </c>
      <c r="G721" s="3">
        <v>6452615</v>
      </c>
      <c r="H721" s="3">
        <f t="shared" si="33"/>
        <v>85809777946.75</v>
      </c>
      <c r="J721" s="3">
        <v>149645000</v>
      </c>
      <c r="K721" s="3">
        <f t="shared" si="34"/>
        <v>342499993750</v>
      </c>
      <c r="M721" s="4">
        <f t="shared" si="35"/>
        <v>0.74946049777336676</v>
      </c>
    </row>
    <row r="722" spans="1:13" x14ac:dyDescent="0.45">
      <c r="A722" s="2">
        <v>44886</v>
      </c>
      <c r="B722" s="1">
        <v>13199.85</v>
      </c>
      <c r="D722" s="2">
        <v>44886</v>
      </c>
      <c r="E722" s="1">
        <v>2246.35</v>
      </c>
      <c r="G722" s="3">
        <v>6452615</v>
      </c>
      <c r="H722" s="3">
        <f t="shared" si="33"/>
        <v>85173550107.75</v>
      </c>
      <c r="J722" s="3">
        <v>149645000</v>
      </c>
      <c r="K722" s="3">
        <f t="shared" si="34"/>
        <v>336155045750</v>
      </c>
      <c r="M722" s="4">
        <f t="shared" si="35"/>
        <v>0.7466242105106049</v>
      </c>
    </row>
    <row r="723" spans="1:13" x14ac:dyDescent="0.45">
      <c r="A723" s="2">
        <v>44883</v>
      </c>
      <c r="B723" s="1">
        <v>13324.45</v>
      </c>
      <c r="D723" s="2">
        <v>44883</v>
      </c>
      <c r="E723" s="1">
        <v>2274.75</v>
      </c>
      <c r="G723" s="3">
        <v>6452615</v>
      </c>
      <c r="H723" s="3">
        <f t="shared" si="33"/>
        <v>85977545936.75</v>
      </c>
      <c r="J723" s="3">
        <v>149645000</v>
      </c>
      <c r="K723" s="3">
        <f t="shared" si="34"/>
        <v>340404963750</v>
      </c>
      <c r="M723" s="4">
        <f t="shared" si="35"/>
        <v>0.74742569852802276</v>
      </c>
    </row>
    <row r="724" spans="1:13" x14ac:dyDescent="0.45">
      <c r="A724" s="2">
        <v>44882</v>
      </c>
      <c r="B724" s="1">
        <v>13788.25</v>
      </c>
      <c r="D724" s="2">
        <v>44882</v>
      </c>
      <c r="E724" s="1">
        <v>2337.35</v>
      </c>
      <c r="G724" s="3">
        <v>6452615</v>
      </c>
      <c r="H724" s="3">
        <f t="shared" si="33"/>
        <v>88970268773.75</v>
      </c>
      <c r="J724" s="3">
        <v>149645000</v>
      </c>
      <c r="K724" s="3">
        <f t="shared" si="34"/>
        <v>349772740750</v>
      </c>
      <c r="M724" s="4">
        <f t="shared" si="35"/>
        <v>0.74563406918739417</v>
      </c>
    </row>
    <row r="725" spans="1:13" x14ac:dyDescent="0.45">
      <c r="A725" s="2">
        <v>44881</v>
      </c>
      <c r="B725" s="1">
        <v>13192.05</v>
      </c>
      <c r="D725" s="2">
        <v>44881</v>
      </c>
      <c r="E725" s="1">
        <v>2369.8000000000002</v>
      </c>
      <c r="G725" s="3">
        <v>6452615</v>
      </c>
      <c r="H725" s="3">
        <f t="shared" si="33"/>
        <v>85123219710.75</v>
      </c>
      <c r="J725" s="3">
        <v>149645000</v>
      </c>
      <c r="K725" s="3">
        <f t="shared" si="34"/>
        <v>354628721000</v>
      </c>
      <c r="M725" s="4">
        <f t="shared" si="35"/>
        <v>0.75996524063049598</v>
      </c>
    </row>
    <row r="726" spans="1:13" x14ac:dyDescent="0.45">
      <c r="A726" s="2">
        <v>44880</v>
      </c>
      <c r="B726" s="1">
        <v>13115.85</v>
      </c>
      <c r="D726" s="2">
        <v>44880</v>
      </c>
      <c r="E726" s="1">
        <v>2402.4</v>
      </c>
      <c r="G726" s="3">
        <v>6452615</v>
      </c>
      <c r="H726" s="3">
        <f t="shared" si="33"/>
        <v>84631530447.75</v>
      </c>
      <c r="J726" s="3">
        <v>149645000</v>
      </c>
      <c r="K726" s="3">
        <f t="shared" si="34"/>
        <v>359507148000</v>
      </c>
      <c r="M726" s="4">
        <f t="shared" si="35"/>
        <v>0.76459013146589783</v>
      </c>
    </row>
    <row r="727" spans="1:13" x14ac:dyDescent="0.45">
      <c r="A727" s="2">
        <v>44879</v>
      </c>
      <c r="B727" s="1">
        <v>12994.25</v>
      </c>
      <c r="D727" s="2">
        <v>44879</v>
      </c>
      <c r="E727" s="1">
        <v>2379.25</v>
      </c>
      <c r="G727" s="3">
        <v>6452615</v>
      </c>
      <c r="H727" s="3">
        <f t="shared" si="33"/>
        <v>83846892463.75</v>
      </c>
      <c r="J727" s="3">
        <v>149645000</v>
      </c>
      <c r="K727" s="3">
        <f t="shared" si="34"/>
        <v>356042866250</v>
      </c>
      <c r="M727" s="4">
        <f t="shared" si="35"/>
        <v>0.76450337750939279</v>
      </c>
    </row>
    <row r="728" spans="1:13" x14ac:dyDescent="0.45">
      <c r="A728" s="2">
        <v>44876</v>
      </c>
      <c r="B728" s="1">
        <v>12491.8</v>
      </c>
      <c r="D728" s="2">
        <v>44876</v>
      </c>
      <c r="E728" s="1">
        <v>2388.75</v>
      </c>
      <c r="G728" s="3">
        <v>6452615</v>
      </c>
      <c r="H728" s="3">
        <f t="shared" si="33"/>
        <v>80604776057</v>
      </c>
      <c r="J728" s="3">
        <v>149645000</v>
      </c>
      <c r="K728" s="3">
        <f t="shared" si="34"/>
        <v>357464493750</v>
      </c>
      <c r="M728" s="4">
        <f t="shared" si="35"/>
        <v>0.774509699658807</v>
      </c>
    </row>
    <row r="729" spans="1:13" x14ac:dyDescent="0.45">
      <c r="A729" s="2">
        <v>44875</v>
      </c>
      <c r="B729" s="1">
        <v>12433.6</v>
      </c>
      <c r="D729" s="2">
        <v>44875</v>
      </c>
      <c r="E729" s="1">
        <v>2338.4499999999998</v>
      </c>
      <c r="G729" s="3">
        <v>6452615</v>
      </c>
      <c r="H729" s="3">
        <f t="shared" si="33"/>
        <v>80229233864</v>
      </c>
      <c r="J729" s="3">
        <v>149645000</v>
      </c>
      <c r="K729" s="3">
        <f t="shared" si="34"/>
        <v>349937350250</v>
      </c>
      <c r="M729" s="4">
        <f t="shared" si="35"/>
        <v>0.77073257882680102</v>
      </c>
    </row>
    <row r="730" spans="1:13" x14ac:dyDescent="0.45">
      <c r="A730" s="2">
        <v>44874</v>
      </c>
      <c r="B730" s="1">
        <v>12517.9</v>
      </c>
      <c r="D730" s="2">
        <v>44874</v>
      </c>
      <c r="E730" s="1">
        <v>2390.85</v>
      </c>
      <c r="G730" s="3">
        <v>6452615</v>
      </c>
      <c r="H730" s="3">
        <f t="shared" si="33"/>
        <v>80773189308.5</v>
      </c>
      <c r="J730" s="3">
        <v>149645000</v>
      </c>
      <c r="K730" s="3">
        <f t="shared" si="34"/>
        <v>357778748250</v>
      </c>
      <c r="M730" s="4">
        <f t="shared" si="35"/>
        <v>0.77423703978063207</v>
      </c>
    </row>
    <row r="731" spans="1:13" x14ac:dyDescent="0.45">
      <c r="A731" s="2">
        <v>44872</v>
      </c>
      <c r="B731" s="1">
        <v>12547.85</v>
      </c>
      <c r="D731" s="2">
        <v>44872</v>
      </c>
      <c r="E731" s="1">
        <v>2425.6999999999998</v>
      </c>
      <c r="G731" s="3">
        <v>6452615</v>
      </c>
      <c r="H731" s="3">
        <f t="shared" si="33"/>
        <v>80966445127.75</v>
      </c>
      <c r="J731" s="3">
        <v>149645000</v>
      </c>
      <c r="K731" s="3">
        <f t="shared" si="34"/>
        <v>362993876500</v>
      </c>
      <c r="M731" s="4">
        <f t="shared" si="35"/>
        <v>0.77694817910309844</v>
      </c>
    </row>
    <row r="732" spans="1:13" x14ac:dyDescent="0.45">
      <c r="A732" s="2">
        <v>44869</v>
      </c>
      <c r="B732" s="1">
        <v>12542.85</v>
      </c>
      <c r="D732" s="2">
        <v>44869</v>
      </c>
      <c r="E732" s="1">
        <v>2482.6</v>
      </c>
      <c r="G732" s="3">
        <v>6452615</v>
      </c>
      <c r="H732" s="3">
        <f t="shared" si="33"/>
        <v>80934182052.75</v>
      </c>
      <c r="J732" s="3">
        <v>149645000</v>
      </c>
      <c r="K732" s="3">
        <f t="shared" si="34"/>
        <v>371508677000</v>
      </c>
      <c r="M732" s="4">
        <f t="shared" si="35"/>
        <v>0.78214726313714067</v>
      </c>
    </row>
    <row r="733" spans="1:13" x14ac:dyDescent="0.45">
      <c r="A733" s="2">
        <v>44868</v>
      </c>
      <c r="B733" s="1">
        <v>12213.8</v>
      </c>
      <c r="D733" s="2">
        <v>44868</v>
      </c>
      <c r="E733" s="1">
        <v>2560.25</v>
      </c>
      <c r="G733" s="3">
        <v>6452615</v>
      </c>
      <c r="H733" s="3">
        <f t="shared" si="33"/>
        <v>78810949087</v>
      </c>
      <c r="J733" s="3">
        <v>149645000</v>
      </c>
      <c r="K733" s="3">
        <f t="shared" si="34"/>
        <v>383128611250</v>
      </c>
      <c r="M733" s="4">
        <f t="shared" si="35"/>
        <v>0.79429636218012933</v>
      </c>
    </row>
    <row r="734" spans="1:13" x14ac:dyDescent="0.45">
      <c r="A734" s="2">
        <v>44867</v>
      </c>
      <c r="B734" s="1">
        <v>12444.85</v>
      </c>
      <c r="D734" s="2">
        <v>44867</v>
      </c>
      <c r="E734" s="1">
        <v>2549.0500000000002</v>
      </c>
      <c r="G734" s="3">
        <v>6452615</v>
      </c>
      <c r="H734" s="3">
        <f t="shared" si="33"/>
        <v>80301825782.75</v>
      </c>
      <c r="J734" s="3">
        <v>149645000</v>
      </c>
      <c r="K734" s="3">
        <f t="shared" si="34"/>
        <v>381452587250</v>
      </c>
      <c r="M734" s="4">
        <f t="shared" si="35"/>
        <v>0.78948412340923246</v>
      </c>
    </row>
    <row r="735" spans="1:13" x14ac:dyDescent="0.45">
      <c r="A735" s="2">
        <v>44866</v>
      </c>
      <c r="B735" s="1">
        <v>12609.4</v>
      </c>
      <c r="D735" s="2">
        <v>44866</v>
      </c>
      <c r="E735" s="1">
        <v>2616.9</v>
      </c>
      <c r="G735" s="3">
        <v>6452615</v>
      </c>
      <c r="H735" s="3">
        <f t="shared" si="33"/>
        <v>81363603581</v>
      </c>
      <c r="J735" s="3">
        <v>149645000</v>
      </c>
      <c r="K735" s="3">
        <f t="shared" si="34"/>
        <v>391606000500</v>
      </c>
      <c r="M735" s="4">
        <f t="shared" si="35"/>
        <v>0.79223095796000198</v>
      </c>
    </row>
    <row r="736" spans="1:13" x14ac:dyDescent="0.45">
      <c r="A736" s="2">
        <v>44865</v>
      </c>
      <c r="B736" s="1">
        <v>12644.7</v>
      </c>
      <c r="D736" s="2">
        <v>44865</v>
      </c>
      <c r="E736" s="1">
        <v>2557.6</v>
      </c>
      <c r="G736" s="3">
        <v>6452615</v>
      </c>
      <c r="H736" s="3">
        <f t="shared" si="33"/>
        <v>81591380890.5</v>
      </c>
      <c r="J736" s="3">
        <v>149645000</v>
      </c>
      <c r="K736" s="3">
        <f t="shared" si="34"/>
        <v>382732052000</v>
      </c>
      <c r="M736" s="4">
        <f t="shared" si="35"/>
        <v>0.78681853149184378</v>
      </c>
    </row>
    <row r="737" spans="1:13" x14ac:dyDescent="0.45">
      <c r="A737" s="2">
        <v>44862</v>
      </c>
      <c r="B737" s="1">
        <v>12895.6</v>
      </c>
      <c r="D737" s="2">
        <v>44862</v>
      </c>
      <c r="E737" s="1">
        <v>2492.5500000000002</v>
      </c>
      <c r="G737" s="3">
        <v>6452615</v>
      </c>
      <c r="H737" s="3">
        <f t="shared" si="33"/>
        <v>83210341994</v>
      </c>
      <c r="J737" s="3">
        <v>149645000</v>
      </c>
      <c r="K737" s="3">
        <f t="shared" si="34"/>
        <v>372997644750</v>
      </c>
      <c r="M737" s="4">
        <f t="shared" si="35"/>
        <v>0.77691456456844021</v>
      </c>
    </row>
    <row r="738" spans="1:13" x14ac:dyDescent="0.45">
      <c r="A738" s="2">
        <v>44861</v>
      </c>
      <c r="B738" s="1">
        <v>12954.9</v>
      </c>
      <c r="D738" s="2">
        <v>44861</v>
      </c>
      <c r="E738" s="1">
        <v>2500.65</v>
      </c>
      <c r="G738" s="3">
        <v>6452615</v>
      </c>
      <c r="H738" s="3">
        <f t="shared" si="33"/>
        <v>83592982063.5</v>
      </c>
      <c r="J738" s="3">
        <v>149645000</v>
      </c>
      <c r="K738" s="3">
        <f t="shared" si="34"/>
        <v>374209769250</v>
      </c>
      <c r="M738" s="4">
        <f t="shared" si="35"/>
        <v>0.77661464522682289</v>
      </c>
    </row>
    <row r="739" spans="1:13" x14ac:dyDescent="0.45">
      <c r="A739" s="2">
        <v>44859</v>
      </c>
      <c r="B739" s="1">
        <v>12999.05</v>
      </c>
      <c r="D739" s="2">
        <v>44859</v>
      </c>
      <c r="E739" s="1">
        <v>2503.15</v>
      </c>
      <c r="G739" s="3">
        <v>6452615</v>
      </c>
      <c r="H739" s="3">
        <f t="shared" si="33"/>
        <v>83877865015.75</v>
      </c>
      <c r="J739" s="3">
        <v>149645000</v>
      </c>
      <c r="K739" s="3">
        <f t="shared" si="34"/>
        <v>374583881750</v>
      </c>
      <c r="M739" s="4">
        <f t="shared" si="35"/>
        <v>0.77607721767448956</v>
      </c>
    </row>
    <row r="740" spans="1:13" x14ac:dyDescent="0.45">
      <c r="A740" s="2">
        <v>44858</v>
      </c>
      <c r="B740" s="1">
        <v>13043.1</v>
      </c>
      <c r="D740" s="2">
        <v>44858</v>
      </c>
      <c r="E740" s="1">
        <v>2548.15</v>
      </c>
      <c r="G740" s="3">
        <v>6452615</v>
      </c>
      <c r="H740" s="3">
        <f t="shared" si="33"/>
        <v>84162102706.5</v>
      </c>
      <c r="J740" s="3">
        <v>149645000</v>
      </c>
      <c r="K740" s="3">
        <f t="shared" si="34"/>
        <v>381317906750</v>
      </c>
      <c r="M740" s="4">
        <f t="shared" si="35"/>
        <v>0.77928625638428661</v>
      </c>
    </row>
    <row r="741" spans="1:13" x14ac:dyDescent="0.45">
      <c r="A741" s="2">
        <v>44855</v>
      </c>
      <c r="B741" s="1">
        <v>12835.25</v>
      </c>
      <c r="D741" s="2">
        <v>44855</v>
      </c>
      <c r="E741" s="1">
        <v>2537.65</v>
      </c>
      <c r="G741" s="3">
        <v>6452615</v>
      </c>
      <c r="H741" s="3">
        <f t="shared" si="33"/>
        <v>82820926678.75</v>
      </c>
      <c r="J741" s="3">
        <v>149645000</v>
      </c>
      <c r="K741" s="3">
        <f t="shared" si="34"/>
        <v>379746634250</v>
      </c>
      <c r="M741" s="4">
        <f t="shared" si="35"/>
        <v>0.78190477753062537</v>
      </c>
    </row>
    <row r="742" spans="1:13" x14ac:dyDescent="0.45">
      <c r="A742" s="2">
        <v>44854</v>
      </c>
      <c r="B742" s="1">
        <v>13234.35</v>
      </c>
      <c r="D742" s="2">
        <v>44854</v>
      </c>
      <c r="E742" s="1">
        <v>2575.3000000000002</v>
      </c>
      <c r="G742" s="3">
        <v>6452615</v>
      </c>
      <c r="H742" s="3">
        <f t="shared" si="33"/>
        <v>85396165325.25</v>
      </c>
      <c r="J742" s="3">
        <v>149645000</v>
      </c>
      <c r="K742" s="3">
        <f t="shared" si="34"/>
        <v>385380768500</v>
      </c>
      <c r="M742" s="4">
        <f t="shared" si="35"/>
        <v>0.77841093197869315</v>
      </c>
    </row>
    <row r="743" spans="1:13" x14ac:dyDescent="0.45">
      <c r="A743" s="2">
        <v>44853</v>
      </c>
      <c r="B743" s="1">
        <v>13187.45</v>
      </c>
      <c r="D743" s="2">
        <v>44853</v>
      </c>
      <c r="E743" s="1">
        <v>2580.85</v>
      </c>
      <c r="G743" s="3">
        <v>6452615</v>
      </c>
      <c r="H743" s="3">
        <f t="shared" si="33"/>
        <v>85093537681.75</v>
      </c>
      <c r="J743" s="3">
        <v>149645000</v>
      </c>
      <c r="K743" s="3">
        <f t="shared" si="34"/>
        <v>386211298250</v>
      </c>
      <c r="M743" s="4">
        <f t="shared" si="35"/>
        <v>0.77967102964795254</v>
      </c>
    </row>
    <row r="744" spans="1:13" x14ac:dyDescent="0.45">
      <c r="A744" s="2">
        <v>44852</v>
      </c>
      <c r="B744" s="1">
        <v>13242.45</v>
      </c>
      <c r="D744" s="2">
        <v>44852</v>
      </c>
      <c r="E744" s="1">
        <v>2564.3000000000002</v>
      </c>
      <c r="G744" s="3">
        <v>6452615</v>
      </c>
      <c r="H744" s="3">
        <f t="shared" si="33"/>
        <v>85448431506.75</v>
      </c>
      <c r="J744" s="3">
        <v>149645000</v>
      </c>
      <c r="K744" s="3">
        <f t="shared" si="34"/>
        <v>383734673500</v>
      </c>
      <c r="M744" s="4">
        <f t="shared" si="35"/>
        <v>0.77732418411037851</v>
      </c>
    </row>
    <row r="745" spans="1:13" x14ac:dyDescent="0.45">
      <c r="A745" s="2">
        <v>44851</v>
      </c>
      <c r="B745" s="1">
        <v>12891.75</v>
      </c>
      <c r="D745" s="2">
        <v>44851</v>
      </c>
      <c r="E745" s="1">
        <v>2551.4</v>
      </c>
      <c r="G745" s="3">
        <v>6452615</v>
      </c>
      <c r="H745" s="3">
        <f t="shared" si="33"/>
        <v>83185499426.25</v>
      </c>
      <c r="J745" s="3">
        <v>149645000</v>
      </c>
      <c r="K745" s="3">
        <f t="shared" si="34"/>
        <v>381804253000</v>
      </c>
      <c r="M745" s="4">
        <f t="shared" si="35"/>
        <v>0.78212526766628243</v>
      </c>
    </row>
    <row r="746" spans="1:13" x14ac:dyDescent="0.45">
      <c r="A746" s="2">
        <v>44848</v>
      </c>
      <c r="B746" s="1">
        <v>12643.7</v>
      </c>
      <c r="D746" s="2">
        <v>44848</v>
      </c>
      <c r="E746" s="1">
        <v>2495.6</v>
      </c>
      <c r="G746" s="3">
        <v>6452615</v>
      </c>
      <c r="H746" s="3">
        <f t="shared" si="33"/>
        <v>81584928275.5</v>
      </c>
      <c r="J746" s="3">
        <v>149645000</v>
      </c>
      <c r="K746" s="3">
        <f t="shared" si="34"/>
        <v>373454062000</v>
      </c>
      <c r="M746" s="4">
        <f t="shared" si="35"/>
        <v>0.78153958792527467</v>
      </c>
    </row>
    <row r="747" spans="1:13" x14ac:dyDescent="0.45">
      <c r="A747" s="2">
        <v>44847</v>
      </c>
      <c r="B747" s="1">
        <v>12645.9</v>
      </c>
      <c r="D747" s="2">
        <v>44847</v>
      </c>
      <c r="E747" s="1">
        <v>2496.1999999999998</v>
      </c>
      <c r="G747" s="3">
        <v>6452615</v>
      </c>
      <c r="H747" s="3">
        <f t="shared" si="33"/>
        <v>81599124028.5</v>
      </c>
      <c r="J747" s="3">
        <v>149645000</v>
      </c>
      <c r="K747" s="3">
        <f t="shared" si="34"/>
        <v>373543849000</v>
      </c>
      <c r="M747" s="4">
        <f t="shared" si="35"/>
        <v>0.78155409533058595</v>
      </c>
    </row>
    <row r="748" spans="1:13" x14ac:dyDescent="0.45">
      <c r="A748" s="2">
        <v>44846</v>
      </c>
      <c r="B748" s="1">
        <v>12567.4</v>
      </c>
      <c r="D748" s="2">
        <v>44846</v>
      </c>
      <c r="E748" s="1">
        <v>2529.1999999999998</v>
      </c>
      <c r="G748" s="3">
        <v>6452615</v>
      </c>
      <c r="H748" s="3">
        <f t="shared" si="33"/>
        <v>81092593751</v>
      </c>
      <c r="J748" s="3">
        <v>149645000</v>
      </c>
      <c r="K748" s="3">
        <f t="shared" si="34"/>
        <v>378482134000</v>
      </c>
      <c r="M748" s="4">
        <f t="shared" si="35"/>
        <v>0.78574261116642297</v>
      </c>
    </row>
    <row r="749" spans="1:13" x14ac:dyDescent="0.45">
      <c r="A749" s="2">
        <v>44845</v>
      </c>
      <c r="B749" s="1">
        <v>12507.85</v>
      </c>
      <c r="D749" s="2">
        <v>44845</v>
      </c>
      <c r="E749" s="1">
        <v>2501.5500000000002</v>
      </c>
      <c r="G749" s="3">
        <v>6452615</v>
      </c>
      <c r="H749" s="3">
        <f t="shared" si="33"/>
        <v>80708340527.75</v>
      </c>
      <c r="J749" s="3">
        <v>149645000</v>
      </c>
      <c r="K749" s="3">
        <f t="shared" si="34"/>
        <v>374344449750</v>
      </c>
      <c r="M749" s="4">
        <f t="shared" si="35"/>
        <v>0.78440086240987472</v>
      </c>
    </row>
    <row r="750" spans="1:13" x14ac:dyDescent="0.45">
      <c r="A750" s="2">
        <v>44844</v>
      </c>
      <c r="B750" s="1">
        <v>12725.3</v>
      </c>
      <c r="D750" s="2">
        <v>44844</v>
      </c>
      <c r="E750" s="1">
        <v>2539.9</v>
      </c>
      <c r="G750" s="3">
        <v>6452615</v>
      </c>
      <c r="H750" s="3">
        <f t="shared" si="33"/>
        <v>82111461659.5</v>
      </c>
      <c r="J750" s="3">
        <v>149645000</v>
      </c>
      <c r="K750" s="3">
        <f t="shared" si="34"/>
        <v>380083335500</v>
      </c>
      <c r="M750" s="4">
        <f t="shared" si="35"/>
        <v>0.78396458357880305</v>
      </c>
    </row>
    <row r="751" spans="1:13" x14ac:dyDescent="0.45">
      <c r="A751" s="2">
        <v>44841</v>
      </c>
      <c r="B751" s="1">
        <v>12885.95</v>
      </c>
      <c r="D751" s="2">
        <v>44841</v>
      </c>
      <c r="E751" s="1">
        <v>2558.9</v>
      </c>
      <c r="G751" s="3">
        <v>6452615</v>
      </c>
      <c r="H751" s="3">
        <f t="shared" si="33"/>
        <v>83148074259.25</v>
      </c>
      <c r="J751" s="3">
        <v>149645000</v>
      </c>
      <c r="K751" s="3">
        <f t="shared" si="34"/>
        <v>382926590500</v>
      </c>
      <c r="M751" s="4">
        <f t="shared" si="35"/>
        <v>0.78286158150918483</v>
      </c>
    </row>
    <row r="752" spans="1:13" x14ac:dyDescent="0.45">
      <c r="A752" s="2">
        <v>44840</v>
      </c>
      <c r="B752" s="1">
        <v>12951.6</v>
      </c>
      <c r="D752" s="2">
        <v>44840</v>
      </c>
      <c r="E752" s="1">
        <v>2574.85</v>
      </c>
      <c r="G752" s="3">
        <v>6452615</v>
      </c>
      <c r="H752" s="3">
        <f t="shared" si="33"/>
        <v>83571688434</v>
      </c>
      <c r="J752" s="3">
        <v>149645000</v>
      </c>
      <c r="K752" s="3">
        <f t="shared" si="34"/>
        <v>385313428250</v>
      </c>
      <c r="M752" s="4">
        <f t="shared" si="35"/>
        <v>0.78310725163781003</v>
      </c>
    </row>
    <row r="753" spans="1:13" x14ac:dyDescent="0.45">
      <c r="A753" s="2">
        <v>44838</v>
      </c>
      <c r="B753" s="1">
        <v>12844.1</v>
      </c>
      <c r="D753" s="2">
        <v>44838</v>
      </c>
      <c r="E753" s="1">
        <v>2544.0500000000002</v>
      </c>
      <c r="G753" s="3">
        <v>6452615</v>
      </c>
      <c r="H753" s="3">
        <f t="shared" si="33"/>
        <v>82878032321.5</v>
      </c>
      <c r="J753" s="3">
        <v>149645000</v>
      </c>
      <c r="K753" s="3">
        <f t="shared" si="34"/>
        <v>380704362250</v>
      </c>
      <c r="M753" s="4">
        <f t="shared" si="35"/>
        <v>0.78230343400405833</v>
      </c>
    </row>
    <row r="754" spans="1:13" x14ac:dyDescent="0.45">
      <c r="A754" s="2">
        <v>44837</v>
      </c>
      <c r="B754" s="1">
        <v>12620.7</v>
      </c>
      <c r="D754" s="2">
        <v>44837</v>
      </c>
      <c r="E754" s="1">
        <v>2478.65</v>
      </c>
      <c r="G754" s="3">
        <v>6452615</v>
      </c>
      <c r="H754" s="3">
        <f t="shared" si="33"/>
        <v>81436518130.5</v>
      </c>
      <c r="J754" s="3">
        <v>149645000</v>
      </c>
      <c r="K754" s="3">
        <f t="shared" si="34"/>
        <v>370917579250</v>
      </c>
      <c r="M754" s="4">
        <f t="shared" si="35"/>
        <v>0.78044578449162305</v>
      </c>
    </row>
    <row r="755" spans="1:13" x14ac:dyDescent="0.45">
      <c r="A755" s="2">
        <v>44834</v>
      </c>
      <c r="B755" s="1">
        <v>12805.15</v>
      </c>
      <c r="D755" s="2">
        <v>44834</v>
      </c>
      <c r="E755" s="1">
        <v>2503.9</v>
      </c>
      <c r="G755" s="3">
        <v>6452615</v>
      </c>
      <c r="H755" s="3">
        <f t="shared" si="33"/>
        <v>82626702967.25</v>
      </c>
      <c r="J755" s="3">
        <v>149645000</v>
      </c>
      <c r="K755" s="3">
        <f t="shared" si="34"/>
        <v>374696115500</v>
      </c>
      <c r="M755" s="4">
        <f t="shared" si="35"/>
        <v>0.7794834279053261</v>
      </c>
    </row>
    <row r="756" spans="1:13" x14ac:dyDescent="0.45">
      <c r="A756" s="2">
        <v>44833</v>
      </c>
      <c r="B756" s="1">
        <v>12614.85</v>
      </c>
      <c r="D756" s="2">
        <v>44833</v>
      </c>
      <c r="E756" s="1">
        <v>2546.35</v>
      </c>
      <c r="G756" s="3">
        <v>6452615</v>
      </c>
      <c r="H756" s="3">
        <f t="shared" si="33"/>
        <v>81398770332.75</v>
      </c>
      <c r="J756" s="3">
        <v>149645000</v>
      </c>
      <c r="K756" s="3">
        <f t="shared" si="34"/>
        <v>381048545750</v>
      </c>
      <c r="M756" s="4">
        <f t="shared" si="35"/>
        <v>0.78638215198397721</v>
      </c>
    </row>
    <row r="757" spans="1:13" x14ac:dyDescent="0.45">
      <c r="A757" s="2">
        <v>44832</v>
      </c>
      <c r="B757" s="1">
        <v>12429.7</v>
      </c>
      <c r="D757" s="2">
        <v>44832</v>
      </c>
      <c r="E757" s="1">
        <v>2485.35</v>
      </c>
      <c r="G757" s="3">
        <v>6452615</v>
      </c>
      <c r="H757" s="3">
        <f t="shared" si="33"/>
        <v>80204068665.5</v>
      </c>
      <c r="J757" s="3">
        <v>149645000</v>
      </c>
      <c r="K757" s="3">
        <f t="shared" si="34"/>
        <v>371920200750</v>
      </c>
      <c r="M757" s="4">
        <f t="shared" si="35"/>
        <v>0.78435140521067814</v>
      </c>
    </row>
    <row r="758" spans="1:13" x14ac:dyDescent="0.45">
      <c r="A758" s="2">
        <v>44831</v>
      </c>
      <c r="B758" s="1">
        <v>12627.65</v>
      </c>
      <c r="D758" s="2">
        <v>44831</v>
      </c>
      <c r="E758" s="1">
        <v>2485.3000000000002</v>
      </c>
      <c r="G758" s="3">
        <v>6452615</v>
      </c>
      <c r="H758" s="3">
        <f t="shared" si="33"/>
        <v>81481363804.75</v>
      </c>
      <c r="J758" s="3">
        <v>149645000</v>
      </c>
      <c r="K758" s="3">
        <f t="shared" si="34"/>
        <v>371912718500</v>
      </c>
      <c r="M758" s="4">
        <f t="shared" si="35"/>
        <v>0.78091267184036894</v>
      </c>
    </row>
    <row r="759" spans="1:13" x14ac:dyDescent="0.45">
      <c r="A759" s="2">
        <v>44830</v>
      </c>
      <c r="B759" s="1">
        <v>12495.05</v>
      </c>
      <c r="D759" s="2">
        <v>44830</v>
      </c>
      <c r="E759" s="1">
        <v>2511.4</v>
      </c>
      <c r="G759" s="3">
        <v>6452615</v>
      </c>
      <c r="H759" s="3">
        <f t="shared" si="33"/>
        <v>80625747055.75</v>
      </c>
      <c r="J759" s="3">
        <v>149645000</v>
      </c>
      <c r="K759" s="3">
        <f t="shared" si="34"/>
        <v>375818453000</v>
      </c>
      <c r="M759" s="4">
        <f t="shared" si="35"/>
        <v>0.78546623665722448</v>
      </c>
    </row>
    <row r="760" spans="1:13" x14ac:dyDescent="0.45">
      <c r="A760" s="2">
        <v>44827</v>
      </c>
      <c r="B760" s="1">
        <v>12716.05</v>
      </c>
      <c r="D760" s="2">
        <v>44827</v>
      </c>
      <c r="E760" s="1">
        <v>2573.1</v>
      </c>
      <c r="G760" s="3">
        <v>6452615</v>
      </c>
      <c r="H760" s="3">
        <f t="shared" si="33"/>
        <v>82051774970.75</v>
      </c>
      <c r="J760" s="3">
        <v>149645000</v>
      </c>
      <c r="K760" s="3">
        <f t="shared" si="34"/>
        <v>385051549500</v>
      </c>
      <c r="M760" s="4">
        <f t="shared" si="35"/>
        <v>0.78690703861003419</v>
      </c>
    </row>
    <row r="761" spans="1:13" x14ac:dyDescent="0.45">
      <c r="A761" s="2">
        <v>44826</v>
      </c>
      <c r="B761" s="1">
        <v>13093.05</v>
      </c>
      <c r="D761" s="2">
        <v>44826</v>
      </c>
      <c r="E761" s="1">
        <v>2623</v>
      </c>
      <c r="G761" s="3">
        <v>6452615</v>
      </c>
      <c r="H761" s="3">
        <f t="shared" si="33"/>
        <v>84484410825.75</v>
      </c>
      <c r="J761" s="3">
        <v>149645000</v>
      </c>
      <c r="K761" s="3">
        <f t="shared" si="34"/>
        <v>392518835000</v>
      </c>
      <c r="M761" s="4">
        <f t="shared" si="35"/>
        <v>0.78476342205145388</v>
      </c>
    </row>
    <row r="762" spans="1:13" x14ac:dyDescent="0.45">
      <c r="A762" s="2">
        <v>44825</v>
      </c>
      <c r="B762" s="1">
        <v>12924.2</v>
      </c>
      <c r="D762" s="2">
        <v>44825</v>
      </c>
      <c r="E762" s="1">
        <v>2625.25</v>
      </c>
      <c r="G762" s="3">
        <v>6452615</v>
      </c>
      <c r="H762" s="3">
        <f t="shared" si="33"/>
        <v>83394886783</v>
      </c>
      <c r="J762" s="3">
        <v>149645000</v>
      </c>
      <c r="K762" s="3">
        <f t="shared" si="34"/>
        <v>392855536250</v>
      </c>
      <c r="M762" s="4">
        <f t="shared" si="35"/>
        <v>0.78772123824690021</v>
      </c>
    </row>
    <row r="763" spans="1:13" x14ac:dyDescent="0.45">
      <c r="A763" s="2">
        <v>44824</v>
      </c>
      <c r="B763" s="1">
        <v>13362.8</v>
      </c>
      <c r="D763" s="2">
        <v>44824</v>
      </c>
      <c r="E763" s="1">
        <v>2681.65</v>
      </c>
      <c r="G763" s="3">
        <v>6452615</v>
      </c>
      <c r="H763" s="3">
        <f t="shared" si="33"/>
        <v>86225003722</v>
      </c>
      <c r="J763" s="3">
        <v>149645000</v>
      </c>
      <c r="K763" s="3">
        <f t="shared" si="34"/>
        <v>401295514250</v>
      </c>
      <c r="M763" s="4">
        <f t="shared" si="35"/>
        <v>0.78513339755828082</v>
      </c>
    </row>
    <row r="764" spans="1:13" x14ac:dyDescent="0.45">
      <c r="A764" s="2">
        <v>44823</v>
      </c>
      <c r="B764" s="1">
        <v>12841.1</v>
      </c>
      <c r="D764" s="2">
        <v>44823</v>
      </c>
      <c r="E764" s="1">
        <v>2682.05</v>
      </c>
      <c r="G764" s="3">
        <v>6452615</v>
      </c>
      <c r="H764" s="3">
        <f t="shared" si="33"/>
        <v>82858674476.5</v>
      </c>
      <c r="J764" s="3">
        <v>149645000</v>
      </c>
      <c r="K764" s="3">
        <f t="shared" si="34"/>
        <v>401355372250</v>
      </c>
      <c r="M764" s="4">
        <f t="shared" si="35"/>
        <v>0.79355284566892947</v>
      </c>
    </row>
    <row r="765" spans="1:13" x14ac:dyDescent="0.45">
      <c r="A765" s="2">
        <v>44820</v>
      </c>
      <c r="B765" s="1">
        <v>13054.65</v>
      </c>
      <c r="D765" s="2">
        <v>44820</v>
      </c>
      <c r="E765" s="1">
        <v>2706.25</v>
      </c>
      <c r="G765" s="3">
        <v>6452615</v>
      </c>
      <c r="H765" s="3">
        <f t="shared" si="33"/>
        <v>84236630409.75</v>
      </c>
      <c r="J765" s="3">
        <v>149645000</v>
      </c>
      <c r="K765" s="3">
        <f t="shared" si="34"/>
        <v>404976781250</v>
      </c>
      <c r="M765" s="4">
        <f t="shared" si="35"/>
        <v>0.79199639507789676</v>
      </c>
    </row>
    <row r="766" spans="1:13" x14ac:dyDescent="0.45">
      <c r="A766" s="2">
        <v>44819</v>
      </c>
      <c r="B766" s="1">
        <v>13736.55</v>
      </c>
      <c r="D766" s="2">
        <v>44819</v>
      </c>
      <c r="E766" s="1">
        <v>2820.45</v>
      </c>
      <c r="G766" s="3">
        <v>6452615</v>
      </c>
      <c r="H766" s="3">
        <f t="shared" si="33"/>
        <v>88636668578.25</v>
      </c>
      <c r="J766" s="3">
        <v>149645000</v>
      </c>
      <c r="K766" s="3">
        <f t="shared" si="34"/>
        <v>422066240250</v>
      </c>
      <c r="M766" s="4">
        <f t="shared" si="35"/>
        <v>0.78999346518274394</v>
      </c>
    </row>
    <row r="767" spans="1:13" x14ac:dyDescent="0.45">
      <c r="A767" s="2">
        <v>44818</v>
      </c>
      <c r="B767" s="1">
        <v>14145</v>
      </c>
      <c r="D767" s="2">
        <v>44818</v>
      </c>
      <c r="E767" s="1">
        <v>2821.9</v>
      </c>
      <c r="G767" s="3">
        <v>6452615</v>
      </c>
      <c r="H767" s="3">
        <f t="shared" si="33"/>
        <v>91272239175</v>
      </c>
      <c r="J767" s="3">
        <v>149645000</v>
      </c>
      <c r="K767" s="3">
        <f t="shared" si="34"/>
        <v>422283225500</v>
      </c>
      <c r="M767" s="4">
        <f t="shared" si="35"/>
        <v>0.78386013541757416</v>
      </c>
    </row>
    <row r="768" spans="1:13" x14ac:dyDescent="0.45">
      <c r="A768" s="2">
        <v>44817</v>
      </c>
      <c r="B768" s="1">
        <v>14172.25</v>
      </c>
      <c r="D768" s="2">
        <v>44817</v>
      </c>
      <c r="E768" s="1">
        <v>2826.3</v>
      </c>
      <c r="G768" s="3">
        <v>6452615</v>
      </c>
      <c r="H768" s="3">
        <f t="shared" si="33"/>
        <v>91448072933.75</v>
      </c>
      <c r="J768" s="3">
        <v>149645000</v>
      </c>
      <c r="K768" s="3">
        <f t="shared" si="34"/>
        <v>422941663500</v>
      </c>
      <c r="M768" s="4">
        <f t="shared" si="35"/>
        <v>0.78378088321452399</v>
      </c>
    </row>
    <row r="769" spans="1:13" x14ac:dyDescent="0.45">
      <c r="A769" s="2">
        <v>44816</v>
      </c>
      <c r="B769" s="1">
        <v>13461.85</v>
      </c>
      <c r="D769" s="2">
        <v>44816</v>
      </c>
      <c r="E769" s="1">
        <v>2727.3</v>
      </c>
      <c r="G769" s="3">
        <v>6452615</v>
      </c>
      <c r="H769" s="3">
        <f t="shared" si="33"/>
        <v>86864135237.75</v>
      </c>
      <c r="J769" s="3">
        <v>149645000</v>
      </c>
      <c r="K769" s="3">
        <f t="shared" si="34"/>
        <v>408126808500</v>
      </c>
      <c r="M769" s="4">
        <f t="shared" si="35"/>
        <v>0.78716385831892732</v>
      </c>
    </row>
    <row r="770" spans="1:13" x14ac:dyDescent="0.45">
      <c r="A770" s="2">
        <v>44813</v>
      </c>
      <c r="B770" s="1">
        <v>13015.55</v>
      </c>
      <c r="D770" s="2">
        <v>44813</v>
      </c>
      <c r="E770" s="1">
        <v>2639.85</v>
      </c>
      <c r="G770" s="3">
        <v>6452615</v>
      </c>
      <c r="H770" s="3">
        <f t="shared" si="33"/>
        <v>83984333163.25</v>
      </c>
      <c r="J770" s="3">
        <v>149645000</v>
      </c>
      <c r="K770" s="3">
        <f t="shared" si="34"/>
        <v>395040353250</v>
      </c>
      <c r="M770" s="4">
        <f t="shared" si="35"/>
        <v>0.78740315395045024</v>
      </c>
    </row>
    <row r="771" spans="1:13" x14ac:dyDescent="0.45">
      <c r="A771" s="2">
        <v>44812</v>
      </c>
      <c r="B771" s="1">
        <v>13307.65</v>
      </c>
      <c r="D771" s="2">
        <v>44812</v>
      </c>
      <c r="E771" s="1">
        <v>2647.95</v>
      </c>
      <c r="G771" s="3">
        <v>6452615</v>
      </c>
      <c r="H771" s="3">
        <f t="shared" si="33"/>
        <v>85869142004.75</v>
      </c>
      <c r="J771" s="3">
        <v>149645000</v>
      </c>
      <c r="K771" s="3">
        <f t="shared" si="34"/>
        <v>396252477750</v>
      </c>
      <c r="M771" s="4">
        <f t="shared" si="35"/>
        <v>0.78329689572584638</v>
      </c>
    </row>
    <row r="772" spans="1:13" x14ac:dyDescent="0.45">
      <c r="A772" s="2">
        <v>44811</v>
      </c>
      <c r="B772" s="1">
        <v>13348.95</v>
      </c>
      <c r="D772" s="2">
        <v>44811</v>
      </c>
      <c r="E772" s="1">
        <v>2622.2</v>
      </c>
      <c r="G772" s="3">
        <v>6452615</v>
      </c>
      <c r="H772" s="3">
        <f t="shared" ref="H772:H835" si="36">+G772*B772</f>
        <v>86135635004.25</v>
      </c>
      <c r="J772" s="3">
        <v>149645000</v>
      </c>
      <c r="K772" s="3">
        <f t="shared" ref="K772:K835" si="37">+J772*E772</f>
        <v>392399119000</v>
      </c>
      <c r="M772" s="4">
        <f t="shared" ref="M772:M835" si="38">1- (H772/K772)</f>
        <v>0.78048973396331711</v>
      </c>
    </row>
    <row r="773" spans="1:13" x14ac:dyDescent="0.45">
      <c r="A773" s="2">
        <v>44810</v>
      </c>
      <c r="B773" s="1">
        <v>13149.05</v>
      </c>
      <c r="D773" s="2">
        <v>44810</v>
      </c>
      <c r="E773" s="1">
        <v>2621.15</v>
      </c>
      <c r="G773" s="3">
        <v>6452615</v>
      </c>
      <c r="H773" s="3">
        <f t="shared" si="36"/>
        <v>84845757265.75</v>
      </c>
      <c r="J773" s="3">
        <v>149645000</v>
      </c>
      <c r="K773" s="3">
        <f t="shared" si="37"/>
        <v>392241991750</v>
      </c>
      <c r="M773" s="4">
        <f t="shared" si="38"/>
        <v>0.78369027526296209</v>
      </c>
    </row>
    <row r="774" spans="1:13" x14ac:dyDescent="0.45">
      <c r="A774" s="2">
        <v>44809</v>
      </c>
      <c r="B774" s="1">
        <v>13157.65</v>
      </c>
      <c r="D774" s="2">
        <v>44809</v>
      </c>
      <c r="E774" s="1">
        <v>2599.85</v>
      </c>
      <c r="G774" s="3">
        <v>6452615</v>
      </c>
      <c r="H774" s="3">
        <f t="shared" si="36"/>
        <v>84901249754.75</v>
      </c>
      <c r="J774" s="3">
        <v>149645000</v>
      </c>
      <c r="K774" s="3">
        <f t="shared" si="37"/>
        <v>389054553250</v>
      </c>
      <c r="M774" s="4">
        <f t="shared" si="38"/>
        <v>0.78177546298964951</v>
      </c>
    </row>
    <row r="775" spans="1:13" x14ac:dyDescent="0.45">
      <c r="A775" s="2">
        <v>44806</v>
      </c>
      <c r="B775" s="1">
        <v>12949.6</v>
      </c>
      <c r="D775" s="2">
        <v>44806</v>
      </c>
      <c r="E775" s="1">
        <v>2603</v>
      </c>
      <c r="G775" s="3">
        <v>6452615</v>
      </c>
      <c r="H775" s="3">
        <f t="shared" si="36"/>
        <v>83558783204</v>
      </c>
      <c r="J775" s="3">
        <v>149645000</v>
      </c>
      <c r="K775" s="3">
        <f t="shared" si="37"/>
        <v>389525935000</v>
      </c>
      <c r="M775" s="4">
        <f t="shared" si="38"/>
        <v>0.78548595691324119</v>
      </c>
    </row>
    <row r="776" spans="1:13" x14ac:dyDescent="0.45">
      <c r="A776" s="2">
        <v>44805</v>
      </c>
      <c r="B776" s="1">
        <v>13098.25</v>
      </c>
      <c r="D776" s="2">
        <v>44805</v>
      </c>
      <c r="E776" s="1">
        <v>2665.75</v>
      </c>
      <c r="G776" s="3">
        <v>6452615</v>
      </c>
      <c r="H776" s="3">
        <f t="shared" si="36"/>
        <v>84517964423.75</v>
      </c>
      <c r="J776" s="3">
        <v>149645000</v>
      </c>
      <c r="K776" s="3">
        <f t="shared" si="37"/>
        <v>398916158750</v>
      </c>
      <c r="M776" s="4">
        <f t="shared" si="38"/>
        <v>0.78813100805796821</v>
      </c>
    </row>
    <row r="777" spans="1:13" x14ac:dyDescent="0.45">
      <c r="A777" s="2">
        <v>44803</v>
      </c>
      <c r="B777" s="1">
        <v>13099.15</v>
      </c>
      <c r="D777" s="2">
        <v>44803</v>
      </c>
      <c r="E777" s="1">
        <v>2544.6</v>
      </c>
      <c r="G777" s="3">
        <v>6452615</v>
      </c>
      <c r="H777" s="3">
        <f t="shared" si="36"/>
        <v>84523771777.25</v>
      </c>
      <c r="J777" s="3">
        <v>150245000</v>
      </c>
      <c r="K777" s="3">
        <f>+J777*E777</f>
        <v>382313427000</v>
      </c>
      <c r="M777" s="4">
        <f t="shared" si="38"/>
        <v>0.77891497967909462</v>
      </c>
    </row>
    <row r="778" spans="1:13" x14ac:dyDescent="0.45">
      <c r="A778" s="2">
        <v>44802</v>
      </c>
      <c r="B778" s="1">
        <v>12872.3</v>
      </c>
      <c r="D778" s="2">
        <v>44802</v>
      </c>
      <c r="E778" s="1">
        <v>2418.3000000000002</v>
      </c>
      <c r="G778" s="3">
        <v>6452615</v>
      </c>
      <c r="H778" s="3">
        <f t="shared" si="36"/>
        <v>83059996064.5</v>
      </c>
      <c r="J778" s="3">
        <v>150245000</v>
      </c>
      <c r="K778" s="3">
        <f t="shared" si="37"/>
        <v>363337483500</v>
      </c>
      <c r="M778" s="4">
        <f t="shared" si="38"/>
        <v>0.77139711745567807</v>
      </c>
    </row>
    <row r="779" spans="1:13" x14ac:dyDescent="0.45">
      <c r="A779" s="2">
        <v>44799</v>
      </c>
      <c r="B779" s="1">
        <v>12648.95</v>
      </c>
      <c r="D779" s="2">
        <v>44799</v>
      </c>
      <c r="E779" s="1">
        <v>2400.75</v>
      </c>
      <c r="G779" s="3">
        <v>6452615</v>
      </c>
      <c r="H779" s="3">
        <f t="shared" si="36"/>
        <v>81618804504.25</v>
      </c>
      <c r="J779" s="3">
        <v>150245000</v>
      </c>
      <c r="K779" s="3">
        <f t="shared" si="37"/>
        <v>360700683750</v>
      </c>
      <c r="M779" s="4">
        <f t="shared" si="38"/>
        <v>0.77372151431567671</v>
      </c>
    </row>
    <row r="780" spans="1:13" x14ac:dyDescent="0.45">
      <c r="A780" s="2">
        <v>44798</v>
      </c>
      <c r="B780" s="1">
        <v>12462.95</v>
      </c>
      <c r="D780" s="2">
        <v>44798</v>
      </c>
      <c r="E780" s="1">
        <v>2369.85</v>
      </c>
      <c r="G780" s="3">
        <v>6452615</v>
      </c>
      <c r="H780" s="3">
        <f t="shared" si="36"/>
        <v>80418618114.25</v>
      </c>
      <c r="J780" s="3">
        <v>150245000</v>
      </c>
      <c r="K780" s="3">
        <f t="shared" si="37"/>
        <v>356058113250</v>
      </c>
      <c r="M780" s="4">
        <f t="shared" si="38"/>
        <v>0.77414187425695458</v>
      </c>
    </row>
    <row r="781" spans="1:13" x14ac:dyDescent="0.45">
      <c r="A781" s="2">
        <v>44797</v>
      </c>
      <c r="B781" s="1">
        <v>12530</v>
      </c>
      <c r="D781" s="2">
        <v>44797</v>
      </c>
      <c r="E781" s="1">
        <v>2381.9499999999998</v>
      </c>
      <c r="G781" s="3">
        <v>6452615</v>
      </c>
      <c r="H781" s="3">
        <f t="shared" si="36"/>
        <v>80851265950</v>
      </c>
      <c r="J781" s="3">
        <v>150245000</v>
      </c>
      <c r="K781" s="3">
        <f t="shared" si="37"/>
        <v>357876077750</v>
      </c>
      <c r="M781" s="4">
        <f t="shared" si="38"/>
        <v>0.77408027253925604</v>
      </c>
    </row>
    <row r="782" spans="1:13" x14ac:dyDescent="0.45">
      <c r="A782" s="2">
        <v>44796</v>
      </c>
      <c r="B782" s="1">
        <v>12460.85</v>
      </c>
      <c r="D782" s="2">
        <v>44796</v>
      </c>
      <c r="E782" s="1">
        <v>2417.4499999999998</v>
      </c>
      <c r="G782" s="3">
        <v>6452615</v>
      </c>
      <c r="H782" s="3">
        <f t="shared" si="36"/>
        <v>80405067622.75</v>
      </c>
      <c r="J782" s="3">
        <v>150245000</v>
      </c>
      <c r="K782" s="3">
        <f t="shared" si="37"/>
        <v>363209775250</v>
      </c>
      <c r="M782" s="4">
        <f t="shared" si="38"/>
        <v>0.77862636662956941</v>
      </c>
    </row>
    <row r="783" spans="1:13" x14ac:dyDescent="0.45">
      <c r="A783" s="2">
        <v>44795</v>
      </c>
      <c r="B783" s="1">
        <v>12269.15</v>
      </c>
      <c r="D783" s="2">
        <v>44795</v>
      </c>
      <c r="E783" s="1">
        <v>2393.1999999999998</v>
      </c>
      <c r="G783" s="3">
        <v>6452615</v>
      </c>
      <c r="H783" s="3">
        <f t="shared" si="36"/>
        <v>79168101327.25</v>
      </c>
      <c r="J783" s="3">
        <v>150245000</v>
      </c>
      <c r="K783" s="3">
        <f t="shared" si="37"/>
        <v>359566334000</v>
      </c>
      <c r="M783" s="4">
        <f t="shared" si="38"/>
        <v>0.77982337654767764</v>
      </c>
    </row>
    <row r="784" spans="1:13" x14ac:dyDescent="0.45">
      <c r="A784" s="2">
        <v>44792</v>
      </c>
      <c r="B784" s="1">
        <v>12408.8</v>
      </c>
      <c r="D784" s="2">
        <v>44792</v>
      </c>
      <c r="E784" s="1">
        <v>2457.3000000000002</v>
      </c>
      <c r="G784" s="3">
        <v>6452615</v>
      </c>
      <c r="H784" s="3">
        <f t="shared" si="36"/>
        <v>80069209012</v>
      </c>
      <c r="J784" s="3">
        <v>150245000</v>
      </c>
      <c r="K784" s="3">
        <f t="shared" si="37"/>
        <v>369197038500</v>
      </c>
      <c r="M784" s="4">
        <f t="shared" si="38"/>
        <v>0.78312607994551942</v>
      </c>
    </row>
    <row r="785" spans="1:13" x14ac:dyDescent="0.45">
      <c r="A785" s="2">
        <v>44791</v>
      </c>
      <c r="B785" s="1">
        <v>12340.25</v>
      </c>
      <c r="D785" s="2">
        <v>44791</v>
      </c>
      <c r="E785" s="1">
        <v>2518.85</v>
      </c>
      <c r="G785" s="3">
        <v>6452615</v>
      </c>
      <c r="H785" s="3">
        <f t="shared" si="36"/>
        <v>79626882253.75</v>
      </c>
      <c r="J785" s="3">
        <v>150245000</v>
      </c>
      <c r="K785" s="3">
        <f t="shared" si="37"/>
        <v>378444618250</v>
      </c>
      <c r="M785" s="4">
        <f t="shared" si="38"/>
        <v>0.78959435961340962</v>
      </c>
    </row>
    <row r="786" spans="1:13" x14ac:dyDescent="0.45">
      <c r="A786" s="2">
        <v>44790</v>
      </c>
      <c r="B786" s="1">
        <v>12304.2</v>
      </c>
      <c r="D786" s="2">
        <v>44790</v>
      </c>
      <c r="E786" s="1">
        <v>2486.5</v>
      </c>
      <c r="G786" s="3">
        <v>6452615</v>
      </c>
      <c r="H786" s="3">
        <f t="shared" si="36"/>
        <v>79394265483</v>
      </c>
      <c r="J786" s="3">
        <v>150245000</v>
      </c>
      <c r="K786" s="3">
        <f t="shared" si="37"/>
        <v>373584192500</v>
      </c>
      <c r="M786" s="4">
        <f t="shared" si="38"/>
        <v>0.78747959074044604</v>
      </c>
    </row>
    <row r="787" spans="1:13" x14ac:dyDescent="0.45">
      <c r="A787" s="2">
        <v>44789</v>
      </c>
      <c r="B787" s="1">
        <v>12102.05</v>
      </c>
      <c r="D787" s="2">
        <v>44789</v>
      </c>
      <c r="E787" s="1">
        <v>2493.1</v>
      </c>
      <c r="G787" s="3">
        <v>6452615</v>
      </c>
      <c r="H787" s="3">
        <f t="shared" si="36"/>
        <v>78089869360.75</v>
      </c>
      <c r="J787" s="3">
        <v>150245000</v>
      </c>
      <c r="K787" s="3">
        <f t="shared" si="37"/>
        <v>374575809500</v>
      </c>
      <c r="M787" s="4">
        <f t="shared" si="38"/>
        <v>0.79152452619674574</v>
      </c>
    </row>
    <row r="788" spans="1:13" x14ac:dyDescent="0.45">
      <c r="A788" s="2">
        <v>44785</v>
      </c>
      <c r="B788" s="1">
        <v>12047.5</v>
      </c>
      <c r="D788" s="2">
        <v>44785</v>
      </c>
      <c r="E788" s="1">
        <v>2438.3000000000002</v>
      </c>
      <c r="G788" s="3">
        <v>6452615</v>
      </c>
      <c r="H788" s="3">
        <f t="shared" si="36"/>
        <v>77737879212.5</v>
      </c>
      <c r="J788" s="3">
        <v>150245000</v>
      </c>
      <c r="K788" s="3">
        <f t="shared" si="37"/>
        <v>366342383500</v>
      </c>
      <c r="M788" s="4">
        <f t="shared" si="38"/>
        <v>0.78779993057368969</v>
      </c>
    </row>
    <row r="789" spans="1:13" x14ac:dyDescent="0.45">
      <c r="A789" s="2">
        <v>44784</v>
      </c>
      <c r="B789" s="1">
        <v>11916.25</v>
      </c>
      <c r="D789" s="2">
        <v>44784</v>
      </c>
      <c r="E789" s="1">
        <v>2427.6999999999998</v>
      </c>
      <c r="G789" s="3">
        <v>6452615</v>
      </c>
      <c r="H789" s="3">
        <f t="shared" si="36"/>
        <v>76890973493.75</v>
      </c>
      <c r="J789" s="3">
        <v>150245000</v>
      </c>
      <c r="K789" s="3">
        <f t="shared" si="37"/>
        <v>364749786500</v>
      </c>
      <c r="M789" s="4">
        <f t="shared" si="38"/>
        <v>0.78919528855227994</v>
      </c>
    </row>
    <row r="790" spans="1:13" x14ac:dyDescent="0.45">
      <c r="A790" s="2">
        <v>44783</v>
      </c>
      <c r="B790" s="1">
        <v>11728.45</v>
      </c>
      <c r="D790" s="2">
        <v>44783</v>
      </c>
      <c r="E790" s="1">
        <v>2435</v>
      </c>
      <c r="G790" s="3">
        <v>6452615</v>
      </c>
      <c r="H790" s="3">
        <f t="shared" si="36"/>
        <v>75679172396.75</v>
      </c>
      <c r="J790" s="3">
        <v>150245000</v>
      </c>
      <c r="K790" s="3">
        <f t="shared" si="37"/>
        <v>365846575000</v>
      </c>
      <c r="M790" s="4">
        <f t="shared" si="38"/>
        <v>0.79313959028658387</v>
      </c>
    </row>
    <row r="791" spans="1:13" x14ac:dyDescent="0.45">
      <c r="A791" s="2">
        <v>44781</v>
      </c>
      <c r="B791" s="1">
        <v>11742.7</v>
      </c>
      <c r="D791" s="2">
        <v>44781</v>
      </c>
      <c r="E791" s="1">
        <v>2480.9</v>
      </c>
      <c r="G791" s="3">
        <v>6452615</v>
      </c>
      <c r="H791" s="3">
        <f t="shared" si="36"/>
        <v>75771122160.5</v>
      </c>
      <c r="J791" s="3">
        <v>150245000</v>
      </c>
      <c r="K791" s="3">
        <f t="shared" si="37"/>
        <v>372742820500</v>
      </c>
      <c r="M791" s="4">
        <f t="shared" si="38"/>
        <v>0.79672010299524998</v>
      </c>
    </row>
    <row r="792" spans="1:13" x14ac:dyDescent="0.45">
      <c r="A792" s="2">
        <v>44778</v>
      </c>
      <c r="B792" s="1">
        <v>11912.65</v>
      </c>
      <c r="D792" s="2">
        <v>44778</v>
      </c>
      <c r="E792" s="1">
        <v>2497.6999999999998</v>
      </c>
      <c r="G792" s="3">
        <v>6452615</v>
      </c>
      <c r="H792" s="3">
        <f t="shared" si="36"/>
        <v>76867744079.75</v>
      </c>
      <c r="J792" s="3">
        <v>150245000</v>
      </c>
      <c r="K792" s="3">
        <f t="shared" si="37"/>
        <v>375266936500</v>
      </c>
      <c r="M792" s="4">
        <f t="shared" si="38"/>
        <v>0.79516515684362721</v>
      </c>
    </row>
    <row r="793" spans="1:13" x14ac:dyDescent="0.45">
      <c r="A793" s="2">
        <v>44777</v>
      </c>
      <c r="B793" s="1">
        <v>11500</v>
      </c>
      <c r="D793" s="2">
        <v>44777</v>
      </c>
      <c r="E793" s="1">
        <v>2457.1999999999998</v>
      </c>
      <c r="G793" s="3">
        <v>6452615</v>
      </c>
      <c r="H793" s="3">
        <f t="shared" si="36"/>
        <v>74205072500</v>
      </c>
      <c r="J793" s="3">
        <v>150245000</v>
      </c>
      <c r="K793" s="3">
        <f t="shared" si="37"/>
        <v>369182014000</v>
      </c>
      <c r="M793" s="4">
        <f t="shared" si="38"/>
        <v>0.79900138770032281</v>
      </c>
    </row>
    <row r="794" spans="1:13" x14ac:dyDescent="0.45">
      <c r="A794" s="2">
        <v>44776</v>
      </c>
      <c r="B794" s="1">
        <v>11545</v>
      </c>
      <c r="D794" s="2">
        <v>44776</v>
      </c>
      <c r="E794" s="1">
        <v>2449.4499999999998</v>
      </c>
      <c r="G794" s="3">
        <v>6452615</v>
      </c>
      <c r="H794" s="3">
        <f t="shared" si="36"/>
        <v>74495440175</v>
      </c>
      <c r="J794" s="3">
        <v>150245000</v>
      </c>
      <c r="K794" s="3">
        <f t="shared" si="37"/>
        <v>368017615250</v>
      </c>
      <c r="M794" s="4">
        <f t="shared" si="38"/>
        <v>0.7975764281707165</v>
      </c>
    </row>
    <row r="795" spans="1:13" x14ac:dyDescent="0.45">
      <c r="A795" s="2">
        <v>44775</v>
      </c>
      <c r="B795" s="1">
        <v>11688.15</v>
      </c>
      <c r="D795" s="2">
        <v>44775</v>
      </c>
      <c r="E795" s="1">
        <v>2454.3000000000002</v>
      </c>
      <c r="G795" s="3">
        <v>6452615</v>
      </c>
      <c r="H795" s="3">
        <f t="shared" si="36"/>
        <v>75419132012.25</v>
      </c>
      <c r="J795" s="3">
        <v>150245000</v>
      </c>
      <c r="K795" s="3">
        <f t="shared" si="37"/>
        <v>368746303500</v>
      </c>
      <c r="M795" s="4">
        <f t="shared" si="38"/>
        <v>0.7954714900287807</v>
      </c>
    </row>
    <row r="796" spans="1:13" x14ac:dyDescent="0.45">
      <c r="A796" s="2">
        <v>44774</v>
      </c>
      <c r="B796" s="1">
        <v>11689.4</v>
      </c>
      <c r="D796" s="2">
        <v>44774</v>
      </c>
      <c r="E796" s="1">
        <v>2453.1999999999998</v>
      </c>
      <c r="G796" s="3">
        <v>6452615</v>
      </c>
      <c r="H796" s="3">
        <f t="shared" si="36"/>
        <v>75427197781</v>
      </c>
      <c r="J796" s="3">
        <v>150245000</v>
      </c>
      <c r="K796" s="3">
        <f t="shared" si="37"/>
        <v>368581034000</v>
      </c>
      <c r="M796" s="4">
        <f t="shared" si="38"/>
        <v>0.79535789738709128</v>
      </c>
    </row>
    <row r="797" spans="1:13" x14ac:dyDescent="0.45">
      <c r="A797" s="2">
        <v>44771</v>
      </c>
      <c r="B797" s="1">
        <v>11565.15</v>
      </c>
      <c r="D797" s="2">
        <v>44771</v>
      </c>
      <c r="E797" s="1">
        <v>2428</v>
      </c>
      <c r="G797" s="3">
        <v>6452615</v>
      </c>
      <c r="H797" s="3">
        <f t="shared" si="36"/>
        <v>74625460367.25</v>
      </c>
      <c r="J797" s="3">
        <v>150245000</v>
      </c>
      <c r="K797" s="3">
        <f t="shared" si="37"/>
        <v>364794860000</v>
      </c>
      <c r="M797" s="4">
        <f t="shared" si="38"/>
        <v>0.79543171094228138</v>
      </c>
    </row>
    <row r="798" spans="1:13" x14ac:dyDescent="0.45">
      <c r="A798" s="2">
        <v>44770</v>
      </c>
      <c r="B798" s="1">
        <v>11484.25</v>
      </c>
      <c r="D798" s="2">
        <v>44770</v>
      </c>
      <c r="E798" s="1">
        <v>2419.8000000000002</v>
      </c>
      <c r="G798" s="3">
        <v>6452615</v>
      </c>
      <c r="H798" s="3">
        <f t="shared" si="36"/>
        <v>74103443813.75</v>
      </c>
      <c r="J798" s="3">
        <v>150245000</v>
      </c>
      <c r="K798" s="3">
        <f t="shared" si="37"/>
        <v>363562851000</v>
      </c>
      <c r="M798" s="4">
        <f t="shared" si="38"/>
        <v>0.79617432416451706</v>
      </c>
    </row>
    <row r="799" spans="1:13" x14ac:dyDescent="0.45">
      <c r="A799" s="2">
        <v>44769</v>
      </c>
      <c r="B799" s="1">
        <v>11135.1</v>
      </c>
      <c r="D799" s="2">
        <v>44769</v>
      </c>
      <c r="E799" s="1">
        <v>2405.25</v>
      </c>
      <c r="G799" s="3">
        <v>6452615</v>
      </c>
      <c r="H799" s="3">
        <f t="shared" si="36"/>
        <v>71850513286.5</v>
      </c>
      <c r="J799" s="3">
        <v>150245000</v>
      </c>
      <c r="K799" s="3">
        <f t="shared" si="37"/>
        <v>361376786250</v>
      </c>
      <c r="M799" s="4">
        <f t="shared" si="38"/>
        <v>0.80117562604922299</v>
      </c>
    </row>
    <row r="800" spans="1:13" x14ac:dyDescent="0.45">
      <c r="A800" s="2">
        <v>44768</v>
      </c>
      <c r="B800" s="1">
        <v>11122.1</v>
      </c>
      <c r="D800" s="2">
        <v>44768</v>
      </c>
      <c r="E800" s="1">
        <v>2364.6</v>
      </c>
      <c r="G800" s="3">
        <v>6452615</v>
      </c>
      <c r="H800" s="3">
        <f t="shared" si="36"/>
        <v>71766629291.5</v>
      </c>
      <c r="J800" s="3">
        <v>150245000</v>
      </c>
      <c r="K800" s="3">
        <f t="shared" si="37"/>
        <v>355269327000</v>
      </c>
      <c r="M800" s="4">
        <f t="shared" si="38"/>
        <v>0.79799373647728389</v>
      </c>
    </row>
    <row r="801" spans="1:13" x14ac:dyDescent="0.45">
      <c r="A801" s="2">
        <v>44767</v>
      </c>
      <c r="B801" s="1">
        <v>11239.05</v>
      </c>
      <c r="D801" s="2">
        <v>44767</v>
      </c>
      <c r="E801" s="1">
        <v>2384.6999999999998</v>
      </c>
      <c r="G801" s="3">
        <v>6452615</v>
      </c>
      <c r="H801" s="3">
        <f t="shared" si="36"/>
        <v>72521262615.75</v>
      </c>
      <c r="J801" s="3">
        <v>150245000</v>
      </c>
      <c r="K801" s="3">
        <f t="shared" si="37"/>
        <v>358289251500</v>
      </c>
      <c r="M801" s="4">
        <f t="shared" si="38"/>
        <v>0.79759018080465638</v>
      </c>
    </row>
    <row r="802" spans="1:13" x14ac:dyDescent="0.45">
      <c r="A802" s="2">
        <v>44764</v>
      </c>
      <c r="B802" s="1">
        <v>10975.95</v>
      </c>
      <c r="D802" s="2">
        <v>44764</v>
      </c>
      <c r="E802" s="1">
        <v>2290.4499999999998</v>
      </c>
      <c r="G802" s="3">
        <v>6452615</v>
      </c>
      <c r="H802" s="3">
        <f t="shared" si="36"/>
        <v>70823579609.25</v>
      </c>
      <c r="J802" s="3">
        <v>150245000</v>
      </c>
      <c r="K802" s="3">
        <f t="shared" si="37"/>
        <v>344128660250</v>
      </c>
      <c r="M802" s="4">
        <f t="shared" si="38"/>
        <v>0.79419447494492723</v>
      </c>
    </row>
    <row r="803" spans="1:13" x14ac:dyDescent="0.45">
      <c r="A803" s="2">
        <v>44763</v>
      </c>
      <c r="B803" s="1">
        <v>10750.05</v>
      </c>
      <c r="D803" s="2">
        <v>44763</v>
      </c>
      <c r="E803" s="1">
        <v>2344.6</v>
      </c>
      <c r="G803" s="3">
        <v>6452615</v>
      </c>
      <c r="H803" s="3">
        <f t="shared" si="36"/>
        <v>69365933880.75</v>
      </c>
      <c r="J803" s="3">
        <v>150245000</v>
      </c>
      <c r="K803" s="3">
        <f t="shared" si="37"/>
        <v>352264427000</v>
      </c>
      <c r="M803" s="4">
        <f t="shared" si="38"/>
        <v>0.80308561249998145</v>
      </c>
    </row>
    <row r="804" spans="1:13" x14ac:dyDescent="0.45">
      <c r="A804" s="2">
        <v>44762</v>
      </c>
      <c r="B804" s="1">
        <v>10743</v>
      </c>
      <c r="D804" s="2">
        <v>44762</v>
      </c>
      <c r="E804" s="1">
        <v>2286.15</v>
      </c>
      <c r="G804" s="3">
        <v>6452615</v>
      </c>
      <c r="H804" s="3">
        <f t="shared" si="36"/>
        <v>69320442945</v>
      </c>
      <c r="J804" s="3">
        <v>150245000</v>
      </c>
      <c r="K804" s="3">
        <f t="shared" si="37"/>
        <v>343482606750</v>
      </c>
      <c r="M804" s="4">
        <f t="shared" si="38"/>
        <v>0.79818354238980693</v>
      </c>
    </row>
    <row r="805" spans="1:13" x14ac:dyDescent="0.45">
      <c r="A805" s="2">
        <v>44761</v>
      </c>
      <c r="B805" s="1">
        <v>10884.05</v>
      </c>
      <c r="D805" s="2">
        <v>44761</v>
      </c>
      <c r="E805" s="1">
        <v>2324.1999999999998</v>
      </c>
      <c r="G805" s="3">
        <v>6452615</v>
      </c>
      <c r="H805" s="3">
        <f t="shared" si="36"/>
        <v>70230584290.75</v>
      </c>
      <c r="J805" s="3">
        <v>150245000</v>
      </c>
      <c r="K805" s="3">
        <f t="shared" si="37"/>
        <v>349199429000</v>
      </c>
      <c r="M805" s="4">
        <f t="shared" si="38"/>
        <v>0.79888115942265758</v>
      </c>
    </row>
    <row r="806" spans="1:13" x14ac:dyDescent="0.45">
      <c r="A806" s="2">
        <v>44760</v>
      </c>
      <c r="B806" s="1">
        <v>10701.95</v>
      </c>
      <c r="D806" s="2">
        <v>44760</v>
      </c>
      <c r="E806" s="1">
        <v>2306.65</v>
      </c>
      <c r="G806" s="3">
        <v>6452615</v>
      </c>
      <c r="H806" s="3">
        <f t="shared" si="36"/>
        <v>69055563099.25</v>
      </c>
      <c r="J806" s="3">
        <v>150245000</v>
      </c>
      <c r="K806" s="3">
        <f t="shared" si="37"/>
        <v>346562629250</v>
      </c>
      <c r="M806" s="4">
        <f t="shared" si="38"/>
        <v>0.80074146122248124</v>
      </c>
    </row>
    <row r="807" spans="1:13" x14ac:dyDescent="0.45">
      <c r="A807" s="2">
        <v>44757</v>
      </c>
      <c r="B807" s="1">
        <v>10598.95</v>
      </c>
      <c r="D807" s="2">
        <v>44757</v>
      </c>
      <c r="E807" s="1">
        <v>2260</v>
      </c>
      <c r="G807" s="3">
        <v>6452615</v>
      </c>
      <c r="H807" s="3">
        <f t="shared" si="36"/>
        <v>68390943754.250008</v>
      </c>
      <c r="J807" s="3">
        <v>150245000</v>
      </c>
      <c r="K807" s="3">
        <f t="shared" si="37"/>
        <v>339553700000</v>
      </c>
      <c r="M807" s="4">
        <f t="shared" si="38"/>
        <v>0.79858577964472188</v>
      </c>
    </row>
    <row r="808" spans="1:13" x14ac:dyDescent="0.45">
      <c r="A808" s="2">
        <v>44756</v>
      </c>
      <c r="B808" s="1">
        <v>10573.85</v>
      </c>
      <c r="D808" s="2">
        <v>44756</v>
      </c>
      <c r="E808" s="1">
        <v>2206.9</v>
      </c>
      <c r="G808" s="3">
        <v>6452615</v>
      </c>
      <c r="H808" s="3">
        <f t="shared" si="36"/>
        <v>68228983117.75</v>
      </c>
      <c r="J808" s="3">
        <v>150245000</v>
      </c>
      <c r="K808" s="3">
        <f t="shared" si="37"/>
        <v>331575690500</v>
      </c>
      <c r="M808" s="4">
        <f t="shared" si="38"/>
        <v>0.79422802976037232</v>
      </c>
    </row>
    <row r="809" spans="1:13" x14ac:dyDescent="0.45">
      <c r="A809" s="2">
        <v>44755</v>
      </c>
      <c r="B809" s="1">
        <v>10641.1</v>
      </c>
      <c r="D809" s="2">
        <v>44755</v>
      </c>
      <c r="E809" s="1">
        <v>2222.6</v>
      </c>
      <c r="G809" s="3">
        <v>6452615</v>
      </c>
      <c r="H809" s="3">
        <f t="shared" si="36"/>
        <v>68662921476.5</v>
      </c>
      <c r="J809" s="3">
        <v>150245000</v>
      </c>
      <c r="K809" s="3">
        <f t="shared" si="37"/>
        <v>333934537000</v>
      </c>
      <c r="M809" s="4">
        <f t="shared" si="38"/>
        <v>0.79438209029424234</v>
      </c>
    </row>
    <row r="810" spans="1:13" x14ac:dyDescent="0.45">
      <c r="A810" s="2">
        <v>44754</v>
      </c>
      <c r="B810" s="1">
        <v>10463.75</v>
      </c>
      <c r="D810" s="2">
        <v>44754</v>
      </c>
      <c r="E810" s="1">
        <v>2198.75</v>
      </c>
      <c r="G810" s="3">
        <v>6452615</v>
      </c>
      <c r="H810" s="3">
        <f t="shared" si="36"/>
        <v>67518550206.25</v>
      </c>
      <c r="J810" s="3">
        <v>150245000</v>
      </c>
      <c r="K810" s="3">
        <f t="shared" si="37"/>
        <v>330351193750</v>
      </c>
      <c r="M810" s="4">
        <f t="shared" si="38"/>
        <v>0.79561584312800748</v>
      </c>
    </row>
    <row r="811" spans="1:13" x14ac:dyDescent="0.45">
      <c r="A811" s="2">
        <v>44753</v>
      </c>
      <c r="B811" s="1">
        <v>10616.7</v>
      </c>
      <c r="D811" s="2">
        <v>44753</v>
      </c>
      <c r="E811" s="1">
        <v>2184.25</v>
      </c>
      <c r="G811" s="3">
        <v>6452615</v>
      </c>
      <c r="H811" s="3">
        <f t="shared" si="36"/>
        <v>68505477670.500008</v>
      </c>
      <c r="J811" s="3">
        <v>150245000</v>
      </c>
      <c r="K811" s="3">
        <f t="shared" si="37"/>
        <v>328172641250</v>
      </c>
      <c r="M811" s="4">
        <f t="shared" si="38"/>
        <v>0.79125171004638095</v>
      </c>
    </row>
    <row r="812" spans="1:13" x14ac:dyDescent="0.45">
      <c r="A812" s="2">
        <v>44750</v>
      </c>
      <c r="B812" s="1">
        <v>10750.25</v>
      </c>
      <c r="D812" s="2">
        <v>44750</v>
      </c>
      <c r="E812" s="1">
        <v>2175.75</v>
      </c>
      <c r="G812" s="3">
        <v>6452615</v>
      </c>
      <c r="H812" s="3">
        <f t="shared" si="36"/>
        <v>69367224403.75</v>
      </c>
      <c r="J812" s="3">
        <v>150245000</v>
      </c>
      <c r="K812" s="3">
        <f t="shared" si="37"/>
        <v>326895558750</v>
      </c>
      <c r="M812" s="4">
        <f t="shared" si="38"/>
        <v>0.78780004026668349</v>
      </c>
    </row>
    <row r="813" spans="1:13" x14ac:dyDescent="0.45">
      <c r="A813" s="2">
        <v>44749</v>
      </c>
      <c r="B813" s="1">
        <v>10598.9</v>
      </c>
      <c r="D813" s="2">
        <v>44749</v>
      </c>
      <c r="E813" s="1">
        <v>2072.1999999999998</v>
      </c>
      <c r="G813" s="3">
        <v>6452615</v>
      </c>
      <c r="H813" s="3">
        <f t="shared" si="36"/>
        <v>68390621123.5</v>
      </c>
      <c r="J813" s="3">
        <v>150245000</v>
      </c>
      <c r="K813" s="3">
        <f t="shared" si="37"/>
        <v>311337689000</v>
      </c>
      <c r="M813" s="4">
        <f t="shared" si="38"/>
        <v>0.78033298395974149</v>
      </c>
    </row>
    <row r="814" spans="1:13" x14ac:dyDescent="0.45">
      <c r="A814" s="2">
        <v>44748</v>
      </c>
      <c r="B814" s="1">
        <v>10339.450000000001</v>
      </c>
      <c r="D814" s="2">
        <v>44748</v>
      </c>
      <c r="E814" s="1">
        <v>2058.6</v>
      </c>
      <c r="G814" s="3">
        <v>6452615</v>
      </c>
      <c r="H814" s="3">
        <f t="shared" si="36"/>
        <v>66716490161.750008</v>
      </c>
      <c r="J814" s="3">
        <v>150245000</v>
      </c>
      <c r="K814" s="3">
        <f t="shared" si="37"/>
        <v>309294357000</v>
      </c>
      <c r="M814" s="4">
        <f t="shared" si="38"/>
        <v>0.78429451216353741</v>
      </c>
    </row>
    <row r="815" spans="1:13" x14ac:dyDescent="0.45">
      <c r="A815" s="2">
        <v>44747</v>
      </c>
      <c r="B815" s="1">
        <v>10456.15</v>
      </c>
      <c r="D815" s="2">
        <v>44747</v>
      </c>
      <c r="E815" s="1">
        <v>2052.5</v>
      </c>
      <c r="G815" s="3">
        <v>6452615</v>
      </c>
      <c r="H815" s="3">
        <f t="shared" si="36"/>
        <v>67469510332.25</v>
      </c>
      <c r="J815" s="3">
        <v>150245000</v>
      </c>
      <c r="K815" s="3">
        <f t="shared" si="37"/>
        <v>308377862500</v>
      </c>
      <c r="M815" s="4">
        <f t="shared" si="38"/>
        <v>0.78121156367944544</v>
      </c>
    </row>
    <row r="816" spans="1:13" x14ac:dyDescent="0.45">
      <c r="A816" s="2">
        <v>44746</v>
      </c>
      <c r="B816" s="1">
        <v>10579.15</v>
      </c>
      <c r="D816" s="2">
        <v>44746</v>
      </c>
      <c r="E816" s="1">
        <v>2183.0500000000002</v>
      </c>
      <c r="G816" s="3">
        <v>6452615</v>
      </c>
      <c r="H816" s="3">
        <f t="shared" si="36"/>
        <v>68263181977.25</v>
      </c>
      <c r="J816" s="3">
        <v>150245000</v>
      </c>
      <c r="K816" s="3">
        <f t="shared" si="37"/>
        <v>327992347250</v>
      </c>
      <c r="M816" s="4">
        <f t="shared" si="38"/>
        <v>0.79187568688845378</v>
      </c>
    </row>
    <row r="817" spans="1:13" x14ac:dyDescent="0.45">
      <c r="A817" s="2">
        <v>44743</v>
      </c>
      <c r="B817" s="1">
        <v>10690.2</v>
      </c>
      <c r="D817" s="2">
        <v>44743</v>
      </c>
      <c r="E817" s="1">
        <v>2161.65</v>
      </c>
      <c r="G817" s="3">
        <v>6452615</v>
      </c>
      <c r="H817" s="3">
        <f t="shared" si="36"/>
        <v>68979744873</v>
      </c>
      <c r="J817" s="3">
        <v>150245000</v>
      </c>
      <c r="K817" s="3">
        <f t="shared" si="37"/>
        <v>324777104250</v>
      </c>
      <c r="M817" s="4">
        <f t="shared" si="38"/>
        <v>0.78760896636389044</v>
      </c>
    </row>
    <row r="818" spans="1:13" x14ac:dyDescent="0.45">
      <c r="A818" s="2">
        <v>44742</v>
      </c>
      <c r="B818" s="1">
        <v>11136.3</v>
      </c>
      <c r="D818" s="2">
        <v>44742</v>
      </c>
      <c r="E818" s="1">
        <v>2249.35</v>
      </c>
      <c r="G818" s="3">
        <v>6452615</v>
      </c>
      <c r="H818" s="3">
        <f t="shared" si="36"/>
        <v>71858256424.5</v>
      </c>
      <c r="J818" s="3">
        <v>150245000</v>
      </c>
      <c r="K818" s="3">
        <f t="shared" si="37"/>
        <v>337953590750</v>
      </c>
      <c r="M818" s="4">
        <f t="shared" si="38"/>
        <v>0.78737241328009178</v>
      </c>
    </row>
    <row r="819" spans="1:13" x14ac:dyDescent="0.45">
      <c r="A819" s="2">
        <v>44741</v>
      </c>
      <c r="B819" s="1">
        <v>10503.05</v>
      </c>
      <c r="D819" s="2">
        <v>44741</v>
      </c>
      <c r="E819" s="1">
        <v>2287.15</v>
      </c>
      <c r="G819" s="3">
        <v>6452615</v>
      </c>
      <c r="H819" s="3">
        <f t="shared" si="36"/>
        <v>67772137975.749992</v>
      </c>
      <c r="J819" s="3">
        <v>150245000</v>
      </c>
      <c r="K819" s="3">
        <f t="shared" si="37"/>
        <v>343632851750</v>
      </c>
      <c r="M819" s="4">
        <f t="shared" si="38"/>
        <v>0.80277747709332625</v>
      </c>
    </row>
    <row r="820" spans="1:13" x14ac:dyDescent="0.45">
      <c r="A820" s="2">
        <v>44740</v>
      </c>
      <c r="B820" s="1">
        <v>9987.85</v>
      </c>
      <c r="D820" s="2">
        <v>44740</v>
      </c>
      <c r="E820" s="1">
        <v>2297.65</v>
      </c>
      <c r="G820" s="3">
        <v>6452615</v>
      </c>
      <c r="H820" s="3">
        <f t="shared" si="36"/>
        <v>64447750727.75</v>
      </c>
      <c r="J820" s="3">
        <v>150245000</v>
      </c>
      <c r="K820" s="3">
        <f t="shared" si="37"/>
        <v>345210424250</v>
      </c>
      <c r="M820" s="4">
        <f t="shared" si="38"/>
        <v>0.81330879312880422</v>
      </c>
    </row>
    <row r="821" spans="1:13" x14ac:dyDescent="0.45">
      <c r="A821" s="2">
        <v>44739</v>
      </c>
      <c r="B821" s="1">
        <v>9900.0499999999993</v>
      </c>
      <c r="D821" s="2">
        <v>44739</v>
      </c>
      <c r="E821" s="1">
        <v>2299.25</v>
      </c>
      <c r="G821" s="3">
        <v>6452615</v>
      </c>
      <c r="H821" s="3">
        <f t="shared" si="36"/>
        <v>63881211130.749992</v>
      </c>
      <c r="J821" s="3">
        <v>150245000</v>
      </c>
      <c r="K821" s="3">
        <f t="shared" si="37"/>
        <v>345450816250</v>
      </c>
      <c r="M821" s="4">
        <f t="shared" si="38"/>
        <v>0.81507870838400431</v>
      </c>
    </row>
    <row r="822" spans="1:13" x14ac:dyDescent="0.45">
      <c r="A822" s="2">
        <v>44736</v>
      </c>
      <c r="B822" s="1">
        <v>9902.35</v>
      </c>
      <c r="D822" s="2">
        <v>44736</v>
      </c>
      <c r="E822" s="1">
        <v>2276.3000000000002</v>
      </c>
      <c r="G822" s="3">
        <v>6452615</v>
      </c>
      <c r="H822" s="3">
        <f t="shared" si="36"/>
        <v>63896052145.25</v>
      </c>
      <c r="J822" s="3">
        <v>150245000</v>
      </c>
      <c r="K822" s="3">
        <f t="shared" si="37"/>
        <v>342002693500</v>
      </c>
      <c r="M822" s="4">
        <f t="shared" si="38"/>
        <v>0.81317090958744154</v>
      </c>
    </row>
    <row r="823" spans="1:13" x14ac:dyDescent="0.45">
      <c r="A823" s="2">
        <v>44735</v>
      </c>
      <c r="B823" s="1">
        <v>9700</v>
      </c>
      <c r="D823" s="2">
        <v>44735</v>
      </c>
      <c r="E823" s="1">
        <v>2207.65</v>
      </c>
      <c r="G823" s="3">
        <v>6452615</v>
      </c>
      <c r="H823" s="3">
        <f t="shared" si="36"/>
        <v>62590365500</v>
      </c>
      <c r="J823" s="3">
        <v>150245000</v>
      </c>
      <c r="K823" s="3">
        <f t="shared" si="37"/>
        <v>331688374250</v>
      </c>
      <c r="M823" s="4">
        <f t="shared" si="38"/>
        <v>0.81129768071755082</v>
      </c>
    </row>
    <row r="824" spans="1:13" x14ac:dyDescent="0.45">
      <c r="A824" s="2">
        <v>44734</v>
      </c>
      <c r="B824" s="1">
        <v>9799.75</v>
      </c>
      <c r="D824" s="2">
        <v>44734</v>
      </c>
      <c r="E824" s="1">
        <v>2166.1999999999998</v>
      </c>
      <c r="G824" s="3">
        <v>6452615</v>
      </c>
      <c r="H824" s="3">
        <f t="shared" si="36"/>
        <v>63234013846.25</v>
      </c>
      <c r="J824" s="3">
        <v>150245000</v>
      </c>
      <c r="K824" s="3">
        <f t="shared" si="37"/>
        <v>325460719000</v>
      </c>
      <c r="M824" s="4">
        <f t="shared" si="38"/>
        <v>0.80570922954837443</v>
      </c>
    </row>
    <row r="825" spans="1:13" x14ac:dyDescent="0.45">
      <c r="A825" s="2">
        <v>44733</v>
      </c>
      <c r="B825" s="1">
        <v>9979.15</v>
      </c>
      <c r="D825" s="2">
        <v>44733</v>
      </c>
      <c r="E825" s="1">
        <v>2226.8000000000002</v>
      </c>
      <c r="G825" s="3">
        <v>6452615</v>
      </c>
      <c r="H825" s="3">
        <f t="shared" si="36"/>
        <v>64391612977.25</v>
      </c>
      <c r="J825" s="3">
        <v>150245000</v>
      </c>
      <c r="K825" s="3">
        <f t="shared" si="37"/>
        <v>334565566000</v>
      </c>
      <c r="M825" s="4">
        <f t="shared" si="38"/>
        <v>0.807536639986286</v>
      </c>
    </row>
    <row r="826" spans="1:13" x14ac:dyDescent="0.45">
      <c r="A826" s="2">
        <v>44732</v>
      </c>
      <c r="B826" s="1">
        <v>9730.15</v>
      </c>
      <c r="D826" s="2">
        <v>44732</v>
      </c>
      <c r="E826" s="1">
        <v>2136.1999999999998</v>
      </c>
      <c r="G826" s="3">
        <v>6452615</v>
      </c>
      <c r="H826" s="3">
        <f t="shared" si="36"/>
        <v>62784911842.25</v>
      </c>
      <c r="J826" s="3">
        <v>150245000</v>
      </c>
      <c r="K826" s="3">
        <f t="shared" si="37"/>
        <v>320953369000</v>
      </c>
      <c r="M826" s="4">
        <f t="shared" si="38"/>
        <v>0.8043799570078668</v>
      </c>
    </row>
    <row r="827" spans="1:13" x14ac:dyDescent="0.45">
      <c r="A827" s="2">
        <v>44729</v>
      </c>
      <c r="B827" s="1">
        <v>10362.799999999999</v>
      </c>
      <c r="D827" s="2">
        <v>44729</v>
      </c>
      <c r="E827" s="1">
        <v>2178.1</v>
      </c>
      <c r="G827" s="3">
        <v>6452615</v>
      </c>
      <c r="H827" s="3">
        <f t="shared" si="36"/>
        <v>66867158721.999992</v>
      </c>
      <c r="J827" s="3">
        <v>150245000</v>
      </c>
      <c r="K827" s="3">
        <f t="shared" si="37"/>
        <v>327248634500</v>
      </c>
      <c r="M827" s="4">
        <f t="shared" si="38"/>
        <v>0.79566863946074007</v>
      </c>
    </row>
    <row r="828" spans="1:13" x14ac:dyDescent="0.45">
      <c r="A828" s="2">
        <v>44728</v>
      </c>
      <c r="B828" s="1">
        <v>10359.5</v>
      </c>
      <c r="D828" s="2">
        <v>44728</v>
      </c>
      <c r="E828" s="1">
        <v>2187.6999999999998</v>
      </c>
      <c r="G828" s="3">
        <v>6452615</v>
      </c>
      <c r="H828" s="3">
        <f t="shared" si="36"/>
        <v>66845865092.5</v>
      </c>
      <c r="J828" s="3">
        <v>150245000</v>
      </c>
      <c r="K828" s="3">
        <f t="shared" si="37"/>
        <v>328690986500</v>
      </c>
      <c r="M828" s="4">
        <f t="shared" si="38"/>
        <v>0.79663006337869269</v>
      </c>
    </row>
    <row r="829" spans="1:13" x14ac:dyDescent="0.45">
      <c r="A829" s="2">
        <v>44727</v>
      </c>
      <c r="B829" s="1">
        <v>10777.3</v>
      </c>
      <c r="D829" s="2">
        <v>44727</v>
      </c>
      <c r="E829" s="1">
        <v>2287.15</v>
      </c>
      <c r="G829" s="3">
        <v>6452615</v>
      </c>
      <c r="H829" s="3">
        <f t="shared" si="36"/>
        <v>69541767639.5</v>
      </c>
      <c r="J829" s="3">
        <v>150245000</v>
      </c>
      <c r="K829" s="3">
        <f t="shared" si="37"/>
        <v>343632851750</v>
      </c>
      <c r="M829" s="4">
        <f t="shared" si="38"/>
        <v>0.79762770851113773</v>
      </c>
    </row>
    <row r="830" spans="1:13" x14ac:dyDescent="0.45">
      <c r="A830" s="2">
        <v>44726</v>
      </c>
      <c r="B830" s="1">
        <v>10952.9</v>
      </c>
      <c r="D830" s="2">
        <v>44726</v>
      </c>
      <c r="E830" s="1">
        <v>2266.4499999999998</v>
      </c>
      <c r="G830" s="3">
        <v>6452615</v>
      </c>
      <c r="H830" s="3">
        <f t="shared" si="36"/>
        <v>70674846833.5</v>
      </c>
      <c r="J830" s="3">
        <v>150245000</v>
      </c>
      <c r="K830" s="3">
        <f t="shared" si="37"/>
        <v>340522780250</v>
      </c>
      <c r="M830" s="4">
        <f t="shared" si="38"/>
        <v>0.79245192705870371</v>
      </c>
    </row>
    <row r="831" spans="1:13" x14ac:dyDescent="0.45">
      <c r="A831" s="2">
        <v>44725</v>
      </c>
      <c r="B831" s="1">
        <v>10817.85</v>
      </c>
      <c r="D831" s="2">
        <v>44725</v>
      </c>
      <c r="E831" s="1">
        <v>2262</v>
      </c>
      <c r="G831" s="3">
        <v>6452615</v>
      </c>
      <c r="H831" s="3">
        <f t="shared" si="36"/>
        <v>69803421177.75</v>
      </c>
      <c r="J831" s="3">
        <v>150245000</v>
      </c>
      <c r="K831" s="3">
        <f t="shared" si="37"/>
        <v>339854190000</v>
      </c>
      <c r="M831" s="4">
        <f t="shared" si="38"/>
        <v>0.79460773698935416</v>
      </c>
    </row>
    <row r="832" spans="1:13" x14ac:dyDescent="0.45">
      <c r="A832" s="2">
        <v>44722</v>
      </c>
      <c r="B832" s="1">
        <v>11026.85</v>
      </c>
      <c r="D832" s="2">
        <v>44722</v>
      </c>
      <c r="E832" s="1">
        <v>2304.8000000000002</v>
      </c>
      <c r="G832" s="3">
        <v>6452615</v>
      </c>
      <c r="H832" s="3">
        <f t="shared" si="36"/>
        <v>71152017712.75</v>
      </c>
      <c r="J832" s="3">
        <v>150245000</v>
      </c>
      <c r="K832" s="3">
        <f t="shared" si="37"/>
        <v>346284676000</v>
      </c>
      <c r="M832" s="4">
        <f t="shared" si="38"/>
        <v>0.79452738557582026</v>
      </c>
    </row>
    <row r="833" spans="1:13" x14ac:dyDescent="0.45">
      <c r="A833" s="2">
        <v>44721</v>
      </c>
      <c r="B833" s="1">
        <v>11207</v>
      </c>
      <c r="D833" s="2">
        <v>44721</v>
      </c>
      <c r="E833" s="1">
        <v>2299.5</v>
      </c>
      <c r="G833" s="3">
        <v>6452615</v>
      </c>
      <c r="H833" s="3">
        <f t="shared" si="36"/>
        <v>72314456305</v>
      </c>
      <c r="J833" s="3">
        <v>150245000</v>
      </c>
      <c r="K833" s="3">
        <f t="shared" si="37"/>
        <v>345488377500</v>
      </c>
      <c r="M833" s="4">
        <f t="shared" si="38"/>
        <v>0.79068917794492233</v>
      </c>
    </row>
    <row r="834" spans="1:13" x14ac:dyDescent="0.45">
      <c r="A834" s="2">
        <v>44720</v>
      </c>
      <c r="B834" s="1">
        <v>11447</v>
      </c>
      <c r="D834" s="2">
        <v>44720</v>
      </c>
      <c r="E834" s="1">
        <v>2260.65</v>
      </c>
      <c r="G834" s="3">
        <v>6452615</v>
      </c>
      <c r="H834" s="3">
        <f t="shared" si="36"/>
        <v>73863083905</v>
      </c>
      <c r="J834" s="3">
        <v>150245000</v>
      </c>
      <c r="K834" s="3">
        <f t="shared" si="37"/>
        <v>339651359250</v>
      </c>
      <c r="M834" s="4">
        <f t="shared" si="38"/>
        <v>0.78253264150598278</v>
      </c>
    </row>
    <row r="835" spans="1:13" x14ac:dyDescent="0.45">
      <c r="A835" s="2">
        <v>44719</v>
      </c>
      <c r="B835" s="1">
        <v>11331.1</v>
      </c>
      <c r="D835" s="2">
        <v>44719</v>
      </c>
      <c r="E835" s="1">
        <v>2332.85</v>
      </c>
      <c r="G835" s="3">
        <v>6452615</v>
      </c>
      <c r="H835" s="3">
        <f t="shared" si="36"/>
        <v>73115225826.5</v>
      </c>
      <c r="J835" s="3">
        <v>150245000</v>
      </c>
      <c r="K835" s="3">
        <f t="shared" si="37"/>
        <v>350499048250</v>
      </c>
      <c r="M835" s="4">
        <f t="shared" si="38"/>
        <v>0.79139679211240199</v>
      </c>
    </row>
    <row r="836" spans="1:13" x14ac:dyDescent="0.45">
      <c r="A836" s="2">
        <v>44718</v>
      </c>
      <c r="B836" s="1">
        <v>11528.5</v>
      </c>
      <c r="D836" s="2">
        <v>44718</v>
      </c>
      <c r="E836" s="1">
        <v>2382.6999999999998</v>
      </c>
      <c r="G836" s="3">
        <v>6452615</v>
      </c>
      <c r="H836" s="3">
        <f t="shared" ref="H836:H899" si="39">+G836*B836</f>
        <v>74388972027.5</v>
      </c>
      <c r="J836" s="3">
        <v>150245000</v>
      </c>
      <c r="K836" s="3">
        <f t="shared" ref="K836:K899" si="40">+J836*E836</f>
        <v>357988761500</v>
      </c>
      <c r="M836" s="4">
        <f t="shared" ref="M836:M899" si="41">1- (H836/K836)</f>
        <v>0.79220305208519792</v>
      </c>
    </row>
    <row r="837" spans="1:13" x14ac:dyDescent="0.45">
      <c r="A837" s="2">
        <v>44715</v>
      </c>
      <c r="B837" s="1">
        <v>11705.3</v>
      </c>
      <c r="D837" s="2">
        <v>44715</v>
      </c>
      <c r="E837" s="1">
        <v>2373.25</v>
      </c>
      <c r="G837" s="3">
        <v>6452615</v>
      </c>
      <c r="H837" s="3">
        <f t="shared" si="39"/>
        <v>75529794359.5</v>
      </c>
      <c r="J837" s="3">
        <v>150245000</v>
      </c>
      <c r="K837" s="3">
        <f t="shared" si="40"/>
        <v>356568946250</v>
      </c>
      <c r="M837" s="4">
        <f t="shared" si="41"/>
        <v>0.78817618540863044</v>
      </c>
    </row>
    <row r="838" spans="1:13" x14ac:dyDescent="0.45">
      <c r="A838" s="2">
        <v>44714</v>
      </c>
      <c r="B838" s="1">
        <v>11922.1</v>
      </c>
      <c r="D838" s="2">
        <v>44714</v>
      </c>
      <c r="E838" s="1">
        <v>2387.1999999999998</v>
      </c>
      <c r="G838" s="3">
        <v>6452615</v>
      </c>
      <c r="H838" s="3">
        <f t="shared" si="39"/>
        <v>76928721291.5</v>
      </c>
      <c r="J838" s="3">
        <v>150245000</v>
      </c>
      <c r="K838" s="3">
        <f t="shared" si="40"/>
        <v>358664864000</v>
      </c>
      <c r="M838" s="4">
        <f t="shared" si="41"/>
        <v>0.78551363957552311</v>
      </c>
    </row>
    <row r="839" spans="1:13" x14ac:dyDescent="0.45">
      <c r="A839" s="2">
        <v>44713</v>
      </c>
      <c r="B839" s="1">
        <v>11878.9</v>
      </c>
      <c r="D839" s="2">
        <v>44713</v>
      </c>
      <c r="E839" s="1">
        <v>2398.1</v>
      </c>
      <c r="G839" s="3">
        <v>6452615</v>
      </c>
      <c r="H839" s="3">
        <f t="shared" si="39"/>
        <v>76649968323.5</v>
      </c>
      <c r="J839" s="3">
        <v>150245000</v>
      </c>
      <c r="K839" s="3">
        <f t="shared" si="40"/>
        <v>360302534500</v>
      </c>
      <c r="M839" s="4">
        <f t="shared" si="41"/>
        <v>0.78726220055634943</v>
      </c>
    </row>
    <row r="840" spans="1:13" x14ac:dyDescent="0.45">
      <c r="A840" s="2">
        <v>44712</v>
      </c>
      <c r="B840" s="1">
        <v>11802.7</v>
      </c>
      <c r="D840" s="2">
        <v>44712</v>
      </c>
      <c r="E840" s="1">
        <v>2462.9</v>
      </c>
      <c r="G840" s="3">
        <v>6452615</v>
      </c>
      <c r="H840" s="3">
        <f t="shared" si="39"/>
        <v>76158279060.5</v>
      </c>
      <c r="J840" s="3">
        <v>150245000</v>
      </c>
      <c r="K840" s="3">
        <f t="shared" si="40"/>
        <v>370038410500</v>
      </c>
      <c r="M840" s="4">
        <f t="shared" si="41"/>
        <v>0.79418817912012407</v>
      </c>
    </row>
    <row r="841" spans="1:13" x14ac:dyDescent="0.45">
      <c r="A841" s="2">
        <v>44711</v>
      </c>
      <c r="B841" s="1">
        <v>11233</v>
      </c>
      <c r="D841" s="2">
        <v>44711</v>
      </c>
      <c r="E841" s="1">
        <v>2452</v>
      </c>
      <c r="G841" s="3">
        <v>6452615</v>
      </c>
      <c r="H841" s="3">
        <f t="shared" si="39"/>
        <v>72482224295</v>
      </c>
      <c r="J841" s="3">
        <v>150245000</v>
      </c>
      <c r="K841" s="3">
        <f t="shared" si="40"/>
        <v>368400740000</v>
      </c>
      <c r="M841" s="4">
        <f t="shared" si="41"/>
        <v>0.80325168647869705</v>
      </c>
    </row>
    <row r="842" spans="1:13" x14ac:dyDescent="0.45">
      <c r="A842" s="2">
        <v>44708</v>
      </c>
      <c r="B842" s="1">
        <v>11333.95</v>
      </c>
      <c r="D842" s="2">
        <v>44708</v>
      </c>
      <c r="E842" s="1">
        <v>2363.15</v>
      </c>
      <c r="G842" s="3">
        <v>6452615</v>
      </c>
      <c r="H842" s="3">
        <f t="shared" si="39"/>
        <v>73133615779.25</v>
      </c>
      <c r="J842" s="3">
        <v>150245000</v>
      </c>
      <c r="K842" s="3">
        <f t="shared" si="40"/>
        <v>355051471750</v>
      </c>
      <c r="M842" s="4">
        <f t="shared" si="41"/>
        <v>0.79401967996700751</v>
      </c>
    </row>
    <row r="843" spans="1:13" x14ac:dyDescent="0.45">
      <c r="A843" s="2">
        <v>44707</v>
      </c>
      <c r="B843" s="1">
        <v>10294.450000000001</v>
      </c>
      <c r="D843" s="2">
        <v>44707</v>
      </c>
      <c r="E843" s="1">
        <v>2273.4499999999998</v>
      </c>
      <c r="G843" s="3">
        <v>6452615</v>
      </c>
      <c r="H843" s="3">
        <f t="shared" si="39"/>
        <v>66426122486.750008</v>
      </c>
      <c r="J843" s="3">
        <v>150245000</v>
      </c>
      <c r="K843" s="3">
        <f t="shared" si="40"/>
        <v>341574495250</v>
      </c>
      <c r="M843" s="4">
        <f t="shared" si="41"/>
        <v>0.80552961825170111</v>
      </c>
    </row>
    <row r="844" spans="1:13" x14ac:dyDescent="0.45">
      <c r="A844" s="2">
        <v>44706</v>
      </c>
      <c r="B844" s="1">
        <v>10432.9</v>
      </c>
      <c r="D844" s="2">
        <v>44706</v>
      </c>
      <c r="E844" s="1">
        <v>2235.5</v>
      </c>
      <c r="G844" s="3">
        <v>6452615</v>
      </c>
      <c r="H844" s="3">
        <f t="shared" si="39"/>
        <v>67319487033.5</v>
      </c>
      <c r="J844" s="3">
        <v>150245000</v>
      </c>
      <c r="K844" s="3">
        <f t="shared" si="40"/>
        <v>335872697500</v>
      </c>
      <c r="M844" s="4">
        <f t="shared" si="41"/>
        <v>0.79956844502521673</v>
      </c>
    </row>
    <row r="845" spans="1:13" x14ac:dyDescent="0.45">
      <c r="A845" s="2">
        <v>44705</v>
      </c>
      <c r="B845" s="1">
        <v>10600</v>
      </c>
      <c r="D845" s="2">
        <v>44705</v>
      </c>
      <c r="E845" s="1">
        <v>2339.6999999999998</v>
      </c>
      <c r="G845" s="3">
        <v>6452615</v>
      </c>
      <c r="H845" s="3">
        <f t="shared" si="39"/>
        <v>68397719000</v>
      </c>
      <c r="J845" s="3">
        <v>150245000</v>
      </c>
      <c r="K845" s="3">
        <f t="shared" si="40"/>
        <v>351528226500</v>
      </c>
      <c r="M845" s="4">
        <f t="shared" si="41"/>
        <v>0.80542751948825364</v>
      </c>
    </row>
    <row r="846" spans="1:13" x14ac:dyDescent="0.45">
      <c r="A846" s="2">
        <v>44704</v>
      </c>
      <c r="B846" s="1">
        <v>10800.05</v>
      </c>
      <c r="D846" s="2">
        <v>44704</v>
      </c>
      <c r="E846" s="1">
        <v>2304.75</v>
      </c>
      <c r="G846" s="3">
        <v>6452615</v>
      </c>
      <c r="H846" s="3">
        <f t="shared" si="39"/>
        <v>69688564630.75</v>
      </c>
      <c r="J846" s="3">
        <v>150245000</v>
      </c>
      <c r="K846" s="3">
        <f t="shared" si="40"/>
        <v>346277163750</v>
      </c>
      <c r="M846" s="4">
        <f t="shared" si="41"/>
        <v>0.79874917572946647</v>
      </c>
    </row>
    <row r="847" spans="1:13" x14ac:dyDescent="0.45">
      <c r="A847" s="2">
        <v>44701</v>
      </c>
      <c r="B847" s="1">
        <v>11052.5</v>
      </c>
      <c r="D847" s="2">
        <v>44701</v>
      </c>
      <c r="E847" s="1">
        <v>2338.15</v>
      </c>
      <c r="G847" s="3">
        <v>6452615</v>
      </c>
      <c r="H847" s="3">
        <f t="shared" si="39"/>
        <v>71317527287.5</v>
      </c>
      <c r="J847" s="3">
        <v>150245000</v>
      </c>
      <c r="K847" s="3">
        <f t="shared" si="40"/>
        <v>351295346750</v>
      </c>
      <c r="M847" s="4">
        <f t="shared" si="41"/>
        <v>0.79698698560259251</v>
      </c>
    </row>
    <row r="848" spans="1:13" x14ac:dyDescent="0.45">
      <c r="A848" s="2">
        <v>44700</v>
      </c>
      <c r="B848" s="1">
        <v>10267.25</v>
      </c>
      <c r="D848" s="2">
        <v>44700</v>
      </c>
      <c r="E848" s="1">
        <v>2329.4</v>
      </c>
      <c r="G848" s="3">
        <v>6452615</v>
      </c>
      <c r="H848" s="3">
        <f t="shared" si="39"/>
        <v>66250611358.75</v>
      </c>
      <c r="J848" s="3">
        <v>150245000</v>
      </c>
      <c r="K848" s="3">
        <f t="shared" si="40"/>
        <v>349980703000</v>
      </c>
      <c r="M848" s="4">
        <f t="shared" si="41"/>
        <v>0.810702102170616</v>
      </c>
    </row>
    <row r="849" spans="1:13" x14ac:dyDescent="0.45">
      <c r="A849" s="2">
        <v>44699</v>
      </c>
      <c r="B849" s="1">
        <v>10380.1</v>
      </c>
      <c r="D849" s="2">
        <v>44699</v>
      </c>
      <c r="E849" s="1">
        <v>2349.15</v>
      </c>
      <c r="G849" s="3">
        <v>6452615</v>
      </c>
      <c r="H849" s="3">
        <f t="shared" si="39"/>
        <v>66978788961.5</v>
      </c>
      <c r="J849" s="3">
        <v>150245000</v>
      </c>
      <c r="K849" s="3">
        <f t="shared" si="40"/>
        <v>352948041750</v>
      </c>
      <c r="M849" s="4">
        <f t="shared" si="41"/>
        <v>0.81023045593509091</v>
      </c>
    </row>
    <row r="850" spans="1:13" x14ac:dyDescent="0.45">
      <c r="A850" s="2">
        <v>44698</v>
      </c>
      <c r="B850" s="1">
        <v>10503.5</v>
      </c>
      <c r="D850" s="2">
        <v>44698</v>
      </c>
      <c r="E850" s="1">
        <v>2330.1999999999998</v>
      </c>
      <c r="G850" s="3">
        <v>6452615</v>
      </c>
      <c r="H850" s="3">
        <f t="shared" si="39"/>
        <v>67775041652.5</v>
      </c>
      <c r="J850" s="3">
        <v>150245000</v>
      </c>
      <c r="K850" s="3">
        <f t="shared" si="40"/>
        <v>350100899000</v>
      </c>
      <c r="M850" s="4">
        <f t="shared" si="41"/>
        <v>0.8064128317119803</v>
      </c>
    </row>
    <row r="851" spans="1:13" x14ac:dyDescent="0.45">
      <c r="A851" s="2">
        <v>44697</v>
      </c>
      <c r="B851" s="1">
        <v>10135.700000000001</v>
      </c>
      <c r="D851" s="2">
        <v>44697</v>
      </c>
      <c r="E851" s="1">
        <v>2240.5</v>
      </c>
      <c r="G851" s="3">
        <v>6452615</v>
      </c>
      <c r="H851" s="3">
        <f t="shared" si="39"/>
        <v>65401769855.500008</v>
      </c>
      <c r="J851" s="3">
        <v>150245000</v>
      </c>
      <c r="K851" s="3">
        <f t="shared" si="40"/>
        <v>336623922500</v>
      </c>
      <c r="M851" s="4">
        <f t="shared" si="41"/>
        <v>0.80571264998107783</v>
      </c>
    </row>
    <row r="852" spans="1:13" x14ac:dyDescent="0.45">
      <c r="A852" s="2">
        <v>44694</v>
      </c>
      <c r="B852" s="1">
        <v>10214.049999999999</v>
      </c>
      <c r="D852" s="2">
        <v>44694</v>
      </c>
      <c r="E852" s="1">
        <v>2227.5</v>
      </c>
      <c r="G852" s="3">
        <v>6452615</v>
      </c>
      <c r="H852" s="3">
        <f t="shared" si="39"/>
        <v>65907332240.749992</v>
      </c>
      <c r="J852" s="3">
        <v>150245000</v>
      </c>
      <c r="K852" s="3">
        <f t="shared" si="40"/>
        <v>334670737500</v>
      </c>
      <c r="M852" s="4">
        <f t="shared" si="41"/>
        <v>0.80306813576508163</v>
      </c>
    </row>
    <row r="853" spans="1:13" x14ac:dyDescent="0.45">
      <c r="A853" s="2">
        <v>44693</v>
      </c>
      <c r="B853" s="1">
        <v>10083.299999999999</v>
      </c>
      <c r="D853" s="2">
        <v>44693</v>
      </c>
      <c r="E853" s="1">
        <v>2195.1</v>
      </c>
      <c r="G853" s="3">
        <v>6452615</v>
      </c>
      <c r="H853" s="3">
        <f t="shared" si="39"/>
        <v>65063652829.499992</v>
      </c>
      <c r="J853" s="3">
        <v>150245000</v>
      </c>
      <c r="K853" s="3">
        <f t="shared" si="40"/>
        <v>329802799500</v>
      </c>
      <c r="M853" s="4">
        <f t="shared" si="41"/>
        <v>0.80271952534017221</v>
      </c>
    </row>
    <row r="854" spans="1:13" x14ac:dyDescent="0.45">
      <c r="A854" s="2">
        <v>44692</v>
      </c>
      <c r="B854" s="1">
        <v>10159.200000000001</v>
      </c>
      <c r="D854" s="2">
        <v>44692</v>
      </c>
      <c r="E854" s="1">
        <v>2233.65</v>
      </c>
      <c r="G854" s="3">
        <v>6452615</v>
      </c>
      <c r="H854" s="3">
        <f t="shared" si="39"/>
        <v>65553406308.000008</v>
      </c>
      <c r="J854" s="3">
        <v>150245000</v>
      </c>
      <c r="K854" s="3">
        <f t="shared" si="40"/>
        <v>335594744250</v>
      </c>
      <c r="M854" s="4">
        <f t="shared" si="41"/>
        <v>0.80466497932051562</v>
      </c>
    </row>
    <row r="855" spans="1:13" x14ac:dyDescent="0.45">
      <c r="A855" s="2">
        <v>44691</v>
      </c>
      <c r="B855" s="1">
        <v>10521.45</v>
      </c>
      <c r="D855" s="2">
        <v>44691</v>
      </c>
      <c r="E855" s="1">
        <v>2111.9</v>
      </c>
      <c r="G855" s="3">
        <v>6452615</v>
      </c>
      <c r="H855" s="3">
        <f t="shared" si="39"/>
        <v>67890866091.750008</v>
      </c>
      <c r="J855" s="3">
        <v>150245000</v>
      </c>
      <c r="K855" s="3">
        <f t="shared" si="40"/>
        <v>317302415500</v>
      </c>
      <c r="M855" s="4">
        <f t="shared" si="41"/>
        <v>0.7860373486764396</v>
      </c>
    </row>
    <row r="856" spans="1:13" x14ac:dyDescent="0.45">
      <c r="A856" s="2">
        <v>44690</v>
      </c>
      <c r="B856" s="1">
        <v>10446.799999999999</v>
      </c>
      <c r="D856" s="2">
        <v>44690</v>
      </c>
      <c r="E856" s="1">
        <v>2222.15</v>
      </c>
      <c r="G856" s="3">
        <v>6452615</v>
      </c>
      <c r="H856" s="3">
        <f t="shared" si="39"/>
        <v>67409178381.999992</v>
      </c>
      <c r="J856" s="3">
        <v>150245000</v>
      </c>
      <c r="K856" s="3">
        <f t="shared" si="40"/>
        <v>333866926750</v>
      </c>
      <c r="M856" s="4">
        <f t="shared" si="41"/>
        <v>0.79809566931894371</v>
      </c>
    </row>
    <row r="857" spans="1:13" x14ac:dyDescent="0.45">
      <c r="A857" s="2">
        <v>44687</v>
      </c>
      <c r="B857" s="1">
        <v>10819.7</v>
      </c>
      <c r="D857" s="2">
        <v>44687</v>
      </c>
      <c r="E857" s="1">
        <v>2298.85</v>
      </c>
      <c r="G857" s="3">
        <v>6452615</v>
      </c>
      <c r="H857" s="3">
        <f t="shared" si="39"/>
        <v>69815358515.5</v>
      </c>
      <c r="J857" s="3">
        <v>150245000</v>
      </c>
      <c r="K857" s="3">
        <f t="shared" si="40"/>
        <v>345390718250</v>
      </c>
      <c r="M857" s="4">
        <f t="shared" si="41"/>
        <v>0.79786556260331698</v>
      </c>
    </row>
    <row r="858" spans="1:13" x14ac:dyDescent="0.45">
      <c r="A858" s="2">
        <v>44686</v>
      </c>
      <c r="B858" s="1">
        <v>11200.85</v>
      </c>
      <c r="D858" s="2">
        <v>44686</v>
      </c>
      <c r="E858" s="1">
        <v>2396.0500000000002</v>
      </c>
      <c r="G858" s="3">
        <v>6452615</v>
      </c>
      <c r="H858" s="3">
        <f t="shared" si="39"/>
        <v>72274772722.75</v>
      </c>
      <c r="J858" s="3">
        <v>150245000</v>
      </c>
      <c r="K858" s="3">
        <f t="shared" si="40"/>
        <v>359994532250</v>
      </c>
      <c r="M858" s="4">
        <f t="shared" si="41"/>
        <v>0.79923369315909931</v>
      </c>
    </row>
    <row r="859" spans="1:13" x14ac:dyDescent="0.45">
      <c r="A859" s="2">
        <v>44685</v>
      </c>
      <c r="B859" s="1">
        <v>11230.4</v>
      </c>
      <c r="D859" s="2">
        <v>44685</v>
      </c>
      <c r="E859" s="1">
        <v>2403.5</v>
      </c>
      <c r="G859" s="3">
        <v>6452615</v>
      </c>
      <c r="H859" s="3">
        <f t="shared" si="39"/>
        <v>72465447496</v>
      </c>
      <c r="J859" s="3">
        <v>150245000</v>
      </c>
      <c r="K859" s="3">
        <f t="shared" si="40"/>
        <v>361113857500</v>
      </c>
      <c r="M859" s="4">
        <f t="shared" si="41"/>
        <v>0.79932797927589916</v>
      </c>
    </row>
    <row r="860" spans="1:13" x14ac:dyDescent="0.45">
      <c r="A860" s="2">
        <v>44683</v>
      </c>
      <c r="B860" s="1">
        <v>11284.5</v>
      </c>
      <c r="D860" s="2">
        <v>44683</v>
      </c>
      <c r="E860" s="1">
        <v>2504.25</v>
      </c>
      <c r="G860" s="3">
        <v>6452615</v>
      </c>
      <c r="H860" s="3">
        <f t="shared" si="39"/>
        <v>72814533967.5</v>
      </c>
      <c r="J860" s="3">
        <v>150245000</v>
      </c>
      <c r="K860" s="3">
        <f t="shared" si="40"/>
        <v>376251041250</v>
      </c>
      <c r="M860" s="4">
        <f t="shared" si="41"/>
        <v>0.80647353499516727</v>
      </c>
    </row>
    <row r="861" spans="1:13" x14ac:dyDescent="0.45">
      <c r="A861" s="2">
        <v>44680</v>
      </c>
      <c r="B861" s="1">
        <v>11361.7</v>
      </c>
      <c r="D861" s="2">
        <v>44680</v>
      </c>
      <c r="E861" s="1">
        <v>2511.75</v>
      </c>
      <c r="G861" s="3">
        <v>6452615</v>
      </c>
      <c r="H861" s="3">
        <f t="shared" si="39"/>
        <v>73312675845.5</v>
      </c>
      <c r="J861" s="3">
        <v>150245000</v>
      </c>
      <c r="K861" s="3">
        <f t="shared" si="40"/>
        <v>377377878750</v>
      </c>
      <c r="M861" s="4">
        <f t="shared" si="41"/>
        <v>0.80573139027561513</v>
      </c>
    </row>
    <row r="862" spans="1:13" x14ac:dyDescent="0.45">
      <c r="A862" s="2">
        <v>44679</v>
      </c>
      <c r="B862" s="1">
        <v>11279.7</v>
      </c>
      <c r="D862" s="2">
        <v>44679</v>
      </c>
      <c r="E862" s="1">
        <v>2513.6999999999998</v>
      </c>
      <c r="G862" s="3">
        <v>6452615</v>
      </c>
      <c r="H862" s="3">
        <f t="shared" si="39"/>
        <v>72783561415.5</v>
      </c>
      <c r="J862" s="3">
        <v>150245000</v>
      </c>
      <c r="K862" s="3">
        <f t="shared" si="40"/>
        <v>377670856500</v>
      </c>
      <c r="M862" s="4">
        <f t="shared" si="41"/>
        <v>0.80728308747460897</v>
      </c>
    </row>
    <row r="863" spans="1:13" x14ac:dyDescent="0.45">
      <c r="A863" s="2">
        <v>44678</v>
      </c>
      <c r="B863" s="1">
        <v>11198.1</v>
      </c>
      <c r="D863" s="2">
        <v>44678</v>
      </c>
      <c r="E863" s="1">
        <v>2481.6999999999998</v>
      </c>
      <c r="G863" s="3">
        <v>6452615</v>
      </c>
      <c r="H863" s="3">
        <f t="shared" si="39"/>
        <v>72257028031.5</v>
      </c>
      <c r="J863" s="3">
        <v>150245000</v>
      </c>
      <c r="K863" s="3">
        <f t="shared" si="40"/>
        <v>372863016500</v>
      </c>
      <c r="M863" s="4">
        <f t="shared" si="41"/>
        <v>0.80621025729565754</v>
      </c>
    </row>
    <row r="864" spans="1:13" x14ac:dyDescent="0.45">
      <c r="A864" s="2">
        <v>44677</v>
      </c>
      <c r="B864" s="1">
        <v>11234</v>
      </c>
      <c r="D864" s="2">
        <v>44677</v>
      </c>
      <c r="E864" s="1">
        <v>2513.8000000000002</v>
      </c>
      <c r="G864" s="3">
        <v>6452615</v>
      </c>
      <c r="H864" s="3">
        <f t="shared" si="39"/>
        <v>72488676910</v>
      </c>
      <c r="J864" s="3">
        <v>150245000</v>
      </c>
      <c r="K864" s="3">
        <f t="shared" si="40"/>
        <v>377685881000</v>
      </c>
      <c r="M864" s="4">
        <f t="shared" si="41"/>
        <v>0.80807152039130636</v>
      </c>
    </row>
    <row r="865" spans="1:13" x14ac:dyDescent="0.45">
      <c r="A865" s="2">
        <v>44676</v>
      </c>
      <c r="B865" s="1">
        <v>11271.35</v>
      </c>
      <c r="D865" s="2">
        <v>44676</v>
      </c>
      <c r="E865" s="1">
        <v>2434.4</v>
      </c>
      <c r="G865" s="3">
        <v>6452615</v>
      </c>
      <c r="H865" s="3">
        <f t="shared" si="39"/>
        <v>72729682080.25</v>
      </c>
      <c r="J865" s="3">
        <v>150245000</v>
      </c>
      <c r="K865" s="3">
        <f t="shared" si="40"/>
        <v>365756428000</v>
      </c>
      <c r="M865" s="4">
        <f t="shared" si="41"/>
        <v>0.80115268929668682</v>
      </c>
    </row>
    <row r="866" spans="1:13" x14ac:dyDescent="0.45">
      <c r="A866" s="2">
        <v>44673</v>
      </c>
      <c r="B866" s="1">
        <v>11505.75</v>
      </c>
      <c r="D866" s="2">
        <v>44673</v>
      </c>
      <c r="E866" s="1">
        <v>2490.35</v>
      </c>
      <c r="G866" s="3">
        <v>6452615</v>
      </c>
      <c r="H866" s="3">
        <f t="shared" si="39"/>
        <v>74242175036.25</v>
      </c>
      <c r="J866" s="3">
        <v>150245000</v>
      </c>
      <c r="K866" s="3">
        <f t="shared" si="40"/>
        <v>374162635750</v>
      </c>
      <c r="M866" s="4">
        <f t="shared" si="41"/>
        <v>0.80157779547539976</v>
      </c>
    </row>
    <row r="867" spans="1:13" x14ac:dyDescent="0.45">
      <c r="A867" s="2">
        <v>44672</v>
      </c>
      <c r="B867" s="1">
        <v>11603.6</v>
      </c>
      <c r="D867" s="2">
        <v>44672</v>
      </c>
      <c r="E867" s="1">
        <v>2546.35</v>
      </c>
      <c r="G867" s="3">
        <v>6452615</v>
      </c>
      <c r="H867" s="3">
        <f t="shared" si="39"/>
        <v>74873563414</v>
      </c>
      <c r="J867" s="3">
        <v>150245000</v>
      </c>
      <c r="K867" s="3">
        <f t="shared" si="40"/>
        <v>382576355750</v>
      </c>
      <c r="M867" s="4">
        <f t="shared" si="41"/>
        <v>0.80429118974898905</v>
      </c>
    </row>
    <row r="868" spans="1:13" x14ac:dyDescent="0.45">
      <c r="A868" s="2">
        <v>44671</v>
      </c>
      <c r="B868" s="1">
        <v>11536.85</v>
      </c>
      <c r="D868" s="2">
        <v>44671</v>
      </c>
      <c r="E868" s="1">
        <v>2540.25</v>
      </c>
      <c r="G868" s="3">
        <v>6452615</v>
      </c>
      <c r="H868" s="3">
        <f t="shared" si="39"/>
        <v>74442851362.75</v>
      </c>
      <c r="J868" s="3">
        <v>150245000</v>
      </c>
      <c r="K868" s="3">
        <f t="shared" si="40"/>
        <v>381659861250</v>
      </c>
      <c r="M868" s="4">
        <f t="shared" si="41"/>
        <v>0.80494974997125146</v>
      </c>
    </row>
    <row r="869" spans="1:13" x14ac:dyDescent="0.45">
      <c r="A869" s="2">
        <v>44670</v>
      </c>
      <c r="B869" s="1">
        <v>11481.95</v>
      </c>
      <c r="D869" s="2">
        <v>44670</v>
      </c>
      <c r="E869" s="1">
        <v>2526.0500000000002</v>
      </c>
      <c r="G869" s="3">
        <v>6452615</v>
      </c>
      <c r="H869" s="3">
        <f t="shared" si="39"/>
        <v>74088602799.25</v>
      </c>
      <c r="J869" s="3">
        <v>150245000</v>
      </c>
      <c r="K869" s="3">
        <f t="shared" si="40"/>
        <v>379526382250</v>
      </c>
      <c r="M869" s="4">
        <f t="shared" si="41"/>
        <v>0.80478668607958148</v>
      </c>
    </row>
    <row r="870" spans="1:13" x14ac:dyDescent="0.45">
      <c r="A870" s="2">
        <v>44669</v>
      </c>
      <c r="B870" s="1">
        <v>11626.7</v>
      </c>
      <c r="D870" s="2">
        <v>44669</v>
      </c>
      <c r="E870" s="1">
        <v>2616.5</v>
      </c>
      <c r="G870" s="3">
        <v>6452615</v>
      </c>
      <c r="H870" s="3">
        <f t="shared" si="39"/>
        <v>75022618820.5</v>
      </c>
      <c r="J870" s="3">
        <v>150245000</v>
      </c>
      <c r="K870" s="3">
        <f t="shared" si="40"/>
        <v>393116042500</v>
      </c>
      <c r="M870" s="4">
        <f t="shared" si="41"/>
        <v>0.80915910136000113</v>
      </c>
    </row>
    <row r="871" spans="1:13" x14ac:dyDescent="0.45">
      <c r="A871" s="2">
        <v>44664</v>
      </c>
      <c r="B871" s="1">
        <v>11788.4</v>
      </c>
      <c r="D871" s="2">
        <v>44664</v>
      </c>
      <c r="E871" s="1">
        <v>2612.5</v>
      </c>
      <c r="G871" s="3">
        <v>6452615</v>
      </c>
      <c r="H871" s="3">
        <f t="shared" si="39"/>
        <v>76066006666</v>
      </c>
      <c r="J871" s="3">
        <v>150245000</v>
      </c>
      <c r="K871" s="3">
        <f t="shared" si="40"/>
        <v>392515062500</v>
      </c>
      <c r="M871" s="4">
        <f t="shared" si="41"/>
        <v>0.80620869379757876</v>
      </c>
    </row>
    <row r="872" spans="1:13" x14ac:dyDescent="0.45">
      <c r="A872" s="2">
        <v>44663</v>
      </c>
      <c r="B872" s="1">
        <v>11694.25</v>
      </c>
      <c r="D872" s="2">
        <v>44663</v>
      </c>
      <c r="E872" s="1">
        <v>2635.75</v>
      </c>
      <c r="G872" s="3">
        <v>6452615</v>
      </c>
      <c r="H872" s="3">
        <f t="shared" si="39"/>
        <v>75458492963.75</v>
      </c>
      <c r="J872" s="3">
        <v>150245000</v>
      </c>
      <c r="K872" s="3">
        <f t="shared" si="40"/>
        <v>396008258750</v>
      </c>
      <c r="M872" s="4">
        <f t="shared" si="41"/>
        <v>0.80945222404720873</v>
      </c>
    </row>
    <row r="873" spans="1:13" x14ac:dyDescent="0.45">
      <c r="A873" s="2">
        <v>44662</v>
      </c>
      <c r="B873" s="1">
        <v>11850.9</v>
      </c>
      <c r="D873" s="2">
        <v>44662</v>
      </c>
      <c r="E873" s="1">
        <v>2698.95</v>
      </c>
      <c r="G873" s="3">
        <v>6452615</v>
      </c>
      <c r="H873" s="3">
        <f t="shared" si="39"/>
        <v>76469295103.5</v>
      </c>
      <c r="J873" s="3">
        <v>150245000</v>
      </c>
      <c r="K873" s="3">
        <f t="shared" si="40"/>
        <v>405503742750</v>
      </c>
      <c r="M873" s="4">
        <f t="shared" si="41"/>
        <v>0.81142148137792991</v>
      </c>
    </row>
    <row r="874" spans="1:13" x14ac:dyDescent="0.45">
      <c r="A874" s="2">
        <v>44659</v>
      </c>
      <c r="B874" s="1">
        <v>12042.15</v>
      </c>
      <c r="D874" s="2">
        <v>44659</v>
      </c>
      <c r="E874" s="1">
        <v>2747.8</v>
      </c>
      <c r="G874" s="3">
        <v>6452615</v>
      </c>
      <c r="H874" s="3">
        <f t="shared" si="39"/>
        <v>77703357722.25</v>
      </c>
      <c r="J874" s="3">
        <v>150245000</v>
      </c>
      <c r="K874" s="3">
        <f t="shared" si="40"/>
        <v>412843211000</v>
      </c>
      <c r="M874" s="4">
        <f t="shared" si="41"/>
        <v>0.81178482374934824</v>
      </c>
    </row>
    <row r="875" spans="1:13" x14ac:dyDescent="0.45">
      <c r="A875" s="2">
        <v>44658</v>
      </c>
      <c r="B875" s="1">
        <v>11703.2</v>
      </c>
      <c r="D875" s="2">
        <v>44658</v>
      </c>
      <c r="E875" s="1">
        <v>2686.2</v>
      </c>
      <c r="G875" s="3">
        <v>6452615</v>
      </c>
      <c r="H875" s="3">
        <f t="shared" si="39"/>
        <v>75516243868</v>
      </c>
      <c r="J875" s="3">
        <v>150245000</v>
      </c>
      <c r="K875" s="3">
        <f t="shared" si="40"/>
        <v>403588119000</v>
      </c>
      <c r="M875" s="4">
        <f t="shared" si="41"/>
        <v>0.81288784205265463</v>
      </c>
    </row>
    <row r="876" spans="1:13" x14ac:dyDescent="0.45">
      <c r="A876" s="2">
        <v>44657</v>
      </c>
      <c r="B876" s="1">
        <v>11819.65</v>
      </c>
      <c r="D876" s="2">
        <v>44657</v>
      </c>
      <c r="E876" s="1">
        <v>2685.45</v>
      </c>
      <c r="G876" s="3">
        <v>6452615</v>
      </c>
      <c r="H876" s="3">
        <f t="shared" si="39"/>
        <v>76267650884.75</v>
      </c>
      <c r="J876" s="3">
        <v>150245000</v>
      </c>
      <c r="K876" s="3">
        <f t="shared" si="40"/>
        <v>403475435250</v>
      </c>
      <c r="M876" s="4">
        <f t="shared" si="41"/>
        <v>0.81097324837757889</v>
      </c>
    </row>
    <row r="877" spans="1:13" x14ac:dyDescent="0.45">
      <c r="A877" s="2">
        <v>44656</v>
      </c>
      <c r="B877" s="1">
        <v>12006.55</v>
      </c>
      <c r="D877" s="2">
        <v>44656</v>
      </c>
      <c r="E877" s="1">
        <v>2709.55</v>
      </c>
      <c r="G877" s="3">
        <v>6452615</v>
      </c>
      <c r="H877" s="3">
        <f t="shared" si="39"/>
        <v>77473644628.25</v>
      </c>
      <c r="J877" s="3">
        <v>150245000</v>
      </c>
      <c r="K877" s="3">
        <f t="shared" si="40"/>
        <v>407096339750</v>
      </c>
      <c r="M877" s="4">
        <f t="shared" si="41"/>
        <v>0.80969211200516567</v>
      </c>
    </row>
    <row r="878" spans="1:13" x14ac:dyDescent="0.45">
      <c r="A878" s="2">
        <v>44655</v>
      </c>
      <c r="B878" s="1">
        <v>11910.25</v>
      </c>
      <c r="D878" s="2">
        <v>44655</v>
      </c>
      <c r="E878" s="1">
        <v>2634.5</v>
      </c>
      <c r="G878" s="3">
        <v>6452615</v>
      </c>
      <c r="H878" s="3">
        <f t="shared" si="39"/>
        <v>76852257803.75</v>
      </c>
      <c r="J878" s="3">
        <v>150245000</v>
      </c>
      <c r="K878" s="3">
        <f t="shared" si="40"/>
        <v>395820452500</v>
      </c>
      <c r="M878" s="4">
        <f t="shared" si="41"/>
        <v>0.80584060950273906</v>
      </c>
    </row>
    <row r="879" spans="1:13" x14ac:dyDescent="0.45">
      <c r="A879" s="2">
        <v>44652</v>
      </c>
      <c r="B879" s="1">
        <v>12081.65</v>
      </c>
      <c r="D879" s="2">
        <v>44652</v>
      </c>
      <c r="E879" s="1">
        <v>2621.95</v>
      </c>
      <c r="G879" s="3">
        <v>6452615</v>
      </c>
      <c r="H879" s="3">
        <f t="shared" si="39"/>
        <v>77958236014.75</v>
      </c>
      <c r="J879" s="3">
        <v>150245000</v>
      </c>
      <c r="K879" s="3">
        <f t="shared" si="40"/>
        <v>393934877750</v>
      </c>
      <c r="M879" s="4">
        <f t="shared" si="41"/>
        <v>0.80210374755336067</v>
      </c>
    </row>
    <row r="880" spans="1:13" x14ac:dyDescent="0.45">
      <c r="A880" s="2">
        <v>44651</v>
      </c>
      <c r="B880" s="1">
        <v>12079.15</v>
      </c>
      <c r="D880" s="2">
        <v>44651</v>
      </c>
      <c r="E880" s="1">
        <v>2678.45</v>
      </c>
      <c r="G880" s="3">
        <v>6452615</v>
      </c>
      <c r="H880" s="3">
        <f t="shared" si="39"/>
        <v>77942104477.25</v>
      </c>
      <c r="J880" s="3">
        <v>150245000</v>
      </c>
      <c r="K880" s="3">
        <f t="shared" si="40"/>
        <v>402423720250</v>
      </c>
      <c r="M880" s="4">
        <f t="shared" si="41"/>
        <v>0.80631831436569001</v>
      </c>
    </row>
    <row r="881" spans="1:13" x14ac:dyDescent="0.45">
      <c r="A881" s="2">
        <v>44650</v>
      </c>
      <c r="B881" s="1">
        <v>11306.6</v>
      </c>
      <c r="D881" s="2">
        <v>44650</v>
      </c>
      <c r="E881" s="1">
        <v>2708.7</v>
      </c>
      <c r="G881" s="3">
        <v>6452615</v>
      </c>
      <c r="H881" s="3">
        <f t="shared" si="39"/>
        <v>72957136759</v>
      </c>
      <c r="J881" s="3">
        <v>150245000</v>
      </c>
      <c r="K881" s="3">
        <f t="shared" si="40"/>
        <v>406968631500</v>
      </c>
      <c r="M881" s="4">
        <f t="shared" si="41"/>
        <v>0.8207303189680849</v>
      </c>
    </row>
    <row r="882" spans="1:13" x14ac:dyDescent="0.45">
      <c r="A882" s="2">
        <v>44649</v>
      </c>
      <c r="B882" s="1">
        <v>10610.2</v>
      </c>
      <c r="D882" s="2">
        <v>44649</v>
      </c>
      <c r="E882" s="1">
        <v>2622.3</v>
      </c>
      <c r="G882" s="3">
        <v>6452615</v>
      </c>
      <c r="H882" s="3">
        <f t="shared" si="39"/>
        <v>68463535673.000008</v>
      </c>
      <c r="J882" s="3">
        <v>150245000</v>
      </c>
      <c r="K882" s="3">
        <f t="shared" si="40"/>
        <v>393987463500</v>
      </c>
      <c r="M882" s="4">
        <f t="shared" si="41"/>
        <v>0.82622915190041324</v>
      </c>
    </row>
    <row r="883" spans="1:13" x14ac:dyDescent="0.45">
      <c r="A883" s="2">
        <v>44648</v>
      </c>
      <c r="B883" s="1">
        <v>10153.65</v>
      </c>
      <c r="D883" s="2">
        <v>44648</v>
      </c>
      <c r="E883" s="1">
        <v>2604.35</v>
      </c>
      <c r="G883" s="3">
        <v>6452615</v>
      </c>
      <c r="H883" s="3">
        <f t="shared" si="39"/>
        <v>65517594294.75</v>
      </c>
      <c r="J883" s="3">
        <v>150245000</v>
      </c>
      <c r="K883" s="3">
        <f t="shared" si="40"/>
        <v>391290565750</v>
      </c>
      <c r="M883" s="4">
        <f t="shared" si="41"/>
        <v>0.83256025054125649</v>
      </c>
    </row>
    <row r="884" spans="1:13" x14ac:dyDescent="0.45">
      <c r="A884" s="2">
        <v>44645</v>
      </c>
      <c r="B884" s="1">
        <v>10161.25</v>
      </c>
      <c r="D884" s="2">
        <v>44645</v>
      </c>
      <c r="E884" s="1">
        <v>2615.4</v>
      </c>
      <c r="G884" s="3">
        <v>6452615</v>
      </c>
      <c r="H884" s="3">
        <f t="shared" si="39"/>
        <v>65566634168.75</v>
      </c>
      <c r="J884" s="3">
        <v>150245000</v>
      </c>
      <c r="K884" s="3">
        <f t="shared" si="40"/>
        <v>392950773000</v>
      </c>
      <c r="M884" s="4">
        <f t="shared" si="41"/>
        <v>0.83314288029470296</v>
      </c>
    </row>
    <row r="885" spans="1:13" x14ac:dyDescent="0.45">
      <c r="A885" s="2">
        <v>44644</v>
      </c>
      <c r="B885" s="1">
        <v>9977.5</v>
      </c>
      <c r="D885" s="2">
        <v>44644</v>
      </c>
      <c r="E885" s="1">
        <v>2609.15</v>
      </c>
      <c r="G885" s="3">
        <v>6452615</v>
      </c>
      <c r="H885" s="3">
        <f t="shared" si="39"/>
        <v>64380966162.5</v>
      </c>
      <c r="J885" s="3">
        <v>150245000</v>
      </c>
      <c r="K885" s="3">
        <f t="shared" si="40"/>
        <v>392011741750</v>
      </c>
      <c r="M885" s="4">
        <f t="shared" si="41"/>
        <v>0.83576776074335535</v>
      </c>
    </row>
    <row r="886" spans="1:13" x14ac:dyDescent="0.45">
      <c r="A886" s="2">
        <v>44643</v>
      </c>
      <c r="B886" s="1">
        <v>9837.75</v>
      </c>
      <c r="D886" s="2">
        <v>44643</v>
      </c>
      <c r="E886" s="1">
        <v>2596.6</v>
      </c>
      <c r="G886" s="3">
        <v>6452615</v>
      </c>
      <c r="H886" s="3">
        <f t="shared" si="39"/>
        <v>63479213216.25</v>
      </c>
      <c r="J886" s="3">
        <v>150245000</v>
      </c>
      <c r="K886" s="3">
        <f t="shared" si="40"/>
        <v>390126167000</v>
      </c>
      <c r="M886" s="4">
        <f t="shared" si="41"/>
        <v>0.83728542562424424</v>
      </c>
    </row>
    <row r="887" spans="1:13" x14ac:dyDescent="0.45">
      <c r="A887" s="2">
        <v>44642</v>
      </c>
      <c r="B887" s="1">
        <v>9780.5</v>
      </c>
      <c r="D887" s="2">
        <v>44642</v>
      </c>
      <c r="E887" s="1">
        <v>2631.2</v>
      </c>
      <c r="G887" s="3">
        <v>6452615</v>
      </c>
      <c r="H887" s="3">
        <f t="shared" si="39"/>
        <v>63109801007.5</v>
      </c>
      <c r="J887" s="3">
        <v>150245000</v>
      </c>
      <c r="K887" s="3">
        <f t="shared" si="40"/>
        <v>395324644000</v>
      </c>
      <c r="M887" s="4">
        <f t="shared" si="41"/>
        <v>0.84035955773225202</v>
      </c>
    </row>
    <row r="888" spans="1:13" x14ac:dyDescent="0.45">
      <c r="A888" s="2">
        <v>44641</v>
      </c>
      <c r="B888" s="1">
        <v>9683.4500000000007</v>
      </c>
      <c r="D888" s="2">
        <v>44641</v>
      </c>
      <c r="E888" s="1">
        <v>2605.1</v>
      </c>
      <c r="G888" s="3">
        <v>6452615</v>
      </c>
      <c r="H888" s="3">
        <f t="shared" si="39"/>
        <v>62483574721.750008</v>
      </c>
      <c r="J888" s="3">
        <v>150245000</v>
      </c>
      <c r="K888" s="3">
        <f t="shared" si="40"/>
        <v>391403249500</v>
      </c>
      <c r="M888" s="4">
        <f t="shared" si="41"/>
        <v>0.84036010226902824</v>
      </c>
    </row>
    <row r="889" spans="1:13" x14ac:dyDescent="0.45">
      <c r="A889" s="2">
        <v>44637</v>
      </c>
      <c r="B889" s="1">
        <v>9327.35</v>
      </c>
      <c r="D889" s="2">
        <v>44637</v>
      </c>
      <c r="E889" s="1">
        <v>2586.3000000000002</v>
      </c>
      <c r="G889" s="3">
        <v>6452615</v>
      </c>
      <c r="H889" s="3">
        <f t="shared" si="39"/>
        <v>60185798520.25</v>
      </c>
      <c r="J889" s="3">
        <v>150245000</v>
      </c>
      <c r="K889" s="3">
        <f t="shared" si="40"/>
        <v>388578643500</v>
      </c>
      <c r="M889" s="4">
        <f t="shared" si="41"/>
        <v>0.84511295325408176</v>
      </c>
    </row>
    <row r="890" spans="1:13" x14ac:dyDescent="0.45">
      <c r="A890" s="2">
        <v>44636</v>
      </c>
      <c r="B890" s="1">
        <v>9026.1</v>
      </c>
      <c r="D890" s="2">
        <v>44636</v>
      </c>
      <c r="E890" s="1">
        <v>2468.5</v>
      </c>
      <c r="G890" s="3">
        <v>6452615</v>
      </c>
      <c r="H890" s="3">
        <f t="shared" si="39"/>
        <v>58241948251.5</v>
      </c>
      <c r="J890" s="3">
        <v>150245000</v>
      </c>
      <c r="K890" s="3">
        <f t="shared" si="40"/>
        <v>370879782500</v>
      </c>
      <c r="M890" s="4">
        <f t="shared" si="41"/>
        <v>0.8429627307832559</v>
      </c>
    </row>
    <row r="891" spans="1:13" x14ac:dyDescent="0.45">
      <c r="A891" s="2">
        <v>44635</v>
      </c>
      <c r="B891" s="1">
        <v>8843.5499999999993</v>
      </c>
      <c r="D891" s="2">
        <v>44635</v>
      </c>
      <c r="E891" s="1">
        <v>2418</v>
      </c>
      <c r="G891" s="3">
        <v>6452615</v>
      </c>
      <c r="H891" s="3">
        <f t="shared" si="39"/>
        <v>57064023383.249992</v>
      </c>
      <c r="J891" s="3">
        <v>150245000</v>
      </c>
      <c r="K891" s="3">
        <f t="shared" si="40"/>
        <v>363292410000</v>
      </c>
      <c r="M891" s="4">
        <f t="shared" si="41"/>
        <v>0.84292536311658706</v>
      </c>
    </row>
    <row r="892" spans="1:13" x14ac:dyDescent="0.45">
      <c r="A892" s="2">
        <v>44634</v>
      </c>
      <c r="B892" s="1">
        <v>8900</v>
      </c>
      <c r="D892" s="2">
        <v>44634</v>
      </c>
      <c r="E892" s="1">
        <v>2354.5</v>
      </c>
      <c r="G892" s="3">
        <v>6452615</v>
      </c>
      <c r="H892" s="3">
        <f t="shared" si="39"/>
        <v>57428273500</v>
      </c>
      <c r="J892" s="3">
        <v>150245000</v>
      </c>
      <c r="K892" s="3">
        <f t="shared" si="40"/>
        <v>353751852500</v>
      </c>
      <c r="M892" s="4">
        <f t="shared" si="41"/>
        <v>0.83765944094950007</v>
      </c>
    </row>
    <row r="893" spans="1:13" x14ac:dyDescent="0.45">
      <c r="A893" s="2">
        <v>44631</v>
      </c>
      <c r="B893" s="1">
        <v>8855.65</v>
      </c>
      <c r="D893" s="2">
        <v>44631</v>
      </c>
      <c r="E893" s="1">
        <v>2248.35</v>
      </c>
      <c r="G893" s="3">
        <v>6452615</v>
      </c>
      <c r="H893" s="3">
        <f t="shared" si="39"/>
        <v>57142100024.75</v>
      </c>
      <c r="J893" s="3">
        <v>150245000</v>
      </c>
      <c r="K893" s="3">
        <f t="shared" si="40"/>
        <v>337803345750</v>
      </c>
      <c r="M893" s="4">
        <f t="shared" si="41"/>
        <v>0.83084211348504677</v>
      </c>
    </row>
    <row r="894" spans="1:13" x14ac:dyDescent="0.45">
      <c r="A894" s="2">
        <v>44630</v>
      </c>
      <c r="B894" s="1">
        <v>8924.2999999999993</v>
      </c>
      <c r="D894" s="2">
        <v>44630</v>
      </c>
      <c r="E894" s="1">
        <v>2281.6</v>
      </c>
      <c r="G894" s="3">
        <v>6452615</v>
      </c>
      <c r="H894" s="3">
        <f t="shared" si="39"/>
        <v>57585072044.499992</v>
      </c>
      <c r="J894" s="3">
        <v>150245000</v>
      </c>
      <c r="K894" s="3">
        <f t="shared" si="40"/>
        <v>342798992000</v>
      </c>
      <c r="M894" s="4">
        <f t="shared" si="41"/>
        <v>0.83201504850253472</v>
      </c>
    </row>
    <row r="895" spans="1:13" x14ac:dyDescent="0.45">
      <c r="A895" s="2">
        <v>44629</v>
      </c>
      <c r="B895" s="1">
        <v>8714.15</v>
      </c>
      <c r="D895" s="2">
        <v>44629</v>
      </c>
      <c r="E895" s="1">
        <v>2223.9</v>
      </c>
      <c r="G895" s="3">
        <v>6452615</v>
      </c>
      <c r="H895" s="3">
        <f t="shared" si="39"/>
        <v>56229055002.25</v>
      </c>
      <c r="J895" s="3">
        <v>150245000</v>
      </c>
      <c r="K895" s="3">
        <f t="shared" si="40"/>
        <v>334129855500</v>
      </c>
      <c r="M895" s="4">
        <f t="shared" si="41"/>
        <v>0.83171496327944872</v>
      </c>
    </row>
    <row r="896" spans="1:13" x14ac:dyDescent="0.45">
      <c r="A896" s="2">
        <v>44628</v>
      </c>
      <c r="B896" s="1">
        <v>8522.2999999999993</v>
      </c>
      <c r="D896" s="2">
        <v>44628</v>
      </c>
      <c r="E896" s="1">
        <v>2188.4499999999998</v>
      </c>
      <c r="G896" s="3">
        <v>6452615</v>
      </c>
      <c r="H896" s="3">
        <f t="shared" si="39"/>
        <v>54991120814.499992</v>
      </c>
      <c r="J896" s="3">
        <v>150245000</v>
      </c>
      <c r="K896" s="3">
        <f t="shared" si="40"/>
        <v>328803670250</v>
      </c>
      <c r="M896" s="4">
        <f t="shared" si="41"/>
        <v>0.83275393254373209</v>
      </c>
    </row>
    <row r="897" spans="1:13" x14ac:dyDescent="0.45">
      <c r="A897" s="2">
        <v>44627</v>
      </c>
      <c r="B897" s="1">
        <v>8547.85</v>
      </c>
      <c r="D897" s="2">
        <v>44627</v>
      </c>
      <c r="E897" s="1">
        <v>2157.0500000000002</v>
      </c>
      <c r="G897" s="3">
        <v>6452615</v>
      </c>
      <c r="H897" s="3">
        <f t="shared" si="39"/>
        <v>55155985127.75</v>
      </c>
      <c r="J897" s="3">
        <v>150245000</v>
      </c>
      <c r="K897" s="3">
        <f t="shared" si="40"/>
        <v>324085977250</v>
      </c>
      <c r="M897" s="4">
        <f t="shared" si="41"/>
        <v>0.8298106397698205</v>
      </c>
    </row>
    <row r="898" spans="1:13" x14ac:dyDescent="0.45">
      <c r="A898" s="2">
        <v>44624</v>
      </c>
      <c r="B898" s="1">
        <v>8768.5499999999993</v>
      </c>
      <c r="D898" s="2">
        <v>44624</v>
      </c>
      <c r="E898" s="1">
        <v>2237.4</v>
      </c>
      <c r="G898" s="3">
        <v>6452615</v>
      </c>
      <c r="H898" s="3">
        <f t="shared" si="39"/>
        <v>56580077258.249992</v>
      </c>
      <c r="J898" s="3">
        <v>150245000</v>
      </c>
      <c r="K898" s="3">
        <f t="shared" si="40"/>
        <v>336158163000</v>
      </c>
      <c r="M898" s="4">
        <f t="shared" si="41"/>
        <v>0.83168614216204539</v>
      </c>
    </row>
    <row r="899" spans="1:13" x14ac:dyDescent="0.45">
      <c r="A899" s="2">
        <v>44623</v>
      </c>
      <c r="B899" s="1">
        <v>8907.9500000000007</v>
      </c>
      <c r="D899" s="2">
        <v>44623</v>
      </c>
      <c r="E899" s="1">
        <v>2343.4499999999998</v>
      </c>
      <c r="G899" s="3">
        <v>6452615</v>
      </c>
      <c r="H899" s="3">
        <f t="shared" si="39"/>
        <v>57479571789.250008</v>
      </c>
      <c r="J899" s="3">
        <v>150245000</v>
      </c>
      <c r="K899" s="3">
        <f t="shared" si="40"/>
        <v>352091645250</v>
      </c>
      <c r="M899" s="4">
        <f t="shared" si="41"/>
        <v>0.83674826550219028</v>
      </c>
    </row>
    <row r="900" spans="1:13" x14ac:dyDescent="0.45">
      <c r="A900" s="2">
        <v>44622</v>
      </c>
      <c r="B900" s="1">
        <v>8917</v>
      </c>
      <c r="D900" s="2">
        <v>44622</v>
      </c>
      <c r="E900" s="1">
        <v>2350.6</v>
      </c>
      <c r="G900" s="3">
        <v>6452615</v>
      </c>
      <c r="H900" s="3">
        <f t="shared" ref="H900:H963" si="42">+G900*B900</f>
        <v>57537967955</v>
      </c>
      <c r="J900" s="3">
        <v>150245000</v>
      </c>
      <c r="K900" s="3">
        <f t="shared" ref="K900:K963" si="43">+J900*E900</f>
        <v>353165897000</v>
      </c>
      <c r="M900" s="4">
        <f t="shared" ref="M900:M963" si="44">1- (H900/K900)</f>
        <v>0.83707949027988959</v>
      </c>
    </row>
    <row r="901" spans="1:13" x14ac:dyDescent="0.45">
      <c r="A901" s="2">
        <v>44620</v>
      </c>
      <c r="B901" s="1">
        <v>9011.9500000000007</v>
      </c>
      <c r="D901" s="2">
        <v>44620</v>
      </c>
      <c r="E901" s="1">
        <v>2383.35</v>
      </c>
      <c r="G901" s="3">
        <v>6452615</v>
      </c>
      <c r="H901" s="3">
        <f t="shared" si="42"/>
        <v>58150643749.250008</v>
      </c>
      <c r="J901" s="3">
        <v>150245000</v>
      </c>
      <c r="K901" s="3">
        <f t="shared" si="43"/>
        <v>358086420750</v>
      </c>
      <c r="M901" s="4">
        <f t="shared" si="44"/>
        <v>0.83760723562916617</v>
      </c>
    </row>
    <row r="902" spans="1:13" x14ac:dyDescent="0.45">
      <c r="A902" s="2">
        <v>44617</v>
      </c>
      <c r="B902" s="1">
        <v>9018.5499999999993</v>
      </c>
      <c r="D902" s="2">
        <v>44617</v>
      </c>
      <c r="E902" s="1">
        <v>2423.0500000000002</v>
      </c>
      <c r="G902" s="3">
        <v>6452615</v>
      </c>
      <c r="H902" s="3">
        <f t="shared" si="42"/>
        <v>58193231008.249992</v>
      </c>
      <c r="J902" s="3">
        <v>150245000</v>
      </c>
      <c r="K902" s="3">
        <f t="shared" si="43"/>
        <v>364051147250</v>
      </c>
      <c r="M902" s="4">
        <f t="shared" si="44"/>
        <v>0.84015094733848561</v>
      </c>
    </row>
    <row r="903" spans="1:13" x14ac:dyDescent="0.45">
      <c r="A903" s="2">
        <v>44616</v>
      </c>
      <c r="B903" s="1">
        <v>8613.35</v>
      </c>
      <c r="D903" s="2">
        <v>44616</v>
      </c>
      <c r="E903" s="1">
        <v>2268.75</v>
      </c>
      <c r="G903" s="3">
        <v>6452615</v>
      </c>
      <c r="H903" s="3">
        <f t="shared" si="42"/>
        <v>55578631410.25</v>
      </c>
      <c r="J903" s="3">
        <v>150245000</v>
      </c>
      <c r="K903" s="3">
        <f t="shared" si="43"/>
        <v>340868343750</v>
      </c>
      <c r="M903" s="4">
        <f t="shared" si="44"/>
        <v>0.83694985929519894</v>
      </c>
    </row>
    <row r="904" spans="1:13" x14ac:dyDescent="0.45">
      <c r="A904" s="2">
        <v>44615</v>
      </c>
      <c r="B904" s="1">
        <v>9372.4</v>
      </c>
      <c r="D904" s="2">
        <v>44615</v>
      </c>
      <c r="E904" s="1">
        <v>2394.5</v>
      </c>
      <c r="G904" s="3">
        <v>6452615</v>
      </c>
      <c r="H904" s="3">
        <f t="shared" si="42"/>
        <v>60476488826</v>
      </c>
      <c r="J904" s="3">
        <v>150245000</v>
      </c>
      <c r="K904" s="3">
        <f t="shared" si="43"/>
        <v>359761652500</v>
      </c>
      <c r="M904" s="4">
        <f t="shared" si="44"/>
        <v>0.8318984571986866</v>
      </c>
    </row>
    <row r="905" spans="1:13" x14ac:dyDescent="0.45">
      <c r="A905" s="2">
        <v>44614</v>
      </c>
      <c r="B905" s="1">
        <v>9400</v>
      </c>
      <c r="D905" s="2">
        <v>44614</v>
      </c>
      <c r="E905" s="1">
        <v>2374.75</v>
      </c>
      <c r="G905" s="3">
        <v>6452615</v>
      </c>
      <c r="H905" s="3">
        <f t="shared" si="42"/>
        <v>60654581000</v>
      </c>
      <c r="J905" s="3">
        <v>150245000</v>
      </c>
      <c r="K905" s="3">
        <f t="shared" si="43"/>
        <v>356794313750</v>
      </c>
      <c r="M905" s="4">
        <f t="shared" si="44"/>
        <v>0.83000126778225591</v>
      </c>
    </row>
    <row r="906" spans="1:13" x14ac:dyDescent="0.45">
      <c r="A906" s="2">
        <v>44613</v>
      </c>
      <c r="B906" s="1">
        <v>9510.25</v>
      </c>
      <c r="D906" s="2">
        <v>44613</v>
      </c>
      <c r="E906" s="1">
        <v>2375.5</v>
      </c>
      <c r="G906" s="3">
        <v>6452615</v>
      </c>
      <c r="H906" s="3">
        <f t="shared" si="42"/>
        <v>61365981803.75</v>
      </c>
      <c r="J906" s="3">
        <v>150245000</v>
      </c>
      <c r="K906" s="3">
        <f t="shared" si="43"/>
        <v>356906997500</v>
      </c>
      <c r="M906" s="4">
        <f t="shared" si="44"/>
        <v>0.82806170169373039</v>
      </c>
    </row>
    <row r="907" spans="1:13" x14ac:dyDescent="0.45">
      <c r="A907" s="2">
        <v>44610</v>
      </c>
      <c r="B907" s="1">
        <v>9570</v>
      </c>
      <c r="D907" s="2">
        <v>44610</v>
      </c>
      <c r="E907" s="1">
        <v>2383.0500000000002</v>
      </c>
      <c r="G907" s="3">
        <v>6452615</v>
      </c>
      <c r="H907" s="3">
        <f t="shared" si="42"/>
        <v>61751525550</v>
      </c>
      <c r="J907" s="3">
        <v>150245000</v>
      </c>
      <c r="K907" s="3">
        <f t="shared" si="43"/>
        <v>358041347250</v>
      </c>
      <c r="M907" s="4">
        <f t="shared" si="44"/>
        <v>0.82752962465286894</v>
      </c>
    </row>
    <row r="908" spans="1:13" x14ac:dyDescent="0.45">
      <c r="A908" s="2">
        <v>44609</v>
      </c>
      <c r="B908" s="1">
        <v>9748.9</v>
      </c>
      <c r="D908" s="2">
        <v>44609</v>
      </c>
      <c r="E908" s="1">
        <v>2431.35</v>
      </c>
      <c r="G908" s="3">
        <v>6452615</v>
      </c>
      <c r="H908" s="3">
        <f t="shared" si="42"/>
        <v>62905898373.5</v>
      </c>
      <c r="J908" s="3">
        <v>150245000</v>
      </c>
      <c r="K908" s="3">
        <f t="shared" si="43"/>
        <v>365298180750</v>
      </c>
      <c r="M908" s="4">
        <f t="shared" si="44"/>
        <v>0.82779575237865455</v>
      </c>
    </row>
    <row r="909" spans="1:13" x14ac:dyDescent="0.45">
      <c r="A909" s="2">
        <v>44608</v>
      </c>
      <c r="B909" s="1">
        <v>9671.0499999999993</v>
      </c>
      <c r="D909" s="2">
        <v>44608</v>
      </c>
      <c r="E909" s="1">
        <v>2463.25</v>
      </c>
      <c r="G909" s="3">
        <v>6452615</v>
      </c>
      <c r="H909" s="3">
        <f t="shared" si="42"/>
        <v>62403562295.749992</v>
      </c>
      <c r="J909" s="3">
        <v>150245000</v>
      </c>
      <c r="K909" s="3">
        <f t="shared" si="43"/>
        <v>370090996250</v>
      </c>
      <c r="M909" s="4">
        <f t="shared" si="44"/>
        <v>0.83138319243628456</v>
      </c>
    </row>
    <row r="910" spans="1:13" x14ac:dyDescent="0.45">
      <c r="A910" s="2">
        <v>44607</v>
      </c>
      <c r="B910" s="1">
        <v>9698.15</v>
      </c>
      <c r="D910" s="2">
        <v>44607</v>
      </c>
      <c r="E910" s="1">
        <v>2495.4499999999998</v>
      </c>
      <c r="G910" s="3">
        <v>6452615</v>
      </c>
      <c r="H910" s="3">
        <f t="shared" si="42"/>
        <v>62578428162.25</v>
      </c>
      <c r="J910" s="3">
        <v>150245000</v>
      </c>
      <c r="K910" s="3">
        <f t="shared" si="43"/>
        <v>374928885250</v>
      </c>
      <c r="M910" s="4">
        <f t="shared" si="44"/>
        <v>0.83309253934776684</v>
      </c>
    </row>
    <row r="911" spans="1:13" x14ac:dyDescent="0.45">
      <c r="A911" s="2">
        <v>44606</v>
      </c>
      <c r="B911" s="1">
        <v>9680.5</v>
      </c>
      <c r="D911" s="2">
        <v>44606</v>
      </c>
      <c r="E911" s="1">
        <v>2353.75</v>
      </c>
      <c r="G911" s="3">
        <v>6452615</v>
      </c>
      <c r="H911" s="3">
        <f t="shared" si="42"/>
        <v>62464539507.5</v>
      </c>
      <c r="J911" s="3">
        <v>150245000</v>
      </c>
      <c r="K911" s="3">
        <f t="shared" si="43"/>
        <v>353639168750</v>
      </c>
      <c r="M911" s="4">
        <f t="shared" si="44"/>
        <v>0.82336645646948003</v>
      </c>
    </row>
    <row r="912" spans="1:13" x14ac:dyDescent="0.45">
      <c r="A912" s="2">
        <v>44603</v>
      </c>
      <c r="B912" s="1">
        <v>9907</v>
      </c>
      <c r="D912" s="2">
        <v>44603</v>
      </c>
      <c r="E912" s="1">
        <v>2476.8000000000002</v>
      </c>
      <c r="G912" s="3">
        <v>6452615</v>
      </c>
      <c r="H912" s="3">
        <f t="shared" si="42"/>
        <v>63926056805</v>
      </c>
      <c r="J912" s="3">
        <v>150245000</v>
      </c>
      <c r="K912" s="3">
        <f t="shared" si="43"/>
        <v>372126816000</v>
      </c>
      <c r="M912" s="4">
        <f t="shared" si="44"/>
        <v>0.82821432356812474</v>
      </c>
    </row>
    <row r="913" spans="1:13" x14ac:dyDescent="0.45">
      <c r="A913" s="2">
        <v>44602</v>
      </c>
      <c r="B913" s="1">
        <v>9893.0499999999993</v>
      </c>
      <c r="D913" s="2">
        <v>44602</v>
      </c>
      <c r="E913" s="1">
        <v>2581.9499999999998</v>
      </c>
      <c r="G913" s="3">
        <v>6452615</v>
      </c>
      <c r="H913" s="3">
        <f t="shared" si="42"/>
        <v>63836042825.749992</v>
      </c>
      <c r="J913" s="3">
        <v>150245000</v>
      </c>
      <c r="K913" s="3">
        <f t="shared" si="43"/>
        <v>387925077750</v>
      </c>
      <c r="M913" s="4">
        <f t="shared" si="44"/>
        <v>0.83544234057770972</v>
      </c>
    </row>
    <row r="914" spans="1:13" x14ac:dyDescent="0.45">
      <c r="A914" s="2">
        <v>44601</v>
      </c>
      <c r="B914" s="1">
        <v>9879</v>
      </c>
      <c r="D914" s="2">
        <v>44601</v>
      </c>
      <c r="E914" s="1">
        <v>2582.75</v>
      </c>
      <c r="G914" s="3">
        <v>6452615</v>
      </c>
      <c r="H914" s="3">
        <f t="shared" si="42"/>
        <v>63745383585</v>
      </c>
      <c r="J914" s="3">
        <v>150245000</v>
      </c>
      <c r="K914" s="3">
        <f t="shared" si="43"/>
        <v>388045273750</v>
      </c>
      <c r="M914" s="4">
        <f t="shared" si="44"/>
        <v>0.83572694245448209</v>
      </c>
    </row>
    <row r="915" spans="1:13" x14ac:dyDescent="0.45">
      <c r="A915" s="2">
        <v>44600</v>
      </c>
      <c r="B915" s="1">
        <v>9966.65</v>
      </c>
      <c r="D915" s="2">
        <v>44600</v>
      </c>
      <c r="E915" s="1">
        <v>2532.4499999999998</v>
      </c>
      <c r="G915" s="3">
        <v>6452615</v>
      </c>
      <c r="H915" s="3">
        <f t="shared" si="42"/>
        <v>64310955289.75</v>
      </c>
      <c r="J915" s="3">
        <v>150245000</v>
      </c>
      <c r="K915" s="3">
        <f t="shared" si="43"/>
        <v>380487950250</v>
      </c>
      <c r="M915" s="4">
        <f t="shared" si="44"/>
        <v>0.83097768208561029</v>
      </c>
    </row>
    <row r="916" spans="1:13" x14ac:dyDescent="0.45">
      <c r="A916" s="2">
        <v>44599</v>
      </c>
      <c r="B916" s="1">
        <v>9975.2999999999993</v>
      </c>
      <c r="D916" s="2">
        <v>44599</v>
      </c>
      <c r="E916" s="1">
        <v>2453.1999999999998</v>
      </c>
      <c r="G916" s="3">
        <v>6452615</v>
      </c>
      <c r="H916" s="3">
        <f t="shared" si="42"/>
        <v>64366770409.499992</v>
      </c>
      <c r="J916" s="3">
        <v>150245000</v>
      </c>
      <c r="K916" s="3">
        <f t="shared" si="43"/>
        <v>368581034000</v>
      </c>
      <c r="M916" s="4">
        <f t="shared" si="44"/>
        <v>0.82536602681108118</v>
      </c>
    </row>
    <row r="917" spans="1:13" x14ac:dyDescent="0.45">
      <c r="A917" s="2">
        <v>44596</v>
      </c>
      <c r="B917" s="1">
        <v>9998.9</v>
      </c>
      <c r="D917" s="2">
        <v>44596</v>
      </c>
      <c r="E917" s="1">
        <v>2438.65</v>
      </c>
      <c r="G917" s="3">
        <v>6452615</v>
      </c>
      <c r="H917" s="3">
        <f t="shared" si="42"/>
        <v>64519052123.5</v>
      </c>
      <c r="J917" s="3">
        <v>150245000</v>
      </c>
      <c r="K917" s="3">
        <f t="shared" si="43"/>
        <v>366394969250</v>
      </c>
      <c r="M917" s="4">
        <f t="shared" si="44"/>
        <v>0.82390846616816638</v>
      </c>
    </row>
    <row r="918" spans="1:13" x14ac:dyDescent="0.45">
      <c r="A918" s="2">
        <v>44595</v>
      </c>
      <c r="B918" s="1">
        <v>9999.1</v>
      </c>
      <c r="D918" s="2">
        <v>44595</v>
      </c>
      <c r="E918" s="1">
        <v>2438.1999999999998</v>
      </c>
      <c r="G918" s="3">
        <v>6452615</v>
      </c>
      <c r="H918" s="3">
        <f t="shared" si="42"/>
        <v>64520342646.5</v>
      </c>
      <c r="J918" s="3">
        <v>150245000</v>
      </c>
      <c r="K918" s="3">
        <f t="shared" si="43"/>
        <v>366327359000</v>
      </c>
      <c r="M918" s="4">
        <f t="shared" si="44"/>
        <v>0.82387244342702781</v>
      </c>
    </row>
    <row r="919" spans="1:13" x14ac:dyDescent="0.45">
      <c r="A919" s="2">
        <v>44594</v>
      </c>
      <c r="B919" s="1">
        <v>10038.1</v>
      </c>
      <c r="D919" s="2">
        <v>44594</v>
      </c>
      <c r="E919" s="1">
        <v>2454.8000000000002</v>
      </c>
      <c r="G919" s="3">
        <v>6452615</v>
      </c>
      <c r="H919" s="3">
        <f t="shared" si="42"/>
        <v>64771994631.5</v>
      </c>
      <c r="J919" s="3">
        <v>150245000</v>
      </c>
      <c r="K919" s="3">
        <f t="shared" si="43"/>
        <v>368821426000</v>
      </c>
      <c r="M919" s="4">
        <f t="shared" si="44"/>
        <v>0.8243811501572037</v>
      </c>
    </row>
    <row r="920" spans="1:13" x14ac:dyDescent="0.45">
      <c r="A920" s="2">
        <v>44593</v>
      </c>
      <c r="B920" s="1">
        <v>10075.200000000001</v>
      </c>
      <c r="D920" s="2">
        <v>44593</v>
      </c>
      <c r="E920" s="1">
        <v>2445.0500000000002</v>
      </c>
      <c r="G920" s="3">
        <v>6452615</v>
      </c>
      <c r="H920" s="3">
        <f t="shared" si="42"/>
        <v>65011386648.000008</v>
      </c>
      <c r="J920" s="3">
        <v>150245000</v>
      </c>
      <c r="K920" s="3">
        <f t="shared" si="43"/>
        <v>367356537250</v>
      </c>
      <c r="M920" s="4">
        <f t="shared" si="44"/>
        <v>0.82302918267177239</v>
      </c>
    </row>
    <row r="921" spans="1:13" x14ac:dyDescent="0.45">
      <c r="A921" s="2">
        <v>44592</v>
      </c>
      <c r="B921" s="1">
        <v>10099.75</v>
      </c>
      <c r="D921" s="2">
        <v>44592</v>
      </c>
      <c r="E921" s="1">
        <v>2407.3000000000002</v>
      </c>
      <c r="G921" s="3">
        <v>6452615</v>
      </c>
      <c r="H921" s="3">
        <f t="shared" si="42"/>
        <v>65169798346.25</v>
      </c>
      <c r="J921" s="3">
        <v>150245000</v>
      </c>
      <c r="K921" s="3">
        <f t="shared" si="43"/>
        <v>361684788500</v>
      </c>
      <c r="M921" s="4">
        <f t="shared" si="44"/>
        <v>0.81981603755987098</v>
      </c>
    </row>
    <row r="922" spans="1:13" x14ac:dyDescent="0.45">
      <c r="A922" s="2">
        <v>44589</v>
      </c>
      <c r="B922" s="1">
        <v>10014.15</v>
      </c>
      <c r="D922" s="2">
        <v>44589</v>
      </c>
      <c r="E922" s="1">
        <v>2400.5</v>
      </c>
      <c r="G922" s="3">
        <v>6452615</v>
      </c>
      <c r="H922" s="3">
        <f t="shared" si="42"/>
        <v>64617454502.25</v>
      </c>
      <c r="J922" s="3">
        <v>150245000</v>
      </c>
      <c r="K922" s="3">
        <f t="shared" si="43"/>
        <v>360663122500</v>
      </c>
      <c r="M922" s="4">
        <f t="shared" si="44"/>
        <v>0.82083709015121165</v>
      </c>
    </row>
    <row r="923" spans="1:13" x14ac:dyDescent="0.45">
      <c r="A923" s="2">
        <v>44588</v>
      </c>
      <c r="B923" s="1">
        <v>9867.2000000000007</v>
      </c>
      <c r="D923" s="2">
        <v>44588</v>
      </c>
      <c r="E923" s="1">
        <v>2348.25</v>
      </c>
      <c r="G923" s="3">
        <v>6452615</v>
      </c>
      <c r="H923" s="3">
        <f t="shared" si="42"/>
        <v>63669242728.000008</v>
      </c>
      <c r="J923" s="3">
        <v>150245000</v>
      </c>
      <c r="K923" s="3">
        <f t="shared" si="43"/>
        <v>352812821250</v>
      </c>
      <c r="M923" s="4">
        <f t="shared" si="44"/>
        <v>0.81953818315779248</v>
      </c>
    </row>
    <row r="924" spans="1:13" x14ac:dyDescent="0.45">
      <c r="A924" s="2">
        <v>44586</v>
      </c>
      <c r="B924" s="1">
        <v>10074.549999999999</v>
      </c>
      <c r="D924" s="2">
        <v>44586</v>
      </c>
      <c r="E924" s="1">
        <v>2467.6999999999998</v>
      </c>
      <c r="G924" s="3">
        <v>6452615</v>
      </c>
      <c r="H924" s="3">
        <f t="shared" si="42"/>
        <v>65007192448.249992</v>
      </c>
      <c r="J924" s="3">
        <v>150245000</v>
      </c>
      <c r="K924" s="3">
        <f t="shared" si="43"/>
        <v>370759586500</v>
      </c>
      <c r="M924" s="4">
        <f t="shared" si="44"/>
        <v>0.82466483722801864</v>
      </c>
    </row>
    <row r="925" spans="1:13" x14ac:dyDescent="0.45">
      <c r="A925" s="2">
        <v>44585</v>
      </c>
      <c r="B925" s="1">
        <v>9979.65</v>
      </c>
      <c r="D925" s="2">
        <v>44585</v>
      </c>
      <c r="E925" s="1">
        <v>2369.3000000000002</v>
      </c>
      <c r="G925" s="3">
        <v>6452615</v>
      </c>
      <c r="H925" s="3">
        <f t="shared" si="42"/>
        <v>64394839284.75</v>
      </c>
      <c r="J925" s="3">
        <v>150245000</v>
      </c>
      <c r="K925" s="3">
        <f t="shared" si="43"/>
        <v>355975478500</v>
      </c>
      <c r="M925" s="4">
        <f t="shared" si="44"/>
        <v>0.81910315970050729</v>
      </c>
    </row>
    <row r="926" spans="1:13" x14ac:dyDescent="0.45">
      <c r="A926" s="2">
        <v>44582</v>
      </c>
      <c r="B926" s="1">
        <v>10207</v>
      </c>
      <c r="D926" s="2">
        <v>44582</v>
      </c>
      <c r="E926" s="1">
        <v>2478.5500000000002</v>
      </c>
      <c r="G926" s="3">
        <v>6452615</v>
      </c>
      <c r="H926" s="3">
        <f t="shared" si="42"/>
        <v>65861841305</v>
      </c>
      <c r="J926" s="3">
        <v>150245000</v>
      </c>
      <c r="K926" s="3">
        <f t="shared" si="43"/>
        <v>372389744750</v>
      </c>
      <c r="M926" s="4">
        <f t="shared" si="44"/>
        <v>0.82313733867935679</v>
      </c>
    </row>
    <row r="927" spans="1:13" x14ac:dyDescent="0.45">
      <c r="A927" s="2">
        <v>44581</v>
      </c>
      <c r="B927" s="1">
        <v>10328.75</v>
      </c>
      <c r="D927" s="2">
        <v>44581</v>
      </c>
      <c r="E927" s="1">
        <v>2566.25</v>
      </c>
      <c r="G927" s="3">
        <v>6452615</v>
      </c>
      <c r="H927" s="3">
        <f t="shared" si="42"/>
        <v>66647447181.25</v>
      </c>
      <c r="J927" s="3">
        <v>150245000</v>
      </c>
      <c r="K927" s="3">
        <f t="shared" si="43"/>
        <v>385566231250</v>
      </c>
      <c r="M927" s="4">
        <f t="shared" si="44"/>
        <v>0.82714397221670588</v>
      </c>
    </row>
    <row r="928" spans="1:13" x14ac:dyDescent="0.45">
      <c r="A928" s="2">
        <v>44580</v>
      </c>
      <c r="B928" s="1">
        <v>10471.700000000001</v>
      </c>
      <c r="D928" s="2">
        <v>44580</v>
      </c>
      <c r="E928" s="1">
        <v>2555.4</v>
      </c>
      <c r="G928" s="3">
        <v>6452615</v>
      </c>
      <c r="H928" s="3">
        <f t="shared" si="42"/>
        <v>67569848495.500008</v>
      </c>
      <c r="J928" s="3">
        <v>150245000</v>
      </c>
      <c r="K928" s="3">
        <f t="shared" si="43"/>
        <v>383936073000</v>
      </c>
      <c r="M928" s="4">
        <f t="shared" si="44"/>
        <v>0.82400755425890915</v>
      </c>
    </row>
    <row r="929" spans="1:13" x14ac:dyDescent="0.45">
      <c r="A929" s="2">
        <v>44579</v>
      </c>
      <c r="B929" s="1">
        <v>10571.95</v>
      </c>
      <c r="D929" s="2">
        <v>44579</v>
      </c>
      <c r="E929" s="1">
        <v>2612.1999999999998</v>
      </c>
      <c r="G929" s="3">
        <v>6452615</v>
      </c>
      <c r="H929" s="3">
        <f t="shared" si="42"/>
        <v>68216723149.250008</v>
      </c>
      <c r="J929" s="3">
        <v>150245000</v>
      </c>
      <c r="K929" s="3">
        <f t="shared" si="43"/>
        <v>392469989000</v>
      </c>
      <c r="M929" s="4">
        <f t="shared" si="44"/>
        <v>0.82618614145997793</v>
      </c>
    </row>
    <row r="930" spans="1:13" x14ac:dyDescent="0.45">
      <c r="A930" s="2">
        <v>44578</v>
      </c>
      <c r="B930" s="1">
        <v>10672.35</v>
      </c>
      <c r="D930" s="2">
        <v>44578</v>
      </c>
      <c r="E930" s="1">
        <v>2639.8</v>
      </c>
      <c r="G930" s="3">
        <v>6452615</v>
      </c>
      <c r="H930" s="3">
        <f t="shared" si="42"/>
        <v>68864565695.25</v>
      </c>
      <c r="J930" s="3">
        <v>150245000</v>
      </c>
      <c r="K930" s="3">
        <f t="shared" si="43"/>
        <v>396616751000</v>
      </c>
      <c r="M930" s="4">
        <f t="shared" si="44"/>
        <v>0.8263700019688528</v>
      </c>
    </row>
    <row r="931" spans="1:13" x14ac:dyDescent="0.45">
      <c r="A931" s="2">
        <v>44575</v>
      </c>
      <c r="B931" s="1">
        <v>10702.5</v>
      </c>
      <c r="D931" s="2">
        <v>44575</v>
      </c>
      <c r="E931" s="1">
        <v>2657.5</v>
      </c>
      <c r="G931" s="3">
        <v>6452615</v>
      </c>
      <c r="H931" s="3">
        <f t="shared" si="42"/>
        <v>69059112037.5</v>
      </c>
      <c r="J931" s="3">
        <v>150245000</v>
      </c>
      <c r="K931" s="3">
        <f t="shared" si="43"/>
        <v>399276087500</v>
      </c>
      <c r="M931" s="4">
        <f t="shared" si="44"/>
        <v>0.82703919869105613</v>
      </c>
    </row>
    <row r="932" spans="1:13" x14ac:dyDescent="0.45">
      <c r="A932" s="2">
        <v>44574</v>
      </c>
      <c r="B932" s="1">
        <v>10756.3</v>
      </c>
      <c r="D932" s="2">
        <v>44574</v>
      </c>
      <c r="E932" s="1">
        <v>2654</v>
      </c>
      <c r="G932" s="3">
        <v>6452615</v>
      </c>
      <c r="H932" s="3">
        <f t="shared" si="42"/>
        <v>69406262724.5</v>
      </c>
      <c r="J932" s="3">
        <v>150245000</v>
      </c>
      <c r="K932" s="3">
        <f t="shared" si="43"/>
        <v>398750230000</v>
      </c>
      <c r="M932" s="4">
        <f t="shared" si="44"/>
        <v>0.82594050735845337</v>
      </c>
    </row>
    <row r="933" spans="1:13" x14ac:dyDescent="0.45">
      <c r="A933" s="2">
        <v>44573</v>
      </c>
      <c r="B933" s="1">
        <v>10698.5</v>
      </c>
      <c r="D933" s="2">
        <v>44573</v>
      </c>
      <c r="E933" s="1">
        <v>2627.4</v>
      </c>
      <c r="G933" s="3">
        <v>6452615</v>
      </c>
      <c r="H933" s="3">
        <f t="shared" si="42"/>
        <v>69033301577.5</v>
      </c>
      <c r="J933" s="3">
        <v>150245000</v>
      </c>
      <c r="K933" s="3">
        <f t="shared" si="43"/>
        <v>394753713000</v>
      </c>
      <c r="M933" s="4">
        <f t="shared" si="44"/>
        <v>0.82512311017198714</v>
      </c>
    </row>
    <row r="934" spans="1:13" x14ac:dyDescent="0.45">
      <c r="A934" s="2">
        <v>44572</v>
      </c>
      <c r="B934" s="1">
        <v>10666.1</v>
      </c>
      <c r="D934" s="2">
        <v>44572</v>
      </c>
      <c r="E934" s="1">
        <v>2532.6999999999998</v>
      </c>
      <c r="G934" s="3">
        <v>6452615</v>
      </c>
      <c r="H934" s="3">
        <f t="shared" si="42"/>
        <v>68824236851.5</v>
      </c>
      <c r="J934" s="3">
        <v>150245000</v>
      </c>
      <c r="K934" s="3">
        <f t="shared" si="43"/>
        <v>380525511500</v>
      </c>
      <c r="M934" s="4">
        <f t="shared" si="44"/>
        <v>0.81913371174458038</v>
      </c>
    </row>
    <row r="935" spans="1:13" x14ac:dyDescent="0.45">
      <c r="A935" s="2">
        <v>44571</v>
      </c>
      <c r="B935" s="1">
        <v>10678.2</v>
      </c>
      <c r="D935" s="2">
        <v>44571</v>
      </c>
      <c r="E935" s="1">
        <v>2528.15</v>
      </c>
      <c r="G935" s="3">
        <v>6452615</v>
      </c>
      <c r="H935" s="3">
        <f t="shared" si="42"/>
        <v>68902313493</v>
      </c>
      <c r="J935" s="3">
        <v>150245000</v>
      </c>
      <c r="K935" s="3">
        <f t="shared" si="43"/>
        <v>379841896750</v>
      </c>
      <c r="M935" s="4">
        <f t="shared" si="44"/>
        <v>0.81860264999058452</v>
      </c>
    </row>
    <row r="936" spans="1:13" x14ac:dyDescent="0.45">
      <c r="A936" s="2">
        <v>44568</v>
      </c>
      <c r="B936" s="1">
        <v>10664.7</v>
      </c>
      <c r="D936" s="2">
        <v>44568</v>
      </c>
      <c r="E936" s="1">
        <v>2506.5</v>
      </c>
      <c r="G936" s="3">
        <v>6452615</v>
      </c>
      <c r="H936" s="3">
        <f t="shared" si="42"/>
        <v>68815203190.5</v>
      </c>
      <c r="J936" s="3">
        <v>150245000</v>
      </c>
      <c r="K936" s="3">
        <f t="shared" si="43"/>
        <v>376589092500</v>
      </c>
      <c r="M936" s="4">
        <f t="shared" si="44"/>
        <v>0.81726713661920525</v>
      </c>
    </row>
    <row r="937" spans="1:13" x14ac:dyDescent="0.45">
      <c r="A937" s="2">
        <v>44567</v>
      </c>
      <c r="B937" s="1">
        <v>10516.4</v>
      </c>
      <c r="D937" s="2">
        <v>44567</v>
      </c>
      <c r="E937" s="1">
        <v>2409.9499999999998</v>
      </c>
      <c r="G937" s="3">
        <v>6452615</v>
      </c>
      <c r="H937" s="3">
        <f t="shared" si="42"/>
        <v>67858280386</v>
      </c>
      <c r="J937" s="3">
        <v>150245000</v>
      </c>
      <c r="K937" s="3">
        <f t="shared" si="43"/>
        <v>362082937750</v>
      </c>
      <c r="M937" s="4">
        <f t="shared" si="44"/>
        <v>0.81258912444846343</v>
      </c>
    </row>
    <row r="938" spans="1:13" x14ac:dyDescent="0.45">
      <c r="A938" s="2">
        <v>44566</v>
      </c>
      <c r="B938" s="1">
        <v>10537.55</v>
      </c>
      <c r="D938" s="2">
        <v>44566</v>
      </c>
      <c r="E938" s="1">
        <v>2414.85</v>
      </c>
      <c r="G938" s="3">
        <v>6452615</v>
      </c>
      <c r="H938" s="3">
        <f t="shared" si="42"/>
        <v>67994753193.249992</v>
      </c>
      <c r="J938" s="3">
        <v>150245000</v>
      </c>
      <c r="K938" s="3">
        <f t="shared" si="43"/>
        <v>362819138250</v>
      </c>
      <c r="M938" s="4">
        <f t="shared" si="44"/>
        <v>0.81259325646047287</v>
      </c>
    </row>
    <row r="939" spans="1:13" x14ac:dyDescent="0.45">
      <c r="A939" s="2">
        <v>44565</v>
      </c>
      <c r="B939" s="1">
        <v>10617.2</v>
      </c>
      <c r="D939" s="2">
        <v>44565</v>
      </c>
      <c r="E939" s="1">
        <v>2426.6</v>
      </c>
      <c r="G939" s="3">
        <v>6452615</v>
      </c>
      <c r="H939" s="3">
        <f t="shared" si="42"/>
        <v>68508703978.000008</v>
      </c>
      <c r="J939" s="3">
        <v>150245000</v>
      </c>
      <c r="K939" s="3">
        <f t="shared" si="43"/>
        <v>364584517000</v>
      </c>
      <c r="M939" s="4">
        <f t="shared" si="44"/>
        <v>0.8120910220167139</v>
      </c>
    </row>
    <row r="940" spans="1:13" x14ac:dyDescent="0.45">
      <c r="A940" s="2">
        <v>44564</v>
      </c>
      <c r="B940" s="1">
        <v>10702.95</v>
      </c>
      <c r="D940" s="2">
        <v>44564</v>
      </c>
      <c r="E940" s="1">
        <v>2411.15</v>
      </c>
      <c r="G940" s="3">
        <v>6452615</v>
      </c>
      <c r="H940" s="3">
        <f t="shared" si="42"/>
        <v>69062015714.25</v>
      </c>
      <c r="J940" s="3">
        <v>150245000</v>
      </c>
      <c r="K940" s="3">
        <f t="shared" si="43"/>
        <v>362263231750</v>
      </c>
      <c r="M940" s="4">
        <f t="shared" si="44"/>
        <v>0.80935957706602113</v>
      </c>
    </row>
    <row r="941" spans="1:13" x14ac:dyDescent="0.45">
      <c r="A941" s="2">
        <v>44561</v>
      </c>
      <c r="B941" s="1">
        <v>11108.1</v>
      </c>
      <c r="D941" s="2">
        <v>44561</v>
      </c>
      <c r="E941" s="1">
        <v>2420.5500000000002</v>
      </c>
      <c r="G941" s="3">
        <v>6452615</v>
      </c>
      <c r="H941" s="3">
        <f t="shared" si="42"/>
        <v>71676292681.5</v>
      </c>
      <c r="J941" s="3">
        <v>150245000</v>
      </c>
      <c r="K941" s="3">
        <f t="shared" si="43"/>
        <v>363675534750</v>
      </c>
      <c r="M941" s="4">
        <f t="shared" si="44"/>
        <v>0.80291142561796969</v>
      </c>
    </row>
    <row r="942" spans="1:13" x14ac:dyDescent="0.45">
      <c r="A942" s="2">
        <v>44560</v>
      </c>
      <c r="B942" s="1">
        <v>10775.3</v>
      </c>
      <c r="D942" s="2">
        <v>44560</v>
      </c>
      <c r="E942" s="1">
        <v>2402</v>
      </c>
      <c r="G942" s="3">
        <v>6452615</v>
      </c>
      <c r="H942" s="3">
        <f t="shared" si="42"/>
        <v>69528862409.5</v>
      </c>
      <c r="J942" s="3">
        <v>150245000</v>
      </c>
      <c r="K942" s="3">
        <f t="shared" si="43"/>
        <v>360888490000</v>
      </c>
      <c r="M942" s="4">
        <f t="shared" si="44"/>
        <v>0.80733976190401635</v>
      </c>
    </row>
    <row r="943" spans="1:13" x14ac:dyDescent="0.45">
      <c r="A943" s="2">
        <v>44559</v>
      </c>
      <c r="B943" s="1">
        <v>10523.45</v>
      </c>
      <c r="D943" s="2">
        <v>44559</v>
      </c>
      <c r="E943" s="1">
        <v>2390.6</v>
      </c>
      <c r="G943" s="3">
        <v>6452615</v>
      </c>
      <c r="H943" s="3">
        <f t="shared" si="42"/>
        <v>67903771321.750008</v>
      </c>
      <c r="J943" s="3">
        <v>150245000</v>
      </c>
      <c r="K943" s="3">
        <f t="shared" si="43"/>
        <v>359175697000</v>
      </c>
      <c r="M943" s="4">
        <f t="shared" si="44"/>
        <v>0.81094552919667606</v>
      </c>
    </row>
    <row r="944" spans="1:13" x14ac:dyDescent="0.45">
      <c r="A944" s="2">
        <v>44558</v>
      </c>
      <c r="B944" s="1">
        <v>10495.4</v>
      </c>
      <c r="D944" s="2">
        <v>44558</v>
      </c>
      <c r="E944" s="1">
        <v>2388.6999999999998</v>
      </c>
      <c r="G944" s="3">
        <v>6452615</v>
      </c>
      <c r="H944" s="3">
        <f t="shared" si="42"/>
        <v>67722775471</v>
      </c>
      <c r="J944" s="3">
        <v>150245000</v>
      </c>
      <c r="K944" s="3">
        <f t="shared" si="43"/>
        <v>358890231500</v>
      </c>
      <c r="M944" s="4">
        <f t="shared" si="44"/>
        <v>0.81129947397021862</v>
      </c>
    </row>
    <row r="945" spans="1:13" x14ac:dyDescent="0.45">
      <c r="A945" s="2">
        <v>44557</v>
      </c>
      <c r="B945" s="1">
        <v>10207.15</v>
      </c>
      <c r="D945" s="2">
        <v>44557</v>
      </c>
      <c r="E945" s="1">
        <v>2343.35</v>
      </c>
      <c r="G945" s="3">
        <v>6452615</v>
      </c>
      <c r="H945" s="3">
        <f t="shared" si="42"/>
        <v>65862809197.25</v>
      </c>
      <c r="J945" s="3">
        <v>150245000</v>
      </c>
      <c r="K945" s="3">
        <f t="shared" si="43"/>
        <v>352076620750</v>
      </c>
      <c r="M945" s="4">
        <f t="shared" si="44"/>
        <v>0.81293046650769418</v>
      </c>
    </row>
    <row r="946" spans="1:13" x14ac:dyDescent="0.45">
      <c r="A946" s="2">
        <v>44554</v>
      </c>
      <c r="B946" s="1">
        <v>10317.1</v>
      </c>
      <c r="D946" s="2">
        <v>44554</v>
      </c>
      <c r="E946" s="1">
        <v>2318.5500000000002</v>
      </c>
      <c r="G946" s="3">
        <v>6452615</v>
      </c>
      <c r="H946" s="3">
        <f t="shared" si="42"/>
        <v>66572274216.5</v>
      </c>
      <c r="J946" s="3">
        <v>150245000</v>
      </c>
      <c r="K946" s="3">
        <f t="shared" si="43"/>
        <v>348350544750</v>
      </c>
      <c r="M946" s="4">
        <f t="shared" si="44"/>
        <v>0.80889286605170441</v>
      </c>
    </row>
    <row r="947" spans="1:13" x14ac:dyDescent="0.45">
      <c r="A947" s="2">
        <v>44553</v>
      </c>
      <c r="B947" s="1">
        <v>10197.6</v>
      </c>
      <c r="D947" s="2">
        <v>44553</v>
      </c>
      <c r="E947" s="1">
        <v>2321</v>
      </c>
      <c r="G947" s="3">
        <v>6452615</v>
      </c>
      <c r="H947" s="3">
        <f t="shared" si="42"/>
        <v>65801186724</v>
      </c>
      <c r="J947" s="3">
        <v>150245000</v>
      </c>
      <c r="K947" s="3">
        <f t="shared" si="43"/>
        <v>348718645000</v>
      </c>
      <c r="M947" s="4">
        <f t="shared" si="44"/>
        <v>0.81130579718787332</v>
      </c>
    </row>
    <row r="948" spans="1:13" x14ac:dyDescent="0.45">
      <c r="A948" s="2">
        <v>44552</v>
      </c>
      <c r="B948" s="1">
        <v>9961.4</v>
      </c>
      <c r="D948" s="2">
        <v>44552</v>
      </c>
      <c r="E948" s="1">
        <v>2306.75</v>
      </c>
      <c r="G948" s="3">
        <v>6452615</v>
      </c>
      <c r="H948" s="3">
        <f t="shared" si="42"/>
        <v>64277079061</v>
      </c>
      <c r="J948" s="3">
        <v>150245000</v>
      </c>
      <c r="K948" s="3">
        <f t="shared" si="43"/>
        <v>346577653750</v>
      </c>
      <c r="M948" s="4">
        <f t="shared" si="44"/>
        <v>0.81453772808051395</v>
      </c>
    </row>
    <row r="949" spans="1:13" x14ac:dyDescent="0.45">
      <c r="A949" s="2">
        <v>44551</v>
      </c>
      <c r="B949" s="1">
        <v>9569.6</v>
      </c>
      <c r="D949" s="2">
        <v>44551</v>
      </c>
      <c r="E949" s="1">
        <v>2171.5</v>
      </c>
      <c r="G949" s="3">
        <v>6452615</v>
      </c>
      <c r="H949" s="3">
        <f t="shared" si="42"/>
        <v>61748944504</v>
      </c>
      <c r="J949" s="3">
        <v>150245000</v>
      </c>
      <c r="K949" s="3">
        <f t="shared" si="43"/>
        <v>326257017500</v>
      </c>
      <c r="M949" s="4">
        <f t="shared" si="44"/>
        <v>0.810735275589896</v>
      </c>
    </row>
    <row r="950" spans="1:13" x14ac:dyDescent="0.45">
      <c r="A950" s="2">
        <v>44550</v>
      </c>
      <c r="B950" s="1">
        <v>9386.1</v>
      </c>
      <c r="D950" s="2">
        <v>44550</v>
      </c>
      <c r="E950" s="1">
        <v>2074.6999999999998</v>
      </c>
      <c r="G950" s="3">
        <v>6452615</v>
      </c>
      <c r="H950" s="3">
        <f t="shared" si="42"/>
        <v>60564889651.5</v>
      </c>
      <c r="J950" s="3">
        <v>150245000</v>
      </c>
      <c r="K950" s="3">
        <f t="shared" si="43"/>
        <v>311713301500</v>
      </c>
      <c r="M950" s="4">
        <f t="shared" si="44"/>
        <v>0.80570322357097102</v>
      </c>
    </row>
    <row r="951" spans="1:13" x14ac:dyDescent="0.45">
      <c r="A951" s="2">
        <v>44547</v>
      </c>
      <c r="B951" s="1">
        <v>9666.85</v>
      </c>
      <c r="D951" s="2">
        <v>44547</v>
      </c>
      <c r="E951" s="1">
        <v>2167.4499999999998</v>
      </c>
      <c r="G951" s="3">
        <v>6452615</v>
      </c>
      <c r="H951" s="3">
        <f t="shared" si="42"/>
        <v>62376461312.75</v>
      </c>
      <c r="J951" s="3">
        <v>150245000</v>
      </c>
      <c r="K951" s="3">
        <f t="shared" si="43"/>
        <v>325648525250</v>
      </c>
      <c r="M951" s="4">
        <f t="shared" si="44"/>
        <v>0.80845464825961155</v>
      </c>
    </row>
    <row r="952" spans="1:13" x14ac:dyDescent="0.45">
      <c r="A952" s="2">
        <v>44546</v>
      </c>
      <c r="B952" s="1">
        <v>9735.15</v>
      </c>
      <c r="D952" s="2">
        <v>44546</v>
      </c>
      <c r="E952" s="1">
        <v>2215.1</v>
      </c>
      <c r="G952" s="3">
        <v>6452615</v>
      </c>
      <c r="H952" s="3">
        <f t="shared" si="42"/>
        <v>62817174917.25</v>
      </c>
      <c r="J952" s="3">
        <v>150245000</v>
      </c>
      <c r="K952" s="3">
        <f t="shared" si="43"/>
        <v>332807699500</v>
      </c>
      <c r="M952" s="4">
        <f t="shared" si="44"/>
        <v>0.81125083640905971</v>
      </c>
    </row>
    <row r="953" spans="1:13" x14ac:dyDescent="0.45">
      <c r="A953" s="2">
        <v>44545</v>
      </c>
      <c r="B953" s="1">
        <v>9762.7000000000007</v>
      </c>
      <c r="D953" s="2">
        <v>44545</v>
      </c>
      <c r="E953" s="1">
        <v>2161.1</v>
      </c>
      <c r="G953" s="3">
        <v>6452615</v>
      </c>
      <c r="H953" s="3">
        <f t="shared" si="42"/>
        <v>62994944460.500008</v>
      </c>
      <c r="J953" s="3">
        <v>150245000</v>
      </c>
      <c r="K953" s="3">
        <f t="shared" si="43"/>
        <v>324694469500</v>
      </c>
      <c r="M953" s="4">
        <f t="shared" si="44"/>
        <v>0.80598701124319583</v>
      </c>
    </row>
    <row r="954" spans="1:13" x14ac:dyDescent="0.45">
      <c r="A954" s="2">
        <v>44544</v>
      </c>
      <c r="B954" s="1">
        <v>9772</v>
      </c>
      <c r="D954" s="2">
        <v>44544</v>
      </c>
      <c r="E954" s="1">
        <v>2155.0500000000002</v>
      </c>
      <c r="G954" s="3">
        <v>6452615</v>
      </c>
      <c r="H954" s="3">
        <f t="shared" si="42"/>
        <v>63054953780</v>
      </c>
      <c r="J954" s="3">
        <v>150245000</v>
      </c>
      <c r="K954" s="3">
        <f t="shared" si="43"/>
        <v>323785487250</v>
      </c>
      <c r="M954" s="4">
        <f t="shared" si="44"/>
        <v>0.80525701038813313</v>
      </c>
    </row>
    <row r="955" spans="1:13" x14ac:dyDescent="0.45">
      <c r="A955" s="2">
        <v>44543</v>
      </c>
      <c r="B955" s="1">
        <v>9903.5</v>
      </c>
      <c r="D955" s="2">
        <v>44543</v>
      </c>
      <c r="E955" s="1">
        <v>2149.4499999999998</v>
      </c>
      <c r="G955" s="3">
        <v>6452615</v>
      </c>
      <c r="H955" s="3">
        <f t="shared" si="42"/>
        <v>63903472652.5</v>
      </c>
      <c r="J955" s="3">
        <v>150245000</v>
      </c>
      <c r="K955" s="3">
        <f t="shared" si="43"/>
        <v>322944115250</v>
      </c>
      <c r="M955" s="4">
        <f t="shared" si="44"/>
        <v>0.80212219503355697</v>
      </c>
    </row>
    <row r="956" spans="1:13" x14ac:dyDescent="0.45">
      <c r="A956" s="2">
        <v>44540</v>
      </c>
      <c r="B956" s="1">
        <v>10200</v>
      </c>
      <c r="D956" s="2">
        <v>44540</v>
      </c>
      <c r="E956" s="1">
        <v>2149.6999999999998</v>
      </c>
      <c r="G956" s="3">
        <v>6452615</v>
      </c>
      <c r="H956" s="3">
        <f t="shared" si="42"/>
        <v>65816673000</v>
      </c>
      <c r="J956" s="3">
        <v>150245000</v>
      </c>
      <c r="K956" s="3">
        <f t="shared" si="43"/>
        <v>322981676500</v>
      </c>
      <c r="M956" s="4">
        <f t="shared" si="44"/>
        <v>0.79622165036349979</v>
      </c>
    </row>
    <row r="957" spans="1:13" x14ac:dyDescent="0.45">
      <c r="A957" s="2">
        <v>44539</v>
      </c>
      <c r="B957" s="1">
        <v>10100.049999999999</v>
      </c>
      <c r="D957" s="2">
        <v>44539</v>
      </c>
      <c r="E957" s="1">
        <v>2132.9499999999998</v>
      </c>
      <c r="G957" s="3">
        <v>6452615</v>
      </c>
      <c r="H957" s="3">
        <f t="shared" si="42"/>
        <v>65171734130.749992</v>
      </c>
      <c r="J957" s="3">
        <v>150245000</v>
      </c>
      <c r="K957" s="3">
        <f t="shared" si="43"/>
        <v>320465072750</v>
      </c>
      <c r="M957" s="4">
        <f t="shared" si="44"/>
        <v>0.79663389344900148</v>
      </c>
    </row>
    <row r="958" spans="1:13" x14ac:dyDescent="0.45">
      <c r="A958" s="2">
        <v>44538</v>
      </c>
      <c r="B958" s="1">
        <v>10051.25</v>
      </c>
      <c r="D958" s="2">
        <v>44538</v>
      </c>
      <c r="E958" s="1">
        <v>2124.15</v>
      </c>
      <c r="G958" s="3">
        <v>6452615</v>
      </c>
      <c r="H958" s="3">
        <f t="shared" si="42"/>
        <v>64856846518.75</v>
      </c>
      <c r="J958" s="3">
        <v>150245000</v>
      </c>
      <c r="K958" s="3">
        <f t="shared" si="43"/>
        <v>319142916750</v>
      </c>
      <c r="M958" s="4">
        <f t="shared" si="44"/>
        <v>0.79677804796916274</v>
      </c>
    </row>
    <row r="959" spans="1:13" x14ac:dyDescent="0.45">
      <c r="A959" s="2">
        <v>44537</v>
      </c>
      <c r="B959" s="1">
        <v>10068.450000000001</v>
      </c>
      <c r="D959" s="2">
        <v>44537</v>
      </c>
      <c r="E959" s="1">
        <v>2087.0500000000002</v>
      </c>
      <c r="G959" s="3">
        <v>6452615</v>
      </c>
      <c r="H959" s="3">
        <f t="shared" si="42"/>
        <v>64967831496.750008</v>
      </c>
      <c r="J959" s="3">
        <v>150245000</v>
      </c>
      <c r="K959" s="3">
        <f t="shared" si="43"/>
        <v>313568827250</v>
      </c>
      <c r="M959" s="4">
        <f t="shared" si="44"/>
        <v>0.79281157484142106</v>
      </c>
    </row>
    <row r="960" spans="1:13" x14ac:dyDescent="0.45">
      <c r="A960" s="2">
        <v>44536</v>
      </c>
      <c r="B960" s="1">
        <v>9977.35</v>
      </c>
      <c r="D960" s="2">
        <v>44536</v>
      </c>
      <c r="E960" s="1">
        <v>2057.4</v>
      </c>
      <c r="G960" s="3">
        <v>6452615</v>
      </c>
      <c r="H960" s="3">
        <f t="shared" si="42"/>
        <v>64379998270.25</v>
      </c>
      <c r="J960" s="3">
        <v>150245000</v>
      </c>
      <c r="K960" s="3">
        <f t="shared" si="43"/>
        <v>309114063000</v>
      </c>
      <c r="M960" s="4">
        <f t="shared" si="44"/>
        <v>0.79172737194344345</v>
      </c>
    </row>
    <row r="961" spans="1:13" x14ac:dyDescent="0.45">
      <c r="A961" s="2">
        <v>44533</v>
      </c>
      <c r="B961" s="1">
        <v>10100</v>
      </c>
      <c r="D961" s="2">
        <v>44533</v>
      </c>
      <c r="E961" s="1">
        <v>2083.8000000000002</v>
      </c>
      <c r="G961" s="3">
        <v>6452615</v>
      </c>
      <c r="H961" s="3">
        <f t="shared" si="42"/>
        <v>65171411500</v>
      </c>
      <c r="J961" s="3">
        <v>150245000</v>
      </c>
      <c r="K961" s="3">
        <f t="shared" si="43"/>
        <v>313080531000</v>
      </c>
      <c r="M961" s="4">
        <f t="shared" si="44"/>
        <v>0.7918381852367562</v>
      </c>
    </row>
    <row r="962" spans="1:13" x14ac:dyDescent="0.45">
      <c r="A962" s="2">
        <v>44532</v>
      </c>
      <c r="B962" s="1">
        <v>10055.200000000001</v>
      </c>
      <c r="D962" s="2">
        <v>44532</v>
      </c>
      <c r="E962" s="1">
        <v>2089.0500000000002</v>
      </c>
      <c r="G962" s="3">
        <v>6452615</v>
      </c>
      <c r="H962" s="3">
        <f t="shared" si="42"/>
        <v>64882334348.000008</v>
      </c>
      <c r="J962" s="3">
        <v>150245000</v>
      </c>
      <c r="K962" s="3">
        <f t="shared" si="43"/>
        <v>313869317250</v>
      </c>
      <c r="M962" s="4">
        <f t="shared" si="44"/>
        <v>0.79328232872052107</v>
      </c>
    </row>
    <row r="963" spans="1:13" x14ac:dyDescent="0.45">
      <c r="A963" s="2">
        <v>44531</v>
      </c>
      <c r="B963" s="1">
        <v>9984.85</v>
      </c>
      <c r="D963" s="2">
        <v>44531</v>
      </c>
      <c r="E963" s="1">
        <v>2015.9</v>
      </c>
      <c r="G963" s="3">
        <v>6452615</v>
      </c>
      <c r="H963" s="3">
        <f t="shared" si="42"/>
        <v>64428392882.75</v>
      </c>
      <c r="J963" s="3">
        <v>150245000</v>
      </c>
      <c r="K963" s="3">
        <f t="shared" si="43"/>
        <v>302878895500</v>
      </c>
      <c r="M963" s="4">
        <f t="shared" si="44"/>
        <v>0.78728001904394818</v>
      </c>
    </row>
    <row r="964" spans="1:13" x14ac:dyDescent="0.45">
      <c r="A964" s="2">
        <v>44530</v>
      </c>
      <c r="B964" s="1">
        <v>9915.15</v>
      </c>
      <c r="D964" s="2">
        <v>44530</v>
      </c>
      <c r="E964" s="1">
        <v>2017.4</v>
      </c>
      <c r="G964" s="3">
        <v>6452615</v>
      </c>
      <c r="H964" s="3">
        <f t="shared" ref="H964:H1027" si="45">+G964*B964</f>
        <v>63978645617.25</v>
      </c>
      <c r="J964" s="3">
        <v>150245000</v>
      </c>
      <c r="K964" s="3">
        <f t="shared" ref="K964:K1027" si="46">+J964*E964</f>
        <v>303104263000</v>
      </c>
      <c r="M964" s="4">
        <f t="shared" ref="M964:M1027" si="47">1- (H964/K964)</f>
        <v>0.78892198683048542</v>
      </c>
    </row>
    <row r="965" spans="1:13" x14ac:dyDescent="0.45">
      <c r="A965" s="2">
        <v>44529</v>
      </c>
      <c r="B965" s="1">
        <v>9909.4</v>
      </c>
      <c r="D965" s="2">
        <v>44529</v>
      </c>
      <c r="E965" s="1">
        <v>2053.6</v>
      </c>
      <c r="G965" s="3">
        <v>6452615</v>
      </c>
      <c r="H965" s="3">
        <f t="shared" si="45"/>
        <v>63941543081</v>
      </c>
      <c r="J965" s="3">
        <v>150245000</v>
      </c>
      <c r="K965" s="3">
        <f t="shared" si="46"/>
        <v>308543132000</v>
      </c>
      <c r="M965" s="4">
        <f t="shared" si="47"/>
        <v>0.7927630322978636</v>
      </c>
    </row>
    <row r="966" spans="1:13" x14ac:dyDescent="0.45">
      <c r="A966" s="2">
        <v>44526</v>
      </c>
      <c r="B966" s="1">
        <v>10103.700000000001</v>
      </c>
      <c r="D966" s="2">
        <v>44526</v>
      </c>
      <c r="E966" s="1">
        <v>2089.5</v>
      </c>
      <c r="G966" s="3">
        <v>6452615</v>
      </c>
      <c r="H966" s="3">
        <f t="shared" si="45"/>
        <v>65195286175.500008</v>
      </c>
      <c r="J966" s="3">
        <v>150245000</v>
      </c>
      <c r="K966" s="3">
        <f t="shared" si="46"/>
        <v>313936927500</v>
      </c>
      <c r="M966" s="4">
        <f t="shared" si="47"/>
        <v>0.79232998585201475</v>
      </c>
    </row>
    <row r="967" spans="1:13" x14ac:dyDescent="0.45">
      <c r="A967" s="2">
        <v>44525</v>
      </c>
      <c r="B967" s="1">
        <v>10172.85</v>
      </c>
      <c r="D967" s="2">
        <v>44525</v>
      </c>
      <c r="E967" s="1">
        <v>2181.9</v>
      </c>
      <c r="G967" s="3">
        <v>6452615</v>
      </c>
      <c r="H967" s="3">
        <f t="shared" si="45"/>
        <v>65641484502.75</v>
      </c>
      <c r="J967" s="3">
        <v>150245000</v>
      </c>
      <c r="K967" s="3">
        <f t="shared" si="46"/>
        <v>327819565500</v>
      </c>
      <c r="M967" s="4">
        <f t="shared" si="47"/>
        <v>0.79976337165040257</v>
      </c>
    </row>
    <row r="968" spans="1:13" x14ac:dyDescent="0.45">
      <c r="A968" s="2">
        <v>44524</v>
      </c>
      <c r="B968" s="1">
        <v>10177.65</v>
      </c>
      <c r="D968" s="2">
        <v>44524</v>
      </c>
      <c r="E968" s="1">
        <v>2142.65</v>
      </c>
      <c r="G968" s="3">
        <v>6452615</v>
      </c>
      <c r="H968" s="3">
        <f t="shared" si="45"/>
        <v>65672457054.75</v>
      </c>
      <c r="J968" s="3">
        <v>150245000</v>
      </c>
      <c r="K968" s="3">
        <f t="shared" si="46"/>
        <v>321922449250</v>
      </c>
      <c r="M968" s="4">
        <f t="shared" si="47"/>
        <v>0.79599913827771052</v>
      </c>
    </row>
    <row r="969" spans="1:13" x14ac:dyDescent="0.45">
      <c r="A969" s="2">
        <v>44523</v>
      </c>
      <c r="B969" s="1">
        <v>10179.200000000001</v>
      </c>
      <c r="D969" s="2">
        <v>44523</v>
      </c>
      <c r="E969" s="1">
        <v>2191.75</v>
      </c>
      <c r="G969" s="3">
        <v>6452615</v>
      </c>
      <c r="H969" s="3">
        <f t="shared" si="45"/>
        <v>65682458608.000008</v>
      </c>
      <c r="J969" s="3">
        <v>150245000</v>
      </c>
      <c r="K969" s="3">
        <f t="shared" si="46"/>
        <v>329299478750</v>
      </c>
      <c r="M969" s="4">
        <f t="shared" si="47"/>
        <v>0.80053883213746202</v>
      </c>
    </row>
    <row r="970" spans="1:13" x14ac:dyDescent="0.45">
      <c r="A970" s="2">
        <v>44522</v>
      </c>
      <c r="B970" s="1">
        <v>10006.75</v>
      </c>
      <c r="D970" s="2">
        <v>44522</v>
      </c>
      <c r="E970" s="1">
        <v>2095.1</v>
      </c>
      <c r="G970" s="3">
        <v>6452615</v>
      </c>
      <c r="H970" s="3">
        <f t="shared" si="45"/>
        <v>64569705151.25</v>
      </c>
      <c r="J970" s="3">
        <v>150245000</v>
      </c>
      <c r="K970" s="3">
        <f t="shared" si="46"/>
        <v>314778299500</v>
      </c>
      <c r="M970" s="4">
        <f t="shared" si="47"/>
        <v>0.79487243798631046</v>
      </c>
    </row>
    <row r="971" spans="1:13" x14ac:dyDescent="0.45">
      <c r="A971" s="2">
        <v>44518</v>
      </c>
      <c r="B971" s="1">
        <v>10145.75</v>
      </c>
      <c r="D971" s="2">
        <v>44518</v>
      </c>
      <c r="E971" s="1">
        <v>2187.5</v>
      </c>
      <c r="G971" s="3">
        <v>6452615</v>
      </c>
      <c r="H971" s="3">
        <f t="shared" si="45"/>
        <v>65466618636.25</v>
      </c>
      <c r="J971" s="3">
        <v>150245000</v>
      </c>
      <c r="K971" s="3">
        <f t="shared" si="46"/>
        <v>328660937500</v>
      </c>
      <c r="M971" s="4">
        <f t="shared" si="47"/>
        <v>0.80080803294048297</v>
      </c>
    </row>
    <row r="972" spans="1:13" x14ac:dyDescent="0.45">
      <c r="A972" s="2">
        <v>44517</v>
      </c>
      <c r="B972" s="1">
        <v>10303.450000000001</v>
      </c>
      <c r="D972" s="2">
        <v>44517</v>
      </c>
      <c r="E972" s="1">
        <v>2158.9499999999998</v>
      </c>
      <c r="G972" s="3">
        <v>6452615</v>
      </c>
      <c r="H972" s="3">
        <f t="shared" si="45"/>
        <v>66484196021.750008</v>
      </c>
      <c r="J972" s="3">
        <v>150245000</v>
      </c>
      <c r="K972" s="3">
        <f t="shared" si="46"/>
        <v>324371442750</v>
      </c>
      <c r="M972" s="4">
        <f t="shared" si="47"/>
        <v>0.79503683968569705</v>
      </c>
    </row>
    <row r="973" spans="1:13" x14ac:dyDescent="0.45">
      <c r="A973" s="2">
        <v>44516</v>
      </c>
      <c r="B973" s="1">
        <v>10457.1</v>
      </c>
      <c r="D973" s="2">
        <v>44516</v>
      </c>
      <c r="E973" s="1">
        <v>2192.8000000000002</v>
      </c>
      <c r="G973" s="3">
        <v>6452615</v>
      </c>
      <c r="H973" s="3">
        <f t="shared" si="45"/>
        <v>67475640316.5</v>
      </c>
      <c r="J973" s="3">
        <v>150245000</v>
      </c>
      <c r="K973" s="3">
        <f t="shared" si="46"/>
        <v>329457236000</v>
      </c>
      <c r="M973" s="4">
        <f t="shared" si="47"/>
        <v>0.7951915060791076</v>
      </c>
    </row>
    <row r="974" spans="1:13" x14ac:dyDescent="0.45">
      <c r="A974" s="2">
        <v>44515</v>
      </c>
      <c r="B974" s="1">
        <v>10334.25</v>
      </c>
      <c r="D974" s="2">
        <v>44515</v>
      </c>
      <c r="E974" s="1">
        <v>2192.4499999999998</v>
      </c>
      <c r="G974" s="3">
        <v>6452615</v>
      </c>
      <c r="H974" s="3">
        <f t="shared" si="45"/>
        <v>66682936563.75</v>
      </c>
      <c r="J974" s="3">
        <v>150245000</v>
      </c>
      <c r="K974" s="3">
        <f t="shared" si="46"/>
        <v>329404650250</v>
      </c>
      <c r="M974" s="4">
        <f t="shared" si="47"/>
        <v>0.79756528478532007</v>
      </c>
    </row>
    <row r="975" spans="1:13" x14ac:dyDescent="0.45">
      <c r="A975" s="2">
        <v>44512</v>
      </c>
      <c r="B975" s="1">
        <v>10290.549999999999</v>
      </c>
      <c r="D975" s="2">
        <v>44512</v>
      </c>
      <c r="E975" s="1">
        <v>2154.4499999999998</v>
      </c>
      <c r="G975" s="3">
        <v>6452615</v>
      </c>
      <c r="H975" s="3">
        <f t="shared" si="45"/>
        <v>66400957288.249992</v>
      </c>
      <c r="J975" s="3">
        <v>150245000</v>
      </c>
      <c r="K975" s="3">
        <f t="shared" si="46"/>
        <v>323695340250</v>
      </c>
      <c r="M975" s="4">
        <f t="shared" si="47"/>
        <v>0.79486588457848528</v>
      </c>
    </row>
    <row r="976" spans="1:13" x14ac:dyDescent="0.45">
      <c r="A976" s="2">
        <v>44511</v>
      </c>
      <c r="B976" s="1">
        <v>10279.65</v>
      </c>
      <c r="D976" s="2">
        <v>44511</v>
      </c>
      <c r="E976" s="1">
        <v>2123.25</v>
      </c>
      <c r="G976" s="3">
        <v>6452615</v>
      </c>
      <c r="H976" s="3">
        <f t="shared" si="45"/>
        <v>66330623784.75</v>
      </c>
      <c r="J976" s="3">
        <v>150245000</v>
      </c>
      <c r="K976" s="3">
        <f t="shared" si="46"/>
        <v>319007696250</v>
      </c>
      <c r="M976" s="4">
        <f t="shared" si="47"/>
        <v>0.79207202658594167</v>
      </c>
    </row>
    <row r="977" spans="1:13" x14ac:dyDescent="0.45">
      <c r="A977" s="2">
        <v>44510</v>
      </c>
      <c r="B977" s="1">
        <v>10363.6</v>
      </c>
      <c r="D977" s="2">
        <v>44510</v>
      </c>
      <c r="E977" s="1">
        <v>2146.1999999999998</v>
      </c>
      <c r="G977" s="3">
        <v>6452615</v>
      </c>
      <c r="H977" s="3">
        <f t="shared" si="45"/>
        <v>66872320814</v>
      </c>
      <c r="J977" s="3">
        <v>150245000</v>
      </c>
      <c r="K977" s="3">
        <f t="shared" si="46"/>
        <v>322455819000</v>
      </c>
      <c r="M977" s="4">
        <f t="shared" si="47"/>
        <v>0.7926155557639355</v>
      </c>
    </row>
    <row r="978" spans="1:13" x14ac:dyDescent="0.45">
      <c r="A978" s="2">
        <v>44509</v>
      </c>
      <c r="B978" s="1">
        <v>10561.95</v>
      </c>
      <c r="D978" s="2">
        <v>44509</v>
      </c>
      <c r="E978" s="1">
        <v>2170.75</v>
      </c>
      <c r="G978" s="3">
        <v>6452615</v>
      </c>
      <c r="H978" s="3">
        <f t="shared" si="45"/>
        <v>68152196999.250008</v>
      </c>
      <c r="J978" s="3">
        <v>150245000</v>
      </c>
      <c r="K978" s="3">
        <f t="shared" si="46"/>
        <v>326144333750</v>
      </c>
      <c r="M978" s="4">
        <f t="shared" si="47"/>
        <v>0.79103669772325147</v>
      </c>
    </row>
    <row r="979" spans="1:13" x14ac:dyDescent="0.45">
      <c r="A979" s="2">
        <v>44508</v>
      </c>
      <c r="B979" s="1">
        <v>10337.299999999999</v>
      </c>
      <c r="D979" s="2">
        <v>44508</v>
      </c>
      <c r="E979" s="1">
        <v>2126.1999999999998</v>
      </c>
      <c r="G979" s="3">
        <v>6452615</v>
      </c>
      <c r="H979" s="3">
        <f t="shared" si="45"/>
        <v>66702617039.499992</v>
      </c>
      <c r="J979" s="3">
        <v>150245000</v>
      </c>
      <c r="K979" s="3">
        <f t="shared" si="46"/>
        <v>319450919000</v>
      </c>
      <c r="M979" s="4">
        <f t="shared" si="47"/>
        <v>0.79119603960350482</v>
      </c>
    </row>
    <row r="980" spans="1:13" x14ac:dyDescent="0.45">
      <c r="A980" s="2">
        <v>44504</v>
      </c>
      <c r="B980" s="1">
        <v>10481.799999999999</v>
      </c>
      <c r="D980" s="2">
        <v>44504</v>
      </c>
      <c r="E980" s="1">
        <v>2100.15</v>
      </c>
      <c r="G980" s="3">
        <v>6452615</v>
      </c>
      <c r="H980" s="3">
        <f t="shared" si="45"/>
        <v>67635019906.999992</v>
      </c>
      <c r="J980" s="3">
        <v>150245000</v>
      </c>
      <c r="K980" s="3">
        <f t="shared" si="46"/>
        <v>315537036750</v>
      </c>
      <c r="M980" s="4">
        <f t="shared" si="47"/>
        <v>0.78565108995243804</v>
      </c>
    </row>
    <row r="981" spans="1:13" x14ac:dyDescent="0.45">
      <c r="A981" s="2">
        <v>44503</v>
      </c>
      <c r="B981" s="1">
        <v>10015.700000000001</v>
      </c>
      <c r="D981" s="2">
        <v>44503</v>
      </c>
      <c r="E981" s="1">
        <v>2079</v>
      </c>
      <c r="G981" s="3">
        <v>6452615</v>
      </c>
      <c r="H981" s="3">
        <f t="shared" si="45"/>
        <v>64627456055.500008</v>
      </c>
      <c r="J981" s="3">
        <v>150245000</v>
      </c>
      <c r="K981" s="3">
        <f t="shared" si="46"/>
        <v>312359355000</v>
      </c>
      <c r="M981" s="4">
        <f t="shared" si="47"/>
        <v>0.79309902194061066</v>
      </c>
    </row>
    <row r="982" spans="1:13" x14ac:dyDescent="0.45">
      <c r="A982" s="2">
        <v>44502</v>
      </c>
      <c r="B982" s="1">
        <v>10109.65</v>
      </c>
      <c r="D982" s="2">
        <v>44502</v>
      </c>
      <c r="E982" s="1">
        <v>2109.6999999999998</v>
      </c>
      <c r="G982" s="3">
        <v>6452615</v>
      </c>
      <c r="H982" s="3">
        <f t="shared" si="45"/>
        <v>65233679234.75</v>
      </c>
      <c r="J982" s="3">
        <v>150245000</v>
      </c>
      <c r="K982" s="3">
        <f t="shared" si="46"/>
        <v>316971876500</v>
      </c>
      <c r="M982" s="4">
        <f t="shared" si="47"/>
        <v>0.7941972645805061</v>
      </c>
    </row>
    <row r="983" spans="1:13" x14ac:dyDescent="0.45">
      <c r="A983" s="2">
        <v>44501</v>
      </c>
      <c r="B983" s="1">
        <v>10266.5</v>
      </c>
      <c r="D983" s="2">
        <v>44501</v>
      </c>
      <c r="E983" s="1">
        <v>2123.3000000000002</v>
      </c>
      <c r="G983" s="3">
        <v>6452615</v>
      </c>
      <c r="H983" s="3">
        <f t="shared" si="45"/>
        <v>66245771897.5</v>
      </c>
      <c r="J983" s="3">
        <v>150245000</v>
      </c>
      <c r="K983" s="3">
        <f t="shared" si="46"/>
        <v>319015208500</v>
      </c>
      <c r="M983" s="4">
        <f t="shared" si="47"/>
        <v>0.79234290362210114</v>
      </c>
    </row>
    <row r="984" spans="1:13" x14ac:dyDescent="0.45">
      <c r="A984" s="2">
        <v>44498</v>
      </c>
      <c r="B984" s="1">
        <v>10265.4</v>
      </c>
      <c r="D984" s="2">
        <v>44498</v>
      </c>
      <c r="E984" s="1">
        <v>2117.5500000000002</v>
      </c>
      <c r="G984" s="3">
        <v>6452615</v>
      </c>
      <c r="H984" s="3">
        <f t="shared" si="45"/>
        <v>66238674021</v>
      </c>
      <c r="J984" s="3">
        <v>150245000</v>
      </c>
      <c r="K984" s="3">
        <f t="shared" si="46"/>
        <v>318151299750</v>
      </c>
      <c r="M984" s="4">
        <f t="shared" si="47"/>
        <v>0.79180134083044873</v>
      </c>
    </row>
    <row r="985" spans="1:13" x14ac:dyDescent="0.45">
      <c r="A985" s="2">
        <v>44497</v>
      </c>
      <c r="B985" s="1">
        <v>9923.9500000000007</v>
      </c>
      <c r="D985" s="2">
        <v>44497</v>
      </c>
      <c r="E985" s="1">
        <v>2119.9499999999998</v>
      </c>
      <c r="G985" s="3">
        <v>6452615</v>
      </c>
      <c r="H985" s="3">
        <f t="shared" si="45"/>
        <v>64035428629.250008</v>
      </c>
      <c r="J985" s="3">
        <v>150245000</v>
      </c>
      <c r="K985" s="3">
        <f t="shared" si="46"/>
        <v>318511887750</v>
      </c>
      <c r="M985" s="4">
        <f t="shared" si="47"/>
        <v>0.7989543527508417</v>
      </c>
    </row>
    <row r="986" spans="1:13" x14ac:dyDescent="0.45">
      <c r="A986" s="2">
        <v>44496</v>
      </c>
      <c r="B986" s="1">
        <v>9785.75</v>
      </c>
      <c r="D986" s="2">
        <v>44496</v>
      </c>
      <c r="E986" s="1">
        <v>2143.6999999999998</v>
      </c>
      <c r="G986" s="3">
        <v>6452615</v>
      </c>
      <c r="H986" s="3">
        <f t="shared" si="45"/>
        <v>63143677236.25</v>
      </c>
      <c r="J986" s="3">
        <v>150245000</v>
      </c>
      <c r="K986" s="3">
        <f t="shared" si="46"/>
        <v>322080206500</v>
      </c>
      <c r="M986" s="4">
        <f t="shared" si="47"/>
        <v>0.80395045717828051</v>
      </c>
    </row>
    <row r="987" spans="1:13" x14ac:dyDescent="0.45">
      <c r="A987" s="2">
        <v>44495</v>
      </c>
      <c r="B987" s="1">
        <v>9931.85</v>
      </c>
      <c r="D987" s="2">
        <v>44495</v>
      </c>
      <c r="E987" s="1">
        <v>2111.4</v>
      </c>
      <c r="G987" s="3">
        <v>6452615</v>
      </c>
      <c r="H987" s="3">
        <f t="shared" si="45"/>
        <v>64086404287.75</v>
      </c>
      <c r="J987" s="3">
        <v>150245000</v>
      </c>
      <c r="K987" s="3">
        <f t="shared" si="46"/>
        <v>317227293000</v>
      </c>
      <c r="M987" s="4">
        <f t="shared" si="47"/>
        <v>0.79797953800983323</v>
      </c>
    </row>
    <row r="988" spans="1:13" x14ac:dyDescent="0.45">
      <c r="A988" s="2">
        <v>44494</v>
      </c>
      <c r="B988" s="1">
        <v>10072.4</v>
      </c>
      <c r="D988" s="2">
        <v>44494</v>
      </c>
      <c r="E988" s="1">
        <v>2101.75</v>
      </c>
      <c r="G988" s="3">
        <v>6452615</v>
      </c>
      <c r="H988" s="3">
        <f t="shared" si="45"/>
        <v>64993319326</v>
      </c>
      <c r="J988" s="3">
        <v>150245000</v>
      </c>
      <c r="K988" s="3">
        <f t="shared" si="46"/>
        <v>315777428750</v>
      </c>
      <c r="M988" s="4">
        <f t="shared" si="47"/>
        <v>0.79417997168678256</v>
      </c>
    </row>
    <row r="989" spans="1:13" x14ac:dyDescent="0.45">
      <c r="A989" s="2">
        <v>44491</v>
      </c>
      <c r="B989" s="1">
        <v>10398</v>
      </c>
      <c r="D989" s="2">
        <v>44491</v>
      </c>
      <c r="E989" s="1">
        <v>2219.15</v>
      </c>
      <c r="G989" s="3">
        <v>6452615</v>
      </c>
      <c r="H989" s="3">
        <f t="shared" si="45"/>
        <v>67094290770</v>
      </c>
      <c r="J989" s="3">
        <v>150245000</v>
      </c>
      <c r="K989" s="3">
        <f t="shared" si="46"/>
        <v>333416191750</v>
      </c>
      <c r="M989" s="4">
        <f t="shared" si="47"/>
        <v>0.79876714919619674</v>
      </c>
    </row>
    <row r="990" spans="1:13" x14ac:dyDescent="0.45">
      <c r="A990" s="2">
        <v>44490</v>
      </c>
      <c r="B990" s="1">
        <v>10491.75</v>
      </c>
      <c r="D990" s="2">
        <v>44490</v>
      </c>
      <c r="E990" s="1">
        <v>2270</v>
      </c>
      <c r="G990" s="3">
        <v>6452615</v>
      </c>
      <c r="H990" s="3">
        <f t="shared" si="45"/>
        <v>67699223426.25</v>
      </c>
      <c r="J990" s="3">
        <v>150245000</v>
      </c>
      <c r="K990" s="3">
        <f t="shared" si="46"/>
        <v>341056150000</v>
      </c>
      <c r="M990" s="4">
        <f t="shared" si="47"/>
        <v>0.80150123835547316</v>
      </c>
    </row>
    <row r="991" spans="1:13" x14ac:dyDescent="0.45">
      <c r="A991" s="2">
        <v>44489</v>
      </c>
      <c r="B991" s="1">
        <v>10693.6</v>
      </c>
      <c r="D991" s="2">
        <v>44489</v>
      </c>
      <c r="E991" s="1">
        <v>2209.0500000000002</v>
      </c>
      <c r="G991" s="3">
        <v>6452615</v>
      </c>
      <c r="H991" s="3">
        <f t="shared" si="45"/>
        <v>69001683764</v>
      </c>
      <c r="J991" s="3">
        <v>150245000</v>
      </c>
      <c r="K991" s="3">
        <f t="shared" si="46"/>
        <v>331898717250</v>
      </c>
      <c r="M991" s="4">
        <f t="shared" si="47"/>
        <v>0.79210017942906041</v>
      </c>
    </row>
    <row r="992" spans="1:13" x14ac:dyDescent="0.45">
      <c r="A992" s="2">
        <v>44488</v>
      </c>
      <c r="B992" s="1">
        <v>10615.65</v>
      </c>
      <c r="D992" s="2">
        <v>44488</v>
      </c>
      <c r="E992" s="1">
        <v>2309.15</v>
      </c>
      <c r="G992" s="3">
        <v>6452615</v>
      </c>
      <c r="H992" s="3">
        <f t="shared" si="45"/>
        <v>68498702424.75</v>
      </c>
      <c r="J992" s="3">
        <v>150245000</v>
      </c>
      <c r="K992" s="3">
        <f t="shared" si="46"/>
        <v>346938241750</v>
      </c>
      <c r="M992" s="4">
        <f t="shared" si="47"/>
        <v>0.80256225984419027</v>
      </c>
    </row>
    <row r="993" spans="1:13" x14ac:dyDescent="0.45">
      <c r="A993" s="2">
        <v>44487</v>
      </c>
      <c r="B993" s="1">
        <v>11519.9</v>
      </c>
      <c r="D993" s="2">
        <v>44487</v>
      </c>
      <c r="E993" s="1">
        <v>2332.3000000000002</v>
      </c>
      <c r="G993" s="3">
        <v>6452615</v>
      </c>
      <c r="H993" s="3">
        <f t="shared" si="45"/>
        <v>74333479538.5</v>
      </c>
      <c r="J993" s="3">
        <v>150245000</v>
      </c>
      <c r="K993" s="3">
        <f t="shared" si="46"/>
        <v>350416413500</v>
      </c>
      <c r="M993" s="4">
        <f t="shared" si="47"/>
        <v>0.78787101096079226</v>
      </c>
    </row>
    <row r="994" spans="1:13" x14ac:dyDescent="0.45">
      <c r="A994" s="2">
        <v>44483</v>
      </c>
      <c r="B994" s="1">
        <v>12336.95</v>
      </c>
      <c r="D994" s="2">
        <v>44483</v>
      </c>
      <c r="E994" s="1">
        <v>2411.75</v>
      </c>
      <c r="G994" s="3">
        <v>6452615</v>
      </c>
      <c r="H994" s="3">
        <f t="shared" si="45"/>
        <v>79605588624.25</v>
      </c>
      <c r="J994" s="3">
        <v>150245000</v>
      </c>
      <c r="K994" s="3">
        <f t="shared" si="46"/>
        <v>362353378750</v>
      </c>
      <c r="M994" s="4">
        <f t="shared" si="47"/>
        <v>0.78030951746920896</v>
      </c>
    </row>
    <row r="995" spans="1:13" x14ac:dyDescent="0.45">
      <c r="A995" s="2">
        <v>44482</v>
      </c>
      <c r="B995" s="1">
        <v>12562.7</v>
      </c>
      <c r="D995" s="2">
        <v>44482</v>
      </c>
      <c r="E995" s="1">
        <v>2406</v>
      </c>
      <c r="G995" s="3">
        <v>6452615</v>
      </c>
      <c r="H995" s="3">
        <f t="shared" si="45"/>
        <v>81062266460.5</v>
      </c>
      <c r="J995" s="3">
        <v>150245000</v>
      </c>
      <c r="K995" s="3">
        <f t="shared" si="46"/>
        <v>361489470000</v>
      </c>
      <c r="M995" s="4">
        <f t="shared" si="47"/>
        <v>0.77575483329984685</v>
      </c>
    </row>
    <row r="996" spans="1:13" x14ac:dyDescent="0.45">
      <c r="A996" s="2">
        <v>44481</v>
      </c>
      <c r="B996" s="1">
        <v>12614.15</v>
      </c>
      <c r="D996" s="2">
        <v>44481</v>
      </c>
      <c r="E996" s="1">
        <v>12449.9</v>
      </c>
      <c r="G996" s="3">
        <v>6452615</v>
      </c>
      <c r="H996" s="3">
        <f t="shared" si="45"/>
        <v>81394253502.25</v>
      </c>
      <c r="J996" s="3">
        <v>30049000</v>
      </c>
      <c r="K996" s="3">
        <f t="shared" si="46"/>
        <v>374107045100</v>
      </c>
      <c r="M996" s="4">
        <f t="shared" si="47"/>
        <v>0.78243057817718176</v>
      </c>
    </row>
    <row r="997" spans="1:13" x14ac:dyDescent="0.45">
      <c r="A997" s="2">
        <v>44480</v>
      </c>
      <c r="B997" s="1">
        <v>12334.6</v>
      </c>
      <c r="D997" s="2">
        <v>44480</v>
      </c>
      <c r="E997" s="1">
        <v>12039.75</v>
      </c>
      <c r="G997" s="3">
        <v>6452615</v>
      </c>
      <c r="H997" s="3">
        <f t="shared" si="45"/>
        <v>79590424979</v>
      </c>
      <c r="J997" s="3">
        <v>30049000</v>
      </c>
      <c r="K997" s="3">
        <f t="shared" si="46"/>
        <v>361782447750</v>
      </c>
      <c r="M997" s="4">
        <f t="shared" si="47"/>
        <v>0.78000473634365253</v>
      </c>
    </row>
    <row r="998" spans="1:13" x14ac:dyDescent="0.45">
      <c r="A998" s="2">
        <v>44477</v>
      </c>
      <c r="B998" s="1">
        <v>12186.1</v>
      </c>
      <c r="D998" s="2">
        <v>44477</v>
      </c>
      <c r="E998" s="1">
        <v>11942.4</v>
      </c>
      <c r="G998" s="3">
        <v>6452615</v>
      </c>
      <c r="H998" s="3">
        <f t="shared" si="45"/>
        <v>78632211651.5</v>
      </c>
      <c r="J998" s="3">
        <v>30049000</v>
      </c>
      <c r="K998" s="3">
        <f t="shared" si="46"/>
        <v>358857177600</v>
      </c>
      <c r="M998" s="4">
        <f t="shared" si="47"/>
        <v>0.78088159702591387</v>
      </c>
    </row>
    <row r="999" spans="1:13" x14ac:dyDescent="0.45">
      <c r="A999" s="2">
        <v>44476</v>
      </c>
      <c r="B999" s="1">
        <v>11778.45</v>
      </c>
      <c r="D999" s="2">
        <v>44476</v>
      </c>
      <c r="E999" s="1">
        <v>11585.3</v>
      </c>
      <c r="G999" s="3">
        <v>6452615</v>
      </c>
      <c r="H999" s="3">
        <f t="shared" si="45"/>
        <v>76001803146.75</v>
      </c>
      <c r="J999" s="3">
        <v>30049000</v>
      </c>
      <c r="K999" s="3">
        <f t="shared" si="46"/>
        <v>348126679700</v>
      </c>
      <c r="M999" s="4">
        <f t="shared" si="47"/>
        <v>0.7816834859877877</v>
      </c>
    </row>
    <row r="1000" spans="1:13" x14ac:dyDescent="0.45">
      <c r="A1000" s="2">
        <v>44475</v>
      </c>
      <c r="B1000" s="1">
        <v>11514.65</v>
      </c>
      <c r="D1000" s="2">
        <v>44475</v>
      </c>
      <c r="E1000" s="1">
        <v>11402.9</v>
      </c>
      <c r="G1000" s="3">
        <v>6452615</v>
      </c>
      <c r="H1000" s="3">
        <f t="shared" si="45"/>
        <v>74299603309.75</v>
      </c>
      <c r="J1000" s="3">
        <v>30049000</v>
      </c>
      <c r="K1000" s="3">
        <f t="shared" si="46"/>
        <v>342645742100</v>
      </c>
      <c r="M1000" s="4">
        <f t="shared" si="47"/>
        <v>0.78315912273012889</v>
      </c>
    </row>
    <row r="1001" spans="1:13" x14ac:dyDescent="0.45">
      <c r="A1001" s="2">
        <v>44474</v>
      </c>
      <c r="B1001" s="1">
        <v>11714.25</v>
      </c>
      <c r="D1001" s="2">
        <v>44474</v>
      </c>
      <c r="E1001" s="1">
        <v>11486.4</v>
      </c>
      <c r="G1001" s="3">
        <v>6452615</v>
      </c>
      <c r="H1001" s="3">
        <f t="shared" si="45"/>
        <v>75587545263.75</v>
      </c>
      <c r="J1001" s="3">
        <v>30049000</v>
      </c>
      <c r="K1001" s="3">
        <f t="shared" si="46"/>
        <v>345154833600</v>
      </c>
      <c r="M1001" s="4">
        <f t="shared" si="47"/>
        <v>0.78100394980605015</v>
      </c>
    </row>
    <row r="1002" spans="1:13" x14ac:dyDescent="0.45">
      <c r="A1002" s="2">
        <v>44473</v>
      </c>
      <c r="B1002" s="1">
        <v>11706.35</v>
      </c>
      <c r="D1002" s="2">
        <v>44473</v>
      </c>
      <c r="E1002" s="1">
        <v>11557.1</v>
      </c>
      <c r="G1002" s="3">
        <v>6452615</v>
      </c>
      <c r="H1002" s="3">
        <f t="shared" si="45"/>
        <v>75536569605.25</v>
      </c>
      <c r="J1002" s="3">
        <v>30049000</v>
      </c>
      <c r="K1002" s="3">
        <f t="shared" si="46"/>
        <v>347279297900</v>
      </c>
      <c r="M1002" s="4">
        <f t="shared" si="47"/>
        <v>0.78249043331399226</v>
      </c>
    </row>
    <row r="1003" spans="1:13" x14ac:dyDescent="0.45">
      <c r="A1003" s="2">
        <v>44470</v>
      </c>
      <c r="B1003" s="1">
        <v>11187.2</v>
      </c>
      <c r="D1003" s="2">
        <v>44470</v>
      </c>
      <c r="E1003" s="1">
        <v>11091.4</v>
      </c>
      <c r="G1003" s="3">
        <v>6452615</v>
      </c>
      <c r="H1003" s="3">
        <f t="shared" si="45"/>
        <v>72186694528</v>
      </c>
      <c r="J1003" s="3">
        <v>30049000</v>
      </c>
      <c r="K1003" s="3">
        <f t="shared" si="46"/>
        <v>333285478600</v>
      </c>
      <c r="M1003" s="4">
        <f t="shared" si="47"/>
        <v>0.78340882167675696</v>
      </c>
    </row>
    <row r="1004" spans="1:13" x14ac:dyDescent="0.45">
      <c r="A1004" s="2">
        <v>44469</v>
      </c>
      <c r="B1004" s="1">
        <v>11246.5</v>
      </c>
      <c r="D1004" s="2">
        <v>44469</v>
      </c>
      <c r="E1004" s="1">
        <v>11285.7</v>
      </c>
      <c r="G1004" s="3">
        <v>6452615</v>
      </c>
      <c r="H1004" s="3">
        <f t="shared" si="45"/>
        <v>72569334597.5</v>
      </c>
      <c r="J1004" s="3">
        <v>30049000</v>
      </c>
      <c r="K1004" s="3">
        <f t="shared" si="46"/>
        <v>339123999300</v>
      </c>
      <c r="M1004" s="4">
        <f t="shared" si="47"/>
        <v>0.78600943977042792</v>
      </c>
    </row>
    <row r="1005" spans="1:13" x14ac:dyDescent="0.45">
      <c r="A1005" s="2">
        <v>44468</v>
      </c>
      <c r="B1005" s="1">
        <v>10660.95</v>
      </c>
      <c r="D1005" s="2">
        <v>44468</v>
      </c>
      <c r="E1005" s="1">
        <v>11194.75</v>
      </c>
      <c r="G1005" s="3">
        <v>6452615</v>
      </c>
      <c r="H1005" s="3">
        <f t="shared" si="45"/>
        <v>68791005884.25</v>
      </c>
      <c r="J1005" s="3">
        <v>30049000</v>
      </c>
      <c r="K1005" s="3">
        <f t="shared" si="46"/>
        <v>336391042750</v>
      </c>
      <c r="M1005" s="4">
        <f t="shared" si="47"/>
        <v>0.79550286083159982</v>
      </c>
    </row>
    <row r="1006" spans="1:13" x14ac:dyDescent="0.45">
      <c r="A1006" s="2">
        <v>44467</v>
      </c>
      <c r="B1006" s="1">
        <v>10485.35</v>
      </c>
      <c r="D1006" s="2">
        <v>44467</v>
      </c>
      <c r="E1006" s="1">
        <v>10917.35</v>
      </c>
      <c r="G1006" s="3">
        <v>6452615</v>
      </c>
      <c r="H1006" s="3">
        <f t="shared" si="45"/>
        <v>67657926690.25</v>
      </c>
      <c r="J1006" s="3">
        <v>30049000</v>
      </c>
      <c r="K1006" s="3">
        <f t="shared" si="46"/>
        <v>328055450150</v>
      </c>
      <c r="M1006" s="4">
        <f t="shared" si="47"/>
        <v>0.79376069911560954</v>
      </c>
    </row>
    <row r="1007" spans="1:13" x14ac:dyDescent="0.45">
      <c r="A1007" s="2">
        <v>44466</v>
      </c>
      <c r="B1007" s="1">
        <v>10493.35</v>
      </c>
      <c r="D1007" s="2">
        <v>44466</v>
      </c>
      <c r="E1007" s="1">
        <v>11144.95</v>
      </c>
      <c r="G1007" s="3">
        <v>6452615</v>
      </c>
      <c r="H1007" s="3">
        <f t="shared" si="45"/>
        <v>67709547610.25</v>
      </c>
      <c r="J1007" s="3">
        <v>30049000</v>
      </c>
      <c r="K1007" s="3">
        <f t="shared" si="46"/>
        <v>334894602550</v>
      </c>
      <c r="M1007" s="4">
        <f t="shared" si="47"/>
        <v>0.79781833718821749</v>
      </c>
    </row>
    <row r="1008" spans="1:13" x14ac:dyDescent="0.45">
      <c r="A1008" s="2">
        <v>44463</v>
      </c>
      <c r="B1008" s="1">
        <v>10502.55</v>
      </c>
      <c r="D1008" s="2">
        <v>44463</v>
      </c>
      <c r="E1008" s="1">
        <v>11007.6</v>
      </c>
      <c r="G1008" s="3">
        <v>6452615</v>
      </c>
      <c r="H1008" s="3">
        <f t="shared" si="45"/>
        <v>67768911668.249992</v>
      </c>
      <c r="J1008" s="3">
        <v>30049000</v>
      </c>
      <c r="K1008" s="3">
        <f t="shared" si="46"/>
        <v>330767372400</v>
      </c>
      <c r="M1008" s="4">
        <f t="shared" si="47"/>
        <v>0.79511609268916517</v>
      </c>
    </row>
    <row r="1009" spans="1:13" x14ac:dyDescent="0.45">
      <c r="A1009" s="2">
        <v>44462</v>
      </c>
      <c r="B1009" s="1">
        <v>10673.55</v>
      </c>
      <c r="D1009" s="2">
        <v>44462</v>
      </c>
      <c r="E1009" s="1">
        <v>10995.4</v>
      </c>
      <c r="G1009" s="3">
        <v>6452615</v>
      </c>
      <c r="H1009" s="3">
        <f t="shared" si="45"/>
        <v>68872308833.25</v>
      </c>
      <c r="J1009" s="3">
        <v>30049000</v>
      </c>
      <c r="K1009" s="3">
        <f t="shared" si="46"/>
        <v>330400774600</v>
      </c>
      <c r="M1009" s="4">
        <f t="shared" si="47"/>
        <v>0.79154919077707875</v>
      </c>
    </row>
    <row r="1010" spans="1:13" x14ac:dyDescent="0.45">
      <c r="A1010" s="2">
        <v>44461</v>
      </c>
      <c r="B1010" s="1">
        <v>10419.6</v>
      </c>
      <c r="D1010" s="2">
        <v>44461</v>
      </c>
      <c r="E1010" s="1">
        <v>10734.45</v>
      </c>
      <c r="G1010" s="3">
        <v>6452615</v>
      </c>
      <c r="H1010" s="3">
        <f t="shared" si="45"/>
        <v>67233667254</v>
      </c>
      <c r="J1010" s="3">
        <v>30049000</v>
      </c>
      <c r="K1010" s="3">
        <f t="shared" si="46"/>
        <v>322559488050</v>
      </c>
      <c r="M1010" s="4">
        <f t="shared" si="47"/>
        <v>0.79156196067753526</v>
      </c>
    </row>
    <row r="1011" spans="1:13" x14ac:dyDescent="0.45">
      <c r="A1011" s="2">
        <v>44460</v>
      </c>
      <c r="B1011" s="1">
        <v>10319.950000000001</v>
      </c>
      <c r="D1011" s="2">
        <v>44460</v>
      </c>
      <c r="E1011" s="1">
        <v>10663.25</v>
      </c>
      <c r="G1011" s="3">
        <v>6452615</v>
      </c>
      <c r="H1011" s="3">
        <f t="shared" si="45"/>
        <v>66590664169.250008</v>
      </c>
      <c r="J1011" s="3">
        <v>30049000</v>
      </c>
      <c r="K1011" s="3">
        <f t="shared" si="46"/>
        <v>320419999250</v>
      </c>
      <c r="M1011" s="4">
        <f t="shared" si="47"/>
        <v>0.79217694174796427</v>
      </c>
    </row>
    <row r="1012" spans="1:13" x14ac:dyDescent="0.45">
      <c r="A1012" s="2">
        <v>44459</v>
      </c>
      <c r="B1012" s="1">
        <v>10222.85</v>
      </c>
      <c r="D1012" s="2">
        <v>44459</v>
      </c>
      <c r="E1012" s="1">
        <v>10611.2</v>
      </c>
      <c r="G1012" s="3">
        <v>6452615</v>
      </c>
      <c r="H1012" s="3">
        <f t="shared" si="45"/>
        <v>65964115252.75</v>
      </c>
      <c r="J1012" s="3">
        <v>30049000</v>
      </c>
      <c r="K1012" s="3">
        <f t="shared" si="46"/>
        <v>318855948800</v>
      </c>
      <c r="M1012" s="4">
        <f t="shared" si="47"/>
        <v>0.79312251974284009</v>
      </c>
    </row>
    <row r="1013" spans="1:13" x14ac:dyDescent="0.45">
      <c r="A1013" s="2">
        <v>44456</v>
      </c>
      <c r="B1013" s="1">
        <v>10885.95</v>
      </c>
      <c r="D1013" s="2">
        <v>44456</v>
      </c>
      <c r="E1013" s="1">
        <v>11101.15</v>
      </c>
      <c r="G1013" s="3">
        <v>6452615</v>
      </c>
      <c r="H1013" s="3">
        <f t="shared" si="45"/>
        <v>70242844259.25</v>
      </c>
      <c r="J1013" s="3">
        <v>30049000</v>
      </c>
      <c r="K1013" s="3">
        <f t="shared" si="46"/>
        <v>333578456350</v>
      </c>
      <c r="M1013" s="4">
        <f t="shared" si="47"/>
        <v>0.78942631659177287</v>
      </c>
    </row>
    <row r="1014" spans="1:13" x14ac:dyDescent="0.45">
      <c r="A1014" s="2">
        <v>44455</v>
      </c>
      <c r="B1014" s="1">
        <v>11278.05</v>
      </c>
      <c r="D1014" s="2">
        <v>44455</v>
      </c>
      <c r="E1014" s="1">
        <v>11345.8</v>
      </c>
      <c r="G1014" s="3">
        <v>6452615</v>
      </c>
      <c r="H1014" s="3">
        <f t="shared" si="45"/>
        <v>72772914600.75</v>
      </c>
      <c r="J1014" s="3">
        <v>30049000</v>
      </c>
      <c r="K1014" s="3">
        <f t="shared" si="46"/>
        <v>340929944200</v>
      </c>
      <c r="M1014" s="4">
        <f t="shared" si="47"/>
        <v>0.78654584075472356</v>
      </c>
    </row>
    <row r="1015" spans="1:13" x14ac:dyDescent="0.45">
      <c r="A1015" s="2">
        <v>44454</v>
      </c>
      <c r="B1015" s="1">
        <v>11473.6</v>
      </c>
      <c r="D1015" s="2">
        <v>44454</v>
      </c>
      <c r="E1015" s="1">
        <v>11219.5</v>
      </c>
      <c r="G1015" s="3">
        <v>6452615</v>
      </c>
      <c r="H1015" s="3">
        <f t="shared" si="45"/>
        <v>74034723464</v>
      </c>
      <c r="J1015" s="3">
        <v>30049000</v>
      </c>
      <c r="K1015" s="3">
        <f t="shared" si="46"/>
        <v>337134755500</v>
      </c>
      <c r="M1015" s="4">
        <f t="shared" si="47"/>
        <v>0.78040020420261891</v>
      </c>
    </row>
    <row r="1016" spans="1:13" x14ac:dyDescent="0.45">
      <c r="A1016" s="2">
        <v>44453</v>
      </c>
      <c r="B1016" s="1">
        <v>11276.05</v>
      </c>
      <c r="D1016" s="2">
        <v>44453</v>
      </c>
      <c r="E1016" s="1">
        <v>10679.05</v>
      </c>
      <c r="G1016" s="3">
        <v>6452615</v>
      </c>
      <c r="H1016" s="3">
        <f t="shared" si="45"/>
        <v>72760009370.75</v>
      </c>
      <c r="J1016" s="3">
        <v>30049000</v>
      </c>
      <c r="K1016" s="3">
        <f t="shared" si="46"/>
        <v>320894773450</v>
      </c>
      <c r="M1016" s="4">
        <f t="shared" si="47"/>
        <v>0.77325897649097408</v>
      </c>
    </row>
    <row r="1017" spans="1:13" x14ac:dyDescent="0.45">
      <c r="A1017" s="2">
        <v>44452</v>
      </c>
      <c r="B1017" s="1">
        <v>10927.3</v>
      </c>
      <c r="D1017" s="2">
        <v>44452</v>
      </c>
      <c r="E1017" s="1">
        <v>10685.9</v>
      </c>
      <c r="G1017" s="3">
        <v>6452615</v>
      </c>
      <c r="H1017" s="3">
        <f t="shared" si="45"/>
        <v>70509659889.5</v>
      </c>
      <c r="J1017" s="3">
        <v>30049000</v>
      </c>
      <c r="K1017" s="3">
        <f t="shared" si="46"/>
        <v>321100609100</v>
      </c>
      <c r="M1017" s="4">
        <f t="shared" si="47"/>
        <v>0.78041256263222702</v>
      </c>
    </row>
    <row r="1018" spans="1:13" x14ac:dyDescent="0.45">
      <c r="A1018" s="2">
        <v>44448</v>
      </c>
      <c r="B1018" s="1">
        <v>10477.549999999999</v>
      </c>
      <c r="D1018" s="2">
        <v>44448</v>
      </c>
      <c r="E1018" s="1">
        <v>10329.549999999999</v>
      </c>
      <c r="G1018" s="3">
        <v>6452615</v>
      </c>
      <c r="H1018" s="3">
        <f t="shared" si="45"/>
        <v>67607596293.249992</v>
      </c>
      <c r="J1018" s="3">
        <v>30049000</v>
      </c>
      <c r="K1018" s="3">
        <f t="shared" si="46"/>
        <v>310392647950</v>
      </c>
      <c r="M1018" s="4">
        <f t="shared" si="47"/>
        <v>0.78218686318839403</v>
      </c>
    </row>
    <row r="1019" spans="1:13" x14ac:dyDescent="0.45">
      <c r="A1019" s="2">
        <v>44447</v>
      </c>
      <c r="B1019" s="1">
        <v>10380.799999999999</v>
      </c>
      <c r="D1019" s="2">
        <v>44447</v>
      </c>
      <c r="E1019" s="1">
        <v>10167</v>
      </c>
      <c r="G1019" s="3">
        <v>6452615</v>
      </c>
      <c r="H1019" s="3">
        <f t="shared" si="45"/>
        <v>66983305791.999992</v>
      </c>
      <c r="J1019" s="3">
        <v>30049000</v>
      </c>
      <c r="K1019" s="3">
        <f t="shared" si="46"/>
        <v>305508183000</v>
      </c>
      <c r="M1019" s="4">
        <f t="shared" si="47"/>
        <v>0.78074791603208871</v>
      </c>
    </row>
    <row r="1020" spans="1:13" x14ac:dyDescent="0.45">
      <c r="A1020" s="2">
        <v>44446</v>
      </c>
      <c r="B1020" s="1">
        <v>10391.15</v>
      </c>
      <c r="D1020" s="2">
        <v>44446</v>
      </c>
      <c r="E1020" s="1">
        <v>10155.700000000001</v>
      </c>
      <c r="G1020" s="3">
        <v>6452615</v>
      </c>
      <c r="H1020" s="3">
        <f t="shared" si="45"/>
        <v>67050090357.25</v>
      </c>
      <c r="J1020" s="3">
        <v>30049000</v>
      </c>
      <c r="K1020" s="3">
        <f t="shared" si="46"/>
        <v>305168629300</v>
      </c>
      <c r="M1020" s="4">
        <f t="shared" si="47"/>
        <v>0.78028511478702633</v>
      </c>
    </row>
    <row r="1021" spans="1:13" x14ac:dyDescent="0.45">
      <c r="A1021" s="2">
        <v>44445</v>
      </c>
      <c r="B1021" s="1">
        <v>10790.3</v>
      </c>
      <c r="D1021" s="2">
        <v>44445</v>
      </c>
      <c r="E1021" s="1">
        <v>10233.25</v>
      </c>
      <c r="G1021" s="3">
        <v>6452615</v>
      </c>
      <c r="H1021" s="3">
        <f t="shared" si="45"/>
        <v>69625651634.5</v>
      </c>
      <c r="J1021" s="3">
        <v>30049000</v>
      </c>
      <c r="K1021" s="3">
        <f t="shared" si="46"/>
        <v>307498929250</v>
      </c>
      <c r="M1021" s="4">
        <f t="shared" si="47"/>
        <v>0.77357432819581107</v>
      </c>
    </row>
    <row r="1022" spans="1:13" x14ac:dyDescent="0.45">
      <c r="A1022" s="2">
        <v>44442</v>
      </c>
      <c r="B1022" s="1">
        <v>10918.4</v>
      </c>
      <c r="D1022" s="2">
        <v>44442</v>
      </c>
      <c r="E1022" s="1">
        <v>10341.1</v>
      </c>
      <c r="G1022" s="3">
        <v>6452615</v>
      </c>
      <c r="H1022" s="3">
        <f t="shared" si="45"/>
        <v>70452231616</v>
      </c>
      <c r="J1022" s="3">
        <v>30049000</v>
      </c>
      <c r="K1022" s="3">
        <f t="shared" si="46"/>
        <v>310739713900</v>
      </c>
      <c r="M1022" s="4">
        <f t="shared" si="47"/>
        <v>0.77327574022716505</v>
      </c>
    </row>
    <row r="1023" spans="1:13" x14ac:dyDescent="0.45">
      <c r="A1023" s="2">
        <v>44441</v>
      </c>
      <c r="B1023" s="1">
        <v>10713.75</v>
      </c>
      <c r="D1023" s="2">
        <v>44441</v>
      </c>
      <c r="E1023" s="1">
        <v>10168.799999999999</v>
      </c>
      <c r="G1023" s="3">
        <v>6452615</v>
      </c>
      <c r="H1023" s="3">
        <f t="shared" si="45"/>
        <v>69131703956.25</v>
      </c>
      <c r="J1023" s="3">
        <v>30049000</v>
      </c>
      <c r="K1023" s="3">
        <f t="shared" si="46"/>
        <v>305562271200</v>
      </c>
      <c r="M1023" s="4">
        <f t="shared" si="47"/>
        <v>0.77375575955514109</v>
      </c>
    </row>
    <row r="1024" spans="1:13" x14ac:dyDescent="0.45">
      <c r="A1024" s="2">
        <v>44440</v>
      </c>
      <c r="B1024" s="1">
        <v>10511.2</v>
      </c>
      <c r="D1024" s="2">
        <v>44440</v>
      </c>
      <c r="E1024" s="1">
        <v>9931.85</v>
      </c>
      <c r="G1024" s="3">
        <v>6452615</v>
      </c>
      <c r="H1024" s="3">
        <f t="shared" si="45"/>
        <v>67824726788.000008</v>
      </c>
      <c r="J1024" s="3">
        <v>30049000</v>
      </c>
      <c r="K1024" s="3">
        <f t="shared" si="46"/>
        <v>298442160650</v>
      </c>
      <c r="M1024" s="4">
        <f t="shared" si="47"/>
        <v>0.77273744889033325</v>
      </c>
    </row>
    <row r="1025" spans="1:13" x14ac:dyDescent="0.45">
      <c r="A1025" s="2">
        <v>44439</v>
      </c>
      <c r="B1025" s="1">
        <v>10692.7</v>
      </c>
      <c r="D1025" s="2">
        <v>44439</v>
      </c>
      <c r="E1025" s="1">
        <v>10140.65</v>
      </c>
      <c r="G1025" s="3">
        <v>6452615</v>
      </c>
      <c r="H1025" s="3">
        <f t="shared" si="45"/>
        <v>68995876410.5</v>
      </c>
      <c r="J1025" s="3">
        <v>30049000</v>
      </c>
      <c r="K1025" s="3">
        <f t="shared" si="46"/>
        <v>304716391850</v>
      </c>
      <c r="M1025" s="4">
        <f t="shared" si="47"/>
        <v>0.77357346616107225</v>
      </c>
    </row>
    <row r="1026" spans="1:13" x14ac:dyDescent="0.45">
      <c r="A1026" s="2">
        <v>44438</v>
      </c>
      <c r="B1026" s="1">
        <v>10361.450000000001</v>
      </c>
      <c r="D1026" s="2">
        <v>44438</v>
      </c>
      <c r="E1026" s="1">
        <v>9711.5499999999993</v>
      </c>
      <c r="G1026" s="3">
        <v>6452615</v>
      </c>
      <c r="H1026" s="3">
        <f t="shared" si="45"/>
        <v>66858447691.750008</v>
      </c>
      <c r="J1026" s="3">
        <v>30049000</v>
      </c>
      <c r="K1026" s="3">
        <f t="shared" si="46"/>
        <v>291822365950</v>
      </c>
      <c r="M1026" s="4">
        <f t="shared" si="47"/>
        <v>0.77089333960370487</v>
      </c>
    </row>
    <row r="1027" spans="1:13" x14ac:dyDescent="0.45">
      <c r="A1027" s="2">
        <v>44435</v>
      </c>
      <c r="B1027" s="1">
        <v>10080.950000000001</v>
      </c>
      <c r="D1027" s="2">
        <v>44435</v>
      </c>
      <c r="E1027" s="1">
        <v>9425.6</v>
      </c>
      <c r="G1027" s="3">
        <v>6452615</v>
      </c>
      <c r="H1027" s="3">
        <f t="shared" si="45"/>
        <v>65048489184.250008</v>
      </c>
      <c r="J1027" s="3">
        <v>30049000</v>
      </c>
      <c r="K1027" s="3">
        <f t="shared" si="46"/>
        <v>283229854400</v>
      </c>
      <c r="M1027" s="4">
        <f t="shared" si="47"/>
        <v>0.77033321814873623</v>
      </c>
    </row>
    <row r="1028" spans="1:13" x14ac:dyDescent="0.45">
      <c r="A1028" s="2">
        <v>44434</v>
      </c>
      <c r="B1028" s="1">
        <v>9363.2999999999993</v>
      </c>
      <c r="D1028" s="2">
        <v>44434</v>
      </c>
      <c r="E1028" s="1">
        <v>9059.15</v>
      </c>
      <c r="G1028" s="3">
        <v>6452615</v>
      </c>
      <c r="H1028" s="3">
        <f t="shared" ref="H1028:H1091" si="48">+G1028*B1028</f>
        <v>60417770029.499992</v>
      </c>
      <c r="J1028" s="3">
        <v>30049000</v>
      </c>
      <c r="K1028" s="3">
        <f t="shared" ref="K1028:K1091" si="49">+J1028*E1028</f>
        <v>272218398350</v>
      </c>
      <c r="M1028" s="4">
        <f t="shared" ref="M1028:M1091" si="50">1- (H1028/K1028)</f>
        <v>0.77805405367267311</v>
      </c>
    </row>
    <row r="1029" spans="1:13" x14ac:dyDescent="0.45">
      <c r="A1029" s="2">
        <v>44433</v>
      </c>
      <c r="B1029" s="1">
        <v>9296.35</v>
      </c>
      <c r="D1029" s="2">
        <v>44433</v>
      </c>
      <c r="E1029" s="1">
        <v>8929.65</v>
      </c>
      <c r="G1029" s="3">
        <v>6452615</v>
      </c>
      <c r="H1029" s="3">
        <f t="shared" si="48"/>
        <v>59985767455.25</v>
      </c>
      <c r="J1029" s="3">
        <v>30049000</v>
      </c>
      <c r="K1029" s="3">
        <f t="shared" si="49"/>
        <v>268327052850</v>
      </c>
      <c r="M1029" s="4">
        <f t="shared" si="50"/>
        <v>0.77644532365216556</v>
      </c>
    </row>
    <row r="1030" spans="1:13" x14ac:dyDescent="0.45">
      <c r="A1030" s="2">
        <v>44432</v>
      </c>
      <c r="B1030" s="1">
        <v>9188.1</v>
      </c>
      <c r="D1030" s="2">
        <v>44432</v>
      </c>
      <c r="E1030" s="1">
        <v>8979.1</v>
      </c>
      <c r="G1030" s="3">
        <v>6452615</v>
      </c>
      <c r="H1030" s="3">
        <f t="shared" si="48"/>
        <v>59287271881.5</v>
      </c>
      <c r="J1030" s="3">
        <v>30049000</v>
      </c>
      <c r="K1030" s="3">
        <f t="shared" si="49"/>
        <v>269812975900</v>
      </c>
      <c r="M1030" s="4">
        <f t="shared" si="50"/>
        <v>0.78026530531476934</v>
      </c>
    </row>
    <row r="1031" spans="1:13" x14ac:dyDescent="0.45">
      <c r="A1031" s="2">
        <v>44431</v>
      </c>
      <c r="B1031" s="1">
        <v>9039.4</v>
      </c>
      <c r="D1031" s="2">
        <v>44431</v>
      </c>
      <c r="E1031" s="1">
        <v>8970.2000000000007</v>
      </c>
      <c r="G1031" s="3">
        <v>6452615</v>
      </c>
      <c r="H1031" s="3">
        <f t="shared" si="48"/>
        <v>58327768031</v>
      </c>
      <c r="J1031" s="3">
        <v>30049000</v>
      </c>
      <c r="K1031" s="3">
        <f t="shared" si="49"/>
        <v>269545539800.00003</v>
      </c>
      <c r="M1031" s="4">
        <f t="shared" si="50"/>
        <v>0.78360699986251459</v>
      </c>
    </row>
    <row r="1032" spans="1:13" x14ac:dyDescent="0.45">
      <c r="A1032" s="2">
        <v>44428</v>
      </c>
      <c r="B1032" s="1">
        <v>9307.2999999999993</v>
      </c>
      <c r="D1032" s="2">
        <v>44428</v>
      </c>
      <c r="E1032" s="1">
        <v>8902</v>
      </c>
      <c r="G1032" s="3">
        <v>6452615</v>
      </c>
      <c r="H1032" s="3">
        <f t="shared" si="48"/>
        <v>60056423589.499992</v>
      </c>
      <c r="J1032" s="3">
        <v>30049000</v>
      </c>
      <c r="K1032" s="3">
        <f t="shared" si="49"/>
        <v>267496198000</v>
      </c>
      <c r="M1032" s="4">
        <f t="shared" si="50"/>
        <v>0.77548681424810384</v>
      </c>
    </row>
    <row r="1033" spans="1:13" x14ac:dyDescent="0.45">
      <c r="A1033" s="2">
        <v>44426</v>
      </c>
      <c r="B1033" s="1">
        <v>9428.2000000000007</v>
      </c>
      <c r="D1033" s="2">
        <v>44426</v>
      </c>
      <c r="E1033" s="1">
        <v>8981.35</v>
      </c>
      <c r="G1033" s="3">
        <v>6452615</v>
      </c>
      <c r="H1033" s="3">
        <f t="shared" si="48"/>
        <v>60836544743.000008</v>
      </c>
      <c r="J1033" s="3">
        <v>30049000</v>
      </c>
      <c r="K1033" s="3">
        <f t="shared" si="49"/>
        <v>269880586150</v>
      </c>
      <c r="M1033" s="4">
        <f t="shared" si="50"/>
        <v>0.77457976651500615</v>
      </c>
    </row>
    <row r="1034" spans="1:13" x14ac:dyDescent="0.45">
      <c r="A1034" s="2">
        <v>44425</v>
      </c>
      <c r="B1034" s="1">
        <v>9530.75</v>
      </c>
      <c r="D1034" s="2">
        <v>44425</v>
      </c>
      <c r="E1034" s="1">
        <v>9124.9500000000007</v>
      </c>
      <c r="G1034" s="3">
        <v>6452615</v>
      </c>
      <c r="H1034" s="3">
        <f t="shared" si="48"/>
        <v>61498260411.25</v>
      </c>
      <c r="J1034" s="3">
        <v>30049000</v>
      </c>
      <c r="K1034" s="3">
        <f t="shared" si="49"/>
        <v>274195622550.00003</v>
      </c>
      <c r="M1034" s="4">
        <f t="shared" si="50"/>
        <v>0.77571392336857714</v>
      </c>
    </row>
    <row r="1035" spans="1:13" x14ac:dyDescent="0.45">
      <c r="A1035" s="2">
        <v>44424</v>
      </c>
      <c r="B1035" s="1">
        <v>9346.85</v>
      </c>
      <c r="D1035" s="2">
        <v>44424</v>
      </c>
      <c r="E1035" s="1">
        <v>8791.9</v>
      </c>
      <c r="G1035" s="3">
        <v>6452615</v>
      </c>
      <c r="H1035" s="3">
        <f t="shared" si="48"/>
        <v>60311624512.75</v>
      </c>
      <c r="J1035" s="3">
        <v>30049000</v>
      </c>
      <c r="K1035" s="3">
        <f t="shared" si="49"/>
        <v>264187803100</v>
      </c>
      <c r="M1035" s="4">
        <f t="shared" si="50"/>
        <v>0.77170927724501759</v>
      </c>
    </row>
    <row r="1036" spans="1:13" x14ac:dyDescent="0.45">
      <c r="A1036" s="2">
        <v>44421</v>
      </c>
      <c r="B1036" s="1">
        <v>9347.9500000000007</v>
      </c>
      <c r="D1036" s="2">
        <v>44421</v>
      </c>
      <c r="E1036" s="1">
        <v>8858.25</v>
      </c>
      <c r="G1036" s="3">
        <v>6452615</v>
      </c>
      <c r="H1036" s="3">
        <f t="shared" si="48"/>
        <v>60318722389.250008</v>
      </c>
      <c r="J1036" s="3">
        <v>30049000</v>
      </c>
      <c r="K1036" s="3">
        <f t="shared" si="49"/>
        <v>266181554250</v>
      </c>
      <c r="M1036" s="4">
        <f t="shared" si="50"/>
        <v>0.77339255321727463</v>
      </c>
    </row>
    <row r="1037" spans="1:13" x14ac:dyDescent="0.45">
      <c r="A1037" s="2">
        <v>44420</v>
      </c>
      <c r="B1037" s="1">
        <v>9635.35</v>
      </c>
      <c r="D1037" s="2">
        <v>44420</v>
      </c>
      <c r="E1037" s="1">
        <v>8804.6</v>
      </c>
      <c r="G1037" s="3">
        <v>6452615</v>
      </c>
      <c r="H1037" s="3">
        <f t="shared" si="48"/>
        <v>62173203940.25</v>
      </c>
      <c r="J1037" s="3">
        <v>30049000</v>
      </c>
      <c r="K1037" s="3">
        <f t="shared" si="49"/>
        <v>264569425400</v>
      </c>
      <c r="M1037" s="4">
        <f t="shared" si="50"/>
        <v>0.76500230952140091</v>
      </c>
    </row>
    <row r="1038" spans="1:13" x14ac:dyDescent="0.45">
      <c r="A1038" s="2">
        <v>44419</v>
      </c>
      <c r="B1038" s="1">
        <v>9262.2999999999993</v>
      </c>
      <c r="D1038" s="2">
        <v>44419</v>
      </c>
      <c r="E1038" s="1">
        <v>8756.1</v>
      </c>
      <c r="G1038" s="3">
        <v>6452615</v>
      </c>
      <c r="H1038" s="3">
        <f t="shared" si="48"/>
        <v>59766055914.499992</v>
      </c>
      <c r="J1038" s="3">
        <v>30049000</v>
      </c>
      <c r="K1038" s="3">
        <f t="shared" si="49"/>
        <v>263112048900</v>
      </c>
      <c r="M1038" s="4">
        <f t="shared" si="50"/>
        <v>0.77284941467194057</v>
      </c>
    </row>
    <row r="1039" spans="1:13" x14ac:dyDescent="0.45">
      <c r="A1039" s="2">
        <v>44418</v>
      </c>
      <c r="B1039" s="1">
        <v>9338.0499999999993</v>
      </c>
      <c r="D1039" s="2">
        <v>44418</v>
      </c>
      <c r="E1039" s="1">
        <v>8860.75</v>
      </c>
      <c r="G1039" s="3">
        <v>6452615</v>
      </c>
      <c r="H1039" s="3">
        <f t="shared" si="48"/>
        <v>60254841500.749992</v>
      </c>
      <c r="J1039" s="3">
        <v>30049000</v>
      </c>
      <c r="K1039" s="3">
        <f t="shared" si="49"/>
        <v>266256676750</v>
      </c>
      <c r="M1039" s="4">
        <f t="shared" si="50"/>
        <v>0.77369641116145271</v>
      </c>
    </row>
    <row r="1040" spans="1:13" x14ac:dyDescent="0.45">
      <c r="A1040" s="2">
        <v>44417</v>
      </c>
      <c r="B1040" s="1">
        <v>10019.65</v>
      </c>
      <c r="D1040" s="2">
        <v>44417</v>
      </c>
      <c r="E1040" s="1">
        <v>8956.2000000000007</v>
      </c>
      <c r="G1040" s="3">
        <v>6452615</v>
      </c>
      <c r="H1040" s="3">
        <f t="shared" si="48"/>
        <v>64652943884.75</v>
      </c>
      <c r="J1040" s="3">
        <v>30049000</v>
      </c>
      <c r="K1040" s="3">
        <f t="shared" si="49"/>
        <v>269124853800.00003</v>
      </c>
      <c r="M1040" s="4">
        <f t="shared" si="50"/>
        <v>0.75976598604008239</v>
      </c>
    </row>
    <row r="1041" spans="1:13" x14ac:dyDescent="0.45">
      <c r="A1041" s="2">
        <v>44414</v>
      </c>
      <c r="B1041" s="1">
        <v>10014.299999999999</v>
      </c>
      <c r="D1041" s="2">
        <v>44414</v>
      </c>
      <c r="E1041" s="1">
        <v>8904.9</v>
      </c>
      <c r="G1041" s="3">
        <v>6452615</v>
      </c>
      <c r="H1041" s="3">
        <f t="shared" si="48"/>
        <v>64618422394.499992</v>
      </c>
      <c r="J1041" s="3">
        <v>30049000</v>
      </c>
      <c r="K1041" s="3">
        <f t="shared" si="49"/>
        <v>267583340100</v>
      </c>
      <c r="M1041" s="4">
        <f t="shared" si="50"/>
        <v>0.75851104044687123</v>
      </c>
    </row>
    <row r="1042" spans="1:13" x14ac:dyDescent="0.45">
      <c r="A1042" s="2">
        <v>44413</v>
      </c>
      <c r="B1042" s="1">
        <v>10214.75</v>
      </c>
      <c r="D1042" s="2">
        <v>44413</v>
      </c>
      <c r="E1042" s="1">
        <v>8989.35</v>
      </c>
      <c r="G1042" s="3">
        <v>6452615</v>
      </c>
      <c r="H1042" s="3">
        <f t="shared" si="48"/>
        <v>65911849071.25</v>
      </c>
      <c r="J1042" s="3">
        <v>30049000</v>
      </c>
      <c r="K1042" s="3">
        <f t="shared" si="49"/>
        <v>270120978150</v>
      </c>
      <c r="M1042" s="4">
        <f t="shared" si="50"/>
        <v>0.75599137274466444</v>
      </c>
    </row>
    <row r="1043" spans="1:13" x14ac:dyDescent="0.45">
      <c r="A1043" s="2">
        <v>44412</v>
      </c>
      <c r="B1043" s="1">
        <v>10444.65</v>
      </c>
      <c r="D1043" s="2">
        <v>44412</v>
      </c>
      <c r="E1043" s="1">
        <v>9012.4</v>
      </c>
      <c r="G1043" s="3">
        <v>6452615</v>
      </c>
      <c r="H1043" s="3">
        <f t="shared" si="48"/>
        <v>67395305259.75</v>
      </c>
      <c r="J1043" s="3">
        <v>30049000</v>
      </c>
      <c r="K1043" s="3">
        <f t="shared" si="49"/>
        <v>270813607600</v>
      </c>
      <c r="M1043" s="4">
        <f t="shared" si="50"/>
        <v>0.75113767045526414</v>
      </c>
    </row>
    <row r="1044" spans="1:13" x14ac:dyDescent="0.45">
      <c r="A1044" s="2">
        <v>44411</v>
      </c>
      <c r="B1044" s="1">
        <v>10654.65</v>
      </c>
      <c r="D1044" s="2">
        <v>44411</v>
      </c>
      <c r="E1044" s="1">
        <v>9050.35</v>
      </c>
      <c r="G1044" s="3">
        <v>6452615</v>
      </c>
      <c r="H1044" s="3">
        <f t="shared" si="48"/>
        <v>68750354409.75</v>
      </c>
      <c r="J1044" s="3">
        <v>30049000</v>
      </c>
      <c r="K1044" s="3">
        <f t="shared" si="49"/>
        <v>271953967150</v>
      </c>
      <c r="M1044" s="4">
        <f t="shared" si="50"/>
        <v>0.74719856036580712</v>
      </c>
    </row>
    <row r="1045" spans="1:13" x14ac:dyDescent="0.45">
      <c r="A1045" s="2">
        <v>44410</v>
      </c>
      <c r="B1045" s="1">
        <v>10810.7</v>
      </c>
      <c r="D1045" s="2">
        <v>44410</v>
      </c>
      <c r="E1045" s="1">
        <v>8998.0499999999993</v>
      </c>
      <c r="G1045" s="3">
        <v>6452615</v>
      </c>
      <c r="H1045" s="3">
        <f t="shared" si="48"/>
        <v>69757284980.5</v>
      </c>
      <c r="J1045" s="3">
        <v>30049000</v>
      </c>
      <c r="K1045" s="3">
        <f t="shared" si="49"/>
        <v>270382404449.99997</v>
      </c>
      <c r="M1045" s="4">
        <f t="shared" si="50"/>
        <v>0.74200508674964549</v>
      </c>
    </row>
    <row r="1046" spans="1:13" x14ac:dyDescent="0.45">
      <c r="A1046" s="2">
        <v>44407</v>
      </c>
      <c r="B1046" s="1">
        <v>10604.1</v>
      </c>
      <c r="D1046" s="2">
        <v>44407</v>
      </c>
      <c r="E1046" s="1">
        <v>8660</v>
      </c>
      <c r="G1046" s="3">
        <v>6452615</v>
      </c>
      <c r="H1046" s="3">
        <f t="shared" si="48"/>
        <v>68424174721.5</v>
      </c>
      <c r="J1046" s="3">
        <v>30049000</v>
      </c>
      <c r="K1046" s="3">
        <f t="shared" si="49"/>
        <v>260224340000</v>
      </c>
      <c r="M1046" s="4">
        <f t="shared" si="50"/>
        <v>0.73705697660142011</v>
      </c>
    </row>
    <row r="1047" spans="1:13" x14ac:dyDescent="0.45">
      <c r="A1047" s="2">
        <v>44406</v>
      </c>
      <c r="B1047" s="1">
        <v>10170.35</v>
      </c>
      <c r="D1047" s="2">
        <v>44406</v>
      </c>
      <c r="E1047" s="1">
        <v>7926.25</v>
      </c>
      <c r="G1047" s="3">
        <v>6452615</v>
      </c>
      <c r="H1047" s="3">
        <f t="shared" si="48"/>
        <v>65625352965.25</v>
      </c>
      <c r="J1047" s="3">
        <v>30049000</v>
      </c>
      <c r="K1047" s="3">
        <f t="shared" si="49"/>
        <v>238175886250</v>
      </c>
      <c r="M1047" s="4">
        <f t="shared" si="50"/>
        <v>0.72446684675556661</v>
      </c>
    </row>
    <row r="1048" spans="1:13" x14ac:dyDescent="0.45">
      <c r="A1048" s="2">
        <v>44405</v>
      </c>
      <c r="B1048" s="1">
        <v>9683.25</v>
      </c>
      <c r="D1048" s="2">
        <v>44405</v>
      </c>
      <c r="E1048" s="1">
        <v>7721.9</v>
      </c>
      <c r="G1048" s="3">
        <v>6452615</v>
      </c>
      <c r="H1048" s="3">
        <f t="shared" si="48"/>
        <v>62482284198.75</v>
      </c>
      <c r="J1048" s="3">
        <v>30049000</v>
      </c>
      <c r="K1048" s="3">
        <f t="shared" si="49"/>
        <v>232035373100</v>
      </c>
      <c r="M1048" s="4">
        <f t="shared" si="50"/>
        <v>0.73072086654726531</v>
      </c>
    </row>
    <row r="1049" spans="1:13" x14ac:dyDescent="0.45">
      <c r="A1049" s="2">
        <v>44404</v>
      </c>
      <c r="B1049" s="1">
        <v>9709.0499999999993</v>
      </c>
      <c r="D1049" s="2">
        <v>44404</v>
      </c>
      <c r="E1049" s="1">
        <v>7661.85</v>
      </c>
      <c r="G1049" s="3">
        <v>6452615</v>
      </c>
      <c r="H1049" s="3">
        <f t="shared" si="48"/>
        <v>62648761665.749992</v>
      </c>
      <c r="J1049" s="3">
        <v>30049000</v>
      </c>
      <c r="K1049" s="3">
        <f t="shared" si="49"/>
        <v>230230930650</v>
      </c>
      <c r="M1049" s="4">
        <f t="shared" si="50"/>
        <v>0.72788729347148651</v>
      </c>
    </row>
    <row r="1050" spans="1:13" x14ac:dyDescent="0.45">
      <c r="A1050" s="2">
        <v>44403</v>
      </c>
      <c r="B1050" s="1">
        <v>9827.6</v>
      </c>
      <c r="D1050" s="2">
        <v>44403</v>
      </c>
      <c r="E1050" s="1">
        <v>7837.5</v>
      </c>
      <c r="G1050" s="3">
        <v>6452615</v>
      </c>
      <c r="H1050" s="3">
        <f t="shared" si="48"/>
        <v>63413719174</v>
      </c>
      <c r="J1050" s="3">
        <v>30049000</v>
      </c>
      <c r="K1050" s="3">
        <f t="shared" si="49"/>
        <v>235509037500</v>
      </c>
      <c r="M1050" s="4">
        <f t="shared" si="50"/>
        <v>0.73073764027420818</v>
      </c>
    </row>
    <row r="1051" spans="1:13" x14ac:dyDescent="0.45">
      <c r="A1051" s="2">
        <v>44400</v>
      </c>
      <c r="B1051" s="1">
        <v>9872.85</v>
      </c>
      <c r="D1051" s="2">
        <v>44400</v>
      </c>
      <c r="E1051" s="1">
        <v>7903.95</v>
      </c>
      <c r="G1051" s="3">
        <v>6452615</v>
      </c>
      <c r="H1051" s="3">
        <f t="shared" si="48"/>
        <v>63705700002.75</v>
      </c>
      <c r="J1051" s="3">
        <v>30049000</v>
      </c>
      <c r="K1051" s="3">
        <f t="shared" si="49"/>
        <v>237505793550</v>
      </c>
      <c r="M1051" s="4">
        <f t="shared" si="50"/>
        <v>0.73177201679781922</v>
      </c>
    </row>
    <row r="1052" spans="1:13" x14ac:dyDescent="0.45">
      <c r="A1052" s="2">
        <v>44399</v>
      </c>
      <c r="B1052" s="1">
        <v>9960.4</v>
      </c>
      <c r="D1052" s="2">
        <v>44399</v>
      </c>
      <c r="E1052" s="1">
        <v>7904.65</v>
      </c>
      <c r="G1052" s="3">
        <v>6452615</v>
      </c>
      <c r="H1052" s="3">
        <f t="shared" si="48"/>
        <v>64270626446</v>
      </c>
      <c r="J1052" s="3">
        <v>30049000</v>
      </c>
      <c r="K1052" s="3">
        <f t="shared" si="49"/>
        <v>237526827850</v>
      </c>
      <c r="M1052" s="4">
        <f t="shared" si="50"/>
        <v>0.7294174008563471</v>
      </c>
    </row>
    <row r="1053" spans="1:13" x14ac:dyDescent="0.45">
      <c r="A1053" s="2">
        <v>44397</v>
      </c>
      <c r="B1053" s="1">
        <v>9711.6</v>
      </c>
      <c r="D1053" s="2">
        <v>44397</v>
      </c>
      <c r="E1053" s="1">
        <v>7795.85</v>
      </c>
      <c r="G1053" s="3">
        <v>6452615</v>
      </c>
      <c r="H1053" s="3">
        <f t="shared" si="48"/>
        <v>62665215834</v>
      </c>
      <c r="J1053" s="3">
        <v>30049000</v>
      </c>
      <c r="K1053" s="3">
        <f t="shared" si="49"/>
        <v>234257496650</v>
      </c>
      <c r="M1053" s="4">
        <f t="shared" si="50"/>
        <v>0.73249429909333064</v>
      </c>
    </row>
    <row r="1054" spans="1:13" x14ac:dyDescent="0.45">
      <c r="A1054" s="2">
        <v>44396</v>
      </c>
      <c r="B1054" s="1">
        <v>10033.65</v>
      </c>
      <c r="D1054" s="2">
        <v>44396</v>
      </c>
      <c r="E1054" s="1">
        <v>7838.55</v>
      </c>
      <c r="G1054" s="3">
        <v>6452615</v>
      </c>
      <c r="H1054" s="3">
        <f t="shared" si="48"/>
        <v>64743280494.75</v>
      </c>
      <c r="J1054" s="3">
        <v>30049000</v>
      </c>
      <c r="K1054" s="3">
        <f t="shared" si="49"/>
        <v>235540588950</v>
      </c>
      <c r="M1054" s="4">
        <f t="shared" si="50"/>
        <v>0.72512898611927334</v>
      </c>
    </row>
    <row r="1055" spans="1:13" x14ac:dyDescent="0.45">
      <c r="A1055" s="2">
        <v>44393</v>
      </c>
      <c r="B1055" s="1">
        <v>9952.4</v>
      </c>
      <c r="D1055" s="2">
        <v>44393</v>
      </c>
      <c r="E1055" s="1">
        <v>7758.5</v>
      </c>
      <c r="G1055" s="3">
        <v>6452615</v>
      </c>
      <c r="H1055" s="3">
        <f t="shared" si="48"/>
        <v>64219005526</v>
      </c>
      <c r="J1055" s="3">
        <v>30049000</v>
      </c>
      <c r="K1055" s="3">
        <f t="shared" si="49"/>
        <v>233135166500</v>
      </c>
      <c r="M1055" s="4">
        <f t="shared" si="50"/>
        <v>0.72454174764749624</v>
      </c>
    </row>
    <row r="1056" spans="1:13" x14ac:dyDescent="0.45">
      <c r="A1056" s="2">
        <v>44392</v>
      </c>
      <c r="B1056" s="1">
        <v>9838.25</v>
      </c>
      <c r="D1056" s="2">
        <v>44392</v>
      </c>
      <c r="E1056" s="1">
        <v>7677.65</v>
      </c>
      <c r="G1056" s="3">
        <v>6452615</v>
      </c>
      <c r="H1056" s="3">
        <f t="shared" si="48"/>
        <v>63482439523.75</v>
      </c>
      <c r="J1056" s="3">
        <v>30049000</v>
      </c>
      <c r="K1056" s="3">
        <f t="shared" si="49"/>
        <v>230705704850</v>
      </c>
      <c r="M1056" s="4">
        <f t="shared" si="50"/>
        <v>0.72483368122593694</v>
      </c>
    </row>
    <row r="1057" spans="1:13" x14ac:dyDescent="0.45">
      <c r="A1057" s="2">
        <v>44391</v>
      </c>
      <c r="B1057" s="1">
        <v>10236</v>
      </c>
      <c r="D1057" s="2">
        <v>44391</v>
      </c>
      <c r="E1057" s="1">
        <v>7579.15</v>
      </c>
      <c r="G1057" s="3">
        <v>6452615</v>
      </c>
      <c r="H1057" s="3">
        <f t="shared" si="48"/>
        <v>66048967140</v>
      </c>
      <c r="J1057" s="3">
        <v>30049000</v>
      </c>
      <c r="K1057" s="3">
        <f t="shared" si="49"/>
        <v>227745878350</v>
      </c>
      <c r="M1057" s="4">
        <f t="shared" si="50"/>
        <v>0.70998830969623117</v>
      </c>
    </row>
    <row r="1058" spans="1:13" x14ac:dyDescent="0.45">
      <c r="A1058" s="2">
        <v>44390</v>
      </c>
      <c r="B1058" s="1">
        <v>10143.950000000001</v>
      </c>
      <c r="D1058" s="2">
        <v>44390</v>
      </c>
      <c r="E1058" s="1">
        <v>7603.15</v>
      </c>
      <c r="G1058" s="3">
        <v>6452615</v>
      </c>
      <c r="H1058" s="3">
        <f t="shared" si="48"/>
        <v>65455003929.250008</v>
      </c>
      <c r="J1058" s="3">
        <v>30049000</v>
      </c>
      <c r="K1058" s="3">
        <f t="shared" si="49"/>
        <v>228467054350</v>
      </c>
      <c r="M1058" s="4">
        <f t="shared" si="50"/>
        <v>0.71350353285959445</v>
      </c>
    </row>
    <row r="1059" spans="1:13" x14ac:dyDescent="0.45">
      <c r="A1059" s="2">
        <v>44389</v>
      </c>
      <c r="B1059" s="1">
        <v>10310.5</v>
      </c>
      <c r="D1059" s="2">
        <v>44389</v>
      </c>
      <c r="E1059" s="1">
        <v>7583.8</v>
      </c>
      <c r="G1059" s="3">
        <v>6452615</v>
      </c>
      <c r="H1059" s="3">
        <f t="shared" si="48"/>
        <v>66529686957.5</v>
      </c>
      <c r="J1059" s="3">
        <v>30049000</v>
      </c>
      <c r="K1059" s="3">
        <f t="shared" si="49"/>
        <v>227885606200</v>
      </c>
      <c r="M1059" s="4">
        <f t="shared" si="50"/>
        <v>0.70805665146261443</v>
      </c>
    </row>
    <row r="1060" spans="1:13" x14ac:dyDescent="0.45">
      <c r="A1060" s="2">
        <v>44386</v>
      </c>
      <c r="B1060" s="1">
        <v>9970.4500000000007</v>
      </c>
      <c r="D1060" s="2">
        <v>44386</v>
      </c>
      <c r="E1060" s="1">
        <v>7603.35</v>
      </c>
      <c r="G1060" s="3">
        <v>6452615</v>
      </c>
      <c r="H1060" s="3">
        <f t="shared" si="48"/>
        <v>64335475226.750008</v>
      </c>
      <c r="J1060" s="3">
        <v>30049000</v>
      </c>
      <c r="K1060" s="3">
        <f t="shared" si="49"/>
        <v>228473064150</v>
      </c>
      <c r="M1060" s="4">
        <f t="shared" si="50"/>
        <v>0.71841111569934712</v>
      </c>
    </row>
    <row r="1061" spans="1:13" x14ac:dyDescent="0.45">
      <c r="A1061" s="2">
        <v>44385</v>
      </c>
      <c r="B1061" s="1">
        <v>9833.9500000000007</v>
      </c>
      <c r="D1061" s="2">
        <v>44385</v>
      </c>
      <c r="E1061" s="1">
        <v>7541.4</v>
      </c>
      <c r="G1061" s="3">
        <v>6452615</v>
      </c>
      <c r="H1061" s="3">
        <f t="shared" si="48"/>
        <v>63454693279.250008</v>
      </c>
      <c r="J1061" s="3">
        <v>30049000</v>
      </c>
      <c r="K1061" s="3">
        <f t="shared" si="49"/>
        <v>226611528600</v>
      </c>
      <c r="M1061" s="4">
        <f t="shared" si="50"/>
        <v>0.71998470831880701</v>
      </c>
    </row>
    <row r="1062" spans="1:13" x14ac:dyDescent="0.45">
      <c r="A1062" s="2">
        <v>44384</v>
      </c>
      <c r="B1062" s="1">
        <v>9996.15</v>
      </c>
      <c r="D1062" s="2">
        <v>44384</v>
      </c>
      <c r="E1062" s="1">
        <v>7581.35</v>
      </c>
      <c r="G1062" s="3">
        <v>6452615</v>
      </c>
      <c r="H1062" s="3">
        <f t="shared" si="48"/>
        <v>64501307432.25</v>
      </c>
      <c r="J1062" s="3">
        <v>30049000</v>
      </c>
      <c r="K1062" s="3">
        <f t="shared" si="49"/>
        <v>227811986150</v>
      </c>
      <c r="M1062" s="4">
        <f t="shared" si="50"/>
        <v>0.71686605027981321</v>
      </c>
    </row>
    <row r="1063" spans="1:13" x14ac:dyDescent="0.45">
      <c r="A1063" s="2">
        <v>44383</v>
      </c>
      <c r="B1063" s="1">
        <v>9829.9</v>
      </c>
      <c r="D1063" s="2">
        <v>44383</v>
      </c>
      <c r="E1063" s="1">
        <v>7544.35</v>
      </c>
      <c r="G1063" s="3">
        <v>6452615</v>
      </c>
      <c r="H1063" s="3">
        <f t="shared" si="48"/>
        <v>63428560188.5</v>
      </c>
      <c r="J1063" s="3">
        <v>30049000</v>
      </c>
      <c r="K1063" s="3">
        <f t="shared" si="49"/>
        <v>226700173150</v>
      </c>
      <c r="M1063" s="4">
        <f t="shared" si="50"/>
        <v>0.72020947621186227</v>
      </c>
    </row>
    <row r="1064" spans="1:13" x14ac:dyDescent="0.45">
      <c r="A1064" s="2">
        <v>44382</v>
      </c>
      <c r="B1064" s="1">
        <v>9836.75</v>
      </c>
      <c r="D1064" s="2">
        <v>44382</v>
      </c>
      <c r="E1064" s="1">
        <v>7491.45</v>
      </c>
      <c r="G1064" s="3">
        <v>6452615</v>
      </c>
      <c r="H1064" s="3">
        <f t="shared" si="48"/>
        <v>63472760601.25</v>
      </c>
      <c r="J1064" s="3">
        <v>30049000</v>
      </c>
      <c r="K1064" s="3">
        <f t="shared" si="49"/>
        <v>225110581050</v>
      </c>
      <c r="M1064" s="4">
        <f t="shared" si="50"/>
        <v>0.71803741829820134</v>
      </c>
    </row>
    <row r="1065" spans="1:13" x14ac:dyDescent="0.45">
      <c r="A1065" s="2">
        <v>44379</v>
      </c>
      <c r="B1065" s="1">
        <v>9817.2999999999993</v>
      </c>
      <c r="D1065" s="2">
        <v>44379</v>
      </c>
      <c r="E1065" s="1">
        <v>7487.6</v>
      </c>
      <c r="G1065" s="3">
        <v>6452615</v>
      </c>
      <c r="H1065" s="3">
        <f t="shared" si="48"/>
        <v>63347257239.499992</v>
      </c>
      <c r="J1065" s="3">
        <v>30049000</v>
      </c>
      <c r="K1065" s="3">
        <f t="shared" si="49"/>
        <v>224994892400</v>
      </c>
      <c r="M1065" s="4">
        <f t="shared" si="50"/>
        <v>0.71845024318649831</v>
      </c>
    </row>
    <row r="1066" spans="1:13" x14ac:dyDescent="0.45">
      <c r="A1066" s="2">
        <v>44378</v>
      </c>
      <c r="B1066" s="1">
        <v>9383.75</v>
      </c>
      <c r="D1066" s="2">
        <v>44378</v>
      </c>
      <c r="E1066" s="1">
        <v>7343.45</v>
      </c>
      <c r="G1066" s="3">
        <v>6452615</v>
      </c>
      <c r="H1066" s="3">
        <f t="shared" si="48"/>
        <v>60549726006.25</v>
      </c>
      <c r="J1066" s="3">
        <v>30049000</v>
      </c>
      <c r="K1066" s="3">
        <f t="shared" si="49"/>
        <v>220663329050</v>
      </c>
      <c r="M1066" s="4">
        <f t="shared" si="50"/>
        <v>0.72560132094929974</v>
      </c>
    </row>
    <row r="1067" spans="1:13" x14ac:dyDescent="0.45">
      <c r="A1067" s="2">
        <v>44377</v>
      </c>
      <c r="B1067" s="1">
        <v>8397.6</v>
      </c>
      <c r="D1067" s="2">
        <v>44377</v>
      </c>
      <c r="E1067" s="1">
        <v>7274.7</v>
      </c>
      <c r="G1067" s="3">
        <v>6452615</v>
      </c>
      <c r="H1067" s="3">
        <f t="shared" si="48"/>
        <v>54186479724</v>
      </c>
      <c r="J1067" s="3">
        <v>30049000</v>
      </c>
      <c r="K1067" s="3">
        <f t="shared" si="49"/>
        <v>218597460300</v>
      </c>
      <c r="M1067" s="4">
        <f t="shared" si="50"/>
        <v>0.752117523919833</v>
      </c>
    </row>
    <row r="1068" spans="1:13" x14ac:dyDescent="0.45">
      <c r="A1068" s="2">
        <v>44376</v>
      </c>
      <c r="B1068" s="1">
        <v>7903.2</v>
      </c>
      <c r="D1068" s="2">
        <v>44376</v>
      </c>
      <c r="E1068" s="1">
        <v>7084.5</v>
      </c>
      <c r="G1068" s="3">
        <v>6452615</v>
      </c>
      <c r="H1068" s="3">
        <f t="shared" si="48"/>
        <v>50996306868</v>
      </c>
      <c r="J1068" s="3">
        <v>30049000</v>
      </c>
      <c r="K1068" s="3">
        <f t="shared" si="49"/>
        <v>212882140500</v>
      </c>
      <c r="M1068" s="4">
        <f t="shared" si="50"/>
        <v>0.76044816747791022</v>
      </c>
    </row>
    <row r="1069" spans="1:13" x14ac:dyDescent="0.45">
      <c r="A1069" s="2">
        <v>44375</v>
      </c>
      <c r="B1069" s="1">
        <v>7976</v>
      </c>
      <c r="D1069" s="2">
        <v>44375</v>
      </c>
      <c r="E1069" s="1">
        <v>7121.85</v>
      </c>
      <c r="G1069" s="3">
        <v>6452615</v>
      </c>
      <c r="H1069" s="3">
        <f t="shared" si="48"/>
        <v>51466057240</v>
      </c>
      <c r="J1069" s="3">
        <v>30049000</v>
      </c>
      <c r="K1069" s="3">
        <f t="shared" si="49"/>
        <v>214004470650</v>
      </c>
      <c r="M1069" s="4">
        <f t="shared" si="50"/>
        <v>0.75950942948209854</v>
      </c>
    </row>
    <row r="1070" spans="1:13" x14ac:dyDescent="0.45">
      <c r="A1070" s="2">
        <v>44372</v>
      </c>
      <c r="B1070" s="1">
        <v>7915.15</v>
      </c>
      <c r="D1070" s="2">
        <v>44372</v>
      </c>
      <c r="E1070" s="1">
        <v>7044.7</v>
      </c>
      <c r="G1070" s="3">
        <v>6452615</v>
      </c>
      <c r="H1070" s="3">
        <f t="shared" si="48"/>
        <v>51073415617.25</v>
      </c>
      <c r="J1070" s="3">
        <v>30049000</v>
      </c>
      <c r="K1070" s="3">
        <f t="shared" si="49"/>
        <v>211686190300</v>
      </c>
      <c r="M1070" s="4">
        <f t="shared" si="50"/>
        <v>0.75873052680068942</v>
      </c>
    </row>
    <row r="1071" spans="1:13" x14ac:dyDescent="0.45">
      <c r="A1071" s="2">
        <v>44371</v>
      </c>
      <c r="B1071" s="1">
        <v>7959.8</v>
      </c>
      <c r="D1071" s="2">
        <v>44371</v>
      </c>
      <c r="E1071" s="1">
        <v>6936.9</v>
      </c>
      <c r="G1071" s="3">
        <v>6452615</v>
      </c>
      <c r="H1071" s="3">
        <f t="shared" si="48"/>
        <v>51361524877</v>
      </c>
      <c r="J1071" s="3">
        <v>30049000</v>
      </c>
      <c r="K1071" s="3">
        <f t="shared" si="49"/>
        <v>208446908100</v>
      </c>
      <c r="M1071" s="4">
        <f t="shared" si="50"/>
        <v>0.75359900827907744</v>
      </c>
    </row>
    <row r="1072" spans="1:13" x14ac:dyDescent="0.45">
      <c r="A1072" s="2">
        <v>44370</v>
      </c>
      <c r="B1072" s="1">
        <v>8016</v>
      </c>
      <c r="D1072" s="2">
        <v>44370</v>
      </c>
      <c r="E1072" s="1">
        <v>6905.6</v>
      </c>
      <c r="G1072" s="3">
        <v>6452615</v>
      </c>
      <c r="H1072" s="3">
        <f t="shared" si="48"/>
        <v>51724161840</v>
      </c>
      <c r="J1072" s="3">
        <v>30049000</v>
      </c>
      <c r="K1072" s="3">
        <f t="shared" si="49"/>
        <v>207506374400</v>
      </c>
      <c r="M1072" s="4">
        <f t="shared" si="50"/>
        <v>0.75073458832501294</v>
      </c>
    </row>
    <row r="1073" spans="1:13" x14ac:dyDescent="0.45">
      <c r="A1073" s="2">
        <v>44369</v>
      </c>
      <c r="B1073" s="1">
        <v>7997.4</v>
      </c>
      <c r="D1073" s="2">
        <v>44369</v>
      </c>
      <c r="E1073" s="1">
        <v>6976.95</v>
      </c>
      <c r="G1073" s="3">
        <v>6452615</v>
      </c>
      <c r="H1073" s="3">
        <f t="shared" si="48"/>
        <v>51604143201</v>
      </c>
      <c r="J1073" s="3">
        <v>30049000</v>
      </c>
      <c r="K1073" s="3">
        <f t="shared" si="49"/>
        <v>209650370550</v>
      </c>
      <c r="M1073" s="4">
        <f t="shared" si="50"/>
        <v>0.75385617938274618</v>
      </c>
    </row>
    <row r="1074" spans="1:13" x14ac:dyDescent="0.45">
      <c r="A1074" s="2">
        <v>44368</v>
      </c>
      <c r="B1074" s="1">
        <v>7907.1</v>
      </c>
      <c r="D1074" s="2">
        <v>44368</v>
      </c>
      <c r="E1074" s="1">
        <v>6935.95</v>
      </c>
      <c r="G1074" s="3">
        <v>6452615</v>
      </c>
      <c r="H1074" s="3">
        <f t="shared" si="48"/>
        <v>51021472066.5</v>
      </c>
      <c r="J1074" s="3">
        <v>30049000</v>
      </c>
      <c r="K1074" s="3">
        <f t="shared" si="49"/>
        <v>208418361550</v>
      </c>
      <c r="M1074" s="4">
        <f t="shared" si="50"/>
        <v>0.75519684692339428</v>
      </c>
    </row>
    <row r="1075" spans="1:13" x14ac:dyDescent="0.45">
      <c r="A1075" s="2">
        <v>44365</v>
      </c>
      <c r="B1075" s="1">
        <v>7933.6</v>
      </c>
      <c r="D1075" s="2">
        <v>44365</v>
      </c>
      <c r="E1075" s="1">
        <v>7077.3</v>
      </c>
      <c r="G1075" s="3">
        <v>6452615</v>
      </c>
      <c r="H1075" s="3">
        <f t="shared" si="48"/>
        <v>51192466364</v>
      </c>
      <c r="J1075" s="3">
        <v>30049000</v>
      </c>
      <c r="K1075" s="3">
        <f t="shared" si="49"/>
        <v>212665787700</v>
      </c>
      <c r="M1075" s="4">
        <f t="shared" si="50"/>
        <v>0.759282078618986</v>
      </c>
    </row>
    <row r="1076" spans="1:13" x14ac:dyDescent="0.45">
      <c r="A1076" s="2">
        <v>44364</v>
      </c>
      <c r="B1076" s="1">
        <v>8088.55</v>
      </c>
      <c r="D1076" s="2">
        <v>44364</v>
      </c>
      <c r="E1076" s="1">
        <v>7134.5</v>
      </c>
      <c r="G1076" s="3">
        <v>6452615</v>
      </c>
      <c r="H1076" s="3">
        <f t="shared" si="48"/>
        <v>52192299058.25</v>
      </c>
      <c r="J1076" s="3">
        <v>30049000</v>
      </c>
      <c r="K1076" s="3">
        <f t="shared" si="49"/>
        <v>214384590500</v>
      </c>
      <c r="M1076" s="4">
        <f t="shared" si="50"/>
        <v>0.75654827179265016</v>
      </c>
    </row>
    <row r="1077" spans="1:13" x14ac:dyDescent="0.45">
      <c r="A1077" s="2">
        <v>44363</v>
      </c>
      <c r="B1077" s="1">
        <v>7969.85</v>
      </c>
      <c r="D1077" s="2">
        <v>44363</v>
      </c>
      <c r="E1077" s="1">
        <v>7142.65</v>
      </c>
      <c r="G1077" s="3">
        <v>6452615</v>
      </c>
      <c r="H1077" s="3">
        <f t="shared" si="48"/>
        <v>51426373657.75</v>
      </c>
      <c r="J1077" s="3">
        <v>30049000</v>
      </c>
      <c r="K1077" s="3">
        <f t="shared" si="49"/>
        <v>214629489850</v>
      </c>
      <c r="M1077" s="4">
        <f t="shared" si="50"/>
        <v>0.76039465176155052</v>
      </c>
    </row>
    <row r="1078" spans="1:13" x14ac:dyDescent="0.45">
      <c r="A1078" s="2">
        <v>44362</v>
      </c>
      <c r="B1078" s="1">
        <v>8002.2</v>
      </c>
      <c r="D1078" s="2">
        <v>44362</v>
      </c>
      <c r="E1078" s="1">
        <v>7154.9</v>
      </c>
      <c r="G1078" s="3">
        <v>6452615</v>
      </c>
      <c r="H1078" s="3">
        <f t="shared" si="48"/>
        <v>51635115753</v>
      </c>
      <c r="J1078" s="3">
        <v>30049000</v>
      </c>
      <c r="K1078" s="3">
        <f t="shared" si="49"/>
        <v>214997590100</v>
      </c>
      <c r="M1078" s="4">
        <f t="shared" si="50"/>
        <v>0.75983397893444571</v>
      </c>
    </row>
    <row r="1079" spans="1:13" x14ac:dyDescent="0.45">
      <c r="A1079" s="2">
        <v>44361</v>
      </c>
      <c r="B1079" s="1">
        <v>8096.8</v>
      </c>
      <c r="D1079" s="2">
        <v>44361</v>
      </c>
      <c r="E1079" s="1">
        <v>6982.95</v>
      </c>
      <c r="G1079" s="3">
        <v>6452615</v>
      </c>
      <c r="H1079" s="3">
        <f t="shared" si="48"/>
        <v>52245533132</v>
      </c>
      <c r="J1079" s="3">
        <v>30049000</v>
      </c>
      <c r="K1079" s="3">
        <f t="shared" si="49"/>
        <v>209830664550</v>
      </c>
      <c r="M1079" s="4">
        <f t="shared" si="50"/>
        <v>0.75101097237601055</v>
      </c>
    </row>
    <row r="1080" spans="1:13" x14ac:dyDescent="0.45">
      <c r="A1080" s="2">
        <v>44358</v>
      </c>
      <c r="B1080" s="1">
        <v>8163.75</v>
      </c>
      <c r="D1080" s="2">
        <v>44358</v>
      </c>
      <c r="E1080" s="1">
        <v>7065.1</v>
      </c>
      <c r="G1080" s="3">
        <v>6452615</v>
      </c>
      <c r="H1080" s="3">
        <f t="shared" si="48"/>
        <v>52677535706.25</v>
      </c>
      <c r="J1080" s="3">
        <v>30049000</v>
      </c>
      <c r="K1080" s="3">
        <f t="shared" si="49"/>
        <v>212299189900</v>
      </c>
      <c r="M1080" s="4">
        <f t="shared" si="50"/>
        <v>0.75187123544341894</v>
      </c>
    </row>
    <row r="1081" spans="1:13" x14ac:dyDescent="0.45">
      <c r="A1081" s="2">
        <v>44357</v>
      </c>
      <c r="B1081" s="1">
        <v>8186.95</v>
      </c>
      <c r="D1081" s="2">
        <v>44357</v>
      </c>
      <c r="E1081" s="1">
        <v>7077.35</v>
      </c>
      <c r="G1081" s="3">
        <v>6452615</v>
      </c>
      <c r="H1081" s="3">
        <f t="shared" si="48"/>
        <v>52827236374.25</v>
      </c>
      <c r="J1081" s="3">
        <v>30049000</v>
      </c>
      <c r="K1081" s="3">
        <f t="shared" si="49"/>
        <v>212667290150</v>
      </c>
      <c r="M1081" s="4">
        <f t="shared" si="50"/>
        <v>0.75159679545928515</v>
      </c>
    </row>
    <row r="1082" spans="1:13" x14ac:dyDescent="0.45">
      <c r="A1082" s="2">
        <v>44356</v>
      </c>
      <c r="B1082" s="1">
        <v>8043.35</v>
      </c>
      <c r="D1082" s="2">
        <v>44356</v>
      </c>
      <c r="E1082" s="1">
        <v>6987.5</v>
      </c>
      <c r="G1082" s="3">
        <v>6452615</v>
      </c>
      <c r="H1082" s="3">
        <f t="shared" si="48"/>
        <v>51900640860.25</v>
      </c>
      <c r="J1082" s="3">
        <v>30049000</v>
      </c>
      <c r="K1082" s="3">
        <f t="shared" si="49"/>
        <v>209967387500</v>
      </c>
      <c r="M1082" s="4">
        <f t="shared" si="50"/>
        <v>0.7528157040090333</v>
      </c>
    </row>
    <row r="1083" spans="1:13" x14ac:dyDescent="0.45">
      <c r="A1083" s="2">
        <v>44355</v>
      </c>
      <c r="B1083" s="1">
        <v>8027.9</v>
      </c>
      <c r="D1083" s="2">
        <v>44355</v>
      </c>
      <c r="E1083" s="1">
        <v>6997.75</v>
      </c>
      <c r="G1083" s="3">
        <v>6452615</v>
      </c>
      <c r="H1083" s="3">
        <f t="shared" si="48"/>
        <v>51800947958.5</v>
      </c>
      <c r="J1083" s="3">
        <v>30049000</v>
      </c>
      <c r="K1083" s="3">
        <f t="shared" si="49"/>
        <v>210275389750</v>
      </c>
      <c r="M1083" s="4">
        <f t="shared" si="50"/>
        <v>0.75365187519049648</v>
      </c>
    </row>
    <row r="1084" spans="1:13" x14ac:dyDescent="0.45">
      <c r="A1084" s="2">
        <v>44354</v>
      </c>
      <c r="B1084" s="1">
        <v>7278.15</v>
      </c>
      <c r="D1084" s="2">
        <v>44354</v>
      </c>
      <c r="E1084" s="1">
        <v>6686.45</v>
      </c>
      <c r="G1084" s="3">
        <v>6452615</v>
      </c>
      <c r="H1084" s="3">
        <f t="shared" si="48"/>
        <v>46963099862.25</v>
      </c>
      <c r="J1084" s="3">
        <v>30049000</v>
      </c>
      <c r="K1084" s="3">
        <f t="shared" si="49"/>
        <v>200921136050</v>
      </c>
      <c r="M1084" s="4">
        <f t="shared" si="50"/>
        <v>0.76626102765732396</v>
      </c>
    </row>
    <row r="1085" spans="1:13" x14ac:dyDescent="0.45">
      <c r="A1085" s="2">
        <v>44351</v>
      </c>
      <c r="B1085" s="1">
        <v>7184.15</v>
      </c>
      <c r="D1085" s="2">
        <v>44351</v>
      </c>
      <c r="E1085" s="1">
        <v>6620.65</v>
      </c>
      <c r="G1085" s="3">
        <v>6452615</v>
      </c>
      <c r="H1085" s="3">
        <f t="shared" si="48"/>
        <v>46356554052.25</v>
      </c>
      <c r="J1085" s="3">
        <v>30049000</v>
      </c>
      <c r="K1085" s="3">
        <f t="shared" si="49"/>
        <v>198943911850</v>
      </c>
      <c r="M1085" s="4">
        <f t="shared" si="50"/>
        <v>0.76698681743424257</v>
      </c>
    </row>
    <row r="1086" spans="1:13" x14ac:dyDescent="0.45">
      <c r="A1086" s="2">
        <v>44350</v>
      </c>
      <c r="B1086" s="1">
        <v>6823.05</v>
      </c>
      <c r="D1086" s="2">
        <v>44350</v>
      </c>
      <c r="E1086" s="1">
        <v>6586.2</v>
      </c>
      <c r="G1086" s="3">
        <v>6452615</v>
      </c>
      <c r="H1086" s="3">
        <f t="shared" si="48"/>
        <v>44026514775.75</v>
      </c>
      <c r="J1086" s="3">
        <v>30049000</v>
      </c>
      <c r="K1086" s="3">
        <f t="shared" si="49"/>
        <v>197908723800</v>
      </c>
      <c r="M1086" s="4">
        <f t="shared" si="50"/>
        <v>0.77754131333673926</v>
      </c>
    </row>
    <row r="1087" spans="1:13" x14ac:dyDescent="0.45">
      <c r="A1087" s="2">
        <v>44349</v>
      </c>
      <c r="B1087" s="1">
        <v>6933.35</v>
      </c>
      <c r="D1087" s="2">
        <v>44349</v>
      </c>
      <c r="E1087" s="1">
        <v>6528.45</v>
      </c>
      <c r="G1087" s="3">
        <v>6452615</v>
      </c>
      <c r="H1087" s="3">
        <f t="shared" si="48"/>
        <v>44738238210.25</v>
      </c>
      <c r="J1087" s="3">
        <v>30049000</v>
      </c>
      <c r="K1087" s="3">
        <f t="shared" si="49"/>
        <v>196173394050</v>
      </c>
      <c r="M1087" s="4">
        <f t="shared" si="50"/>
        <v>0.77194543415583017</v>
      </c>
    </row>
    <row r="1088" spans="1:13" x14ac:dyDescent="0.45">
      <c r="A1088" s="2">
        <v>44348</v>
      </c>
      <c r="B1088" s="1">
        <v>6926.15</v>
      </c>
      <c r="D1088" s="2">
        <v>44348</v>
      </c>
      <c r="E1088" s="1">
        <v>6556.4</v>
      </c>
      <c r="G1088" s="3">
        <v>6452615</v>
      </c>
      <c r="H1088" s="3">
        <f t="shared" si="48"/>
        <v>44691779382.25</v>
      </c>
      <c r="J1088" s="3">
        <v>30049000</v>
      </c>
      <c r="K1088" s="3">
        <f t="shared" si="49"/>
        <v>197013263600</v>
      </c>
      <c r="M1088" s="4">
        <f t="shared" si="50"/>
        <v>0.77315344883079229</v>
      </c>
    </row>
    <row r="1089" spans="1:13" x14ac:dyDescent="0.45">
      <c r="A1089" s="2">
        <v>44347</v>
      </c>
      <c r="B1089" s="1">
        <v>6960.35</v>
      </c>
      <c r="D1089" s="2">
        <v>44347</v>
      </c>
      <c r="E1089" s="1">
        <v>6509.6</v>
      </c>
      <c r="G1089" s="3">
        <v>6452615</v>
      </c>
      <c r="H1089" s="3">
        <f t="shared" si="48"/>
        <v>44912458815.25</v>
      </c>
      <c r="J1089" s="3">
        <v>30049000</v>
      </c>
      <c r="K1089" s="3">
        <f t="shared" si="49"/>
        <v>195606970400</v>
      </c>
      <c r="M1089" s="4">
        <f t="shared" si="50"/>
        <v>0.77039438459985476</v>
      </c>
    </row>
    <row r="1090" spans="1:13" x14ac:dyDescent="0.45">
      <c r="A1090" s="2">
        <v>44344</v>
      </c>
      <c r="B1090" s="1">
        <v>6907.85</v>
      </c>
      <c r="D1090" s="2">
        <v>44344</v>
      </c>
      <c r="E1090" s="1">
        <v>6519.25</v>
      </c>
      <c r="G1090" s="3">
        <v>6452615</v>
      </c>
      <c r="H1090" s="3">
        <f t="shared" si="48"/>
        <v>44573696527.75</v>
      </c>
      <c r="J1090" s="3">
        <v>30049000</v>
      </c>
      <c r="K1090" s="3">
        <f t="shared" si="49"/>
        <v>195896943250</v>
      </c>
      <c r="M1090" s="4">
        <f t="shared" si="50"/>
        <v>0.77246354236949022</v>
      </c>
    </row>
    <row r="1091" spans="1:13" x14ac:dyDescent="0.45">
      <c r="A1091" s="2">
        <v>44343</v>
      </c>
      <c r="B1091" s="1">
        <v>7010.35</v>
      </c>
      <c r="D1091" s="2">
        <v>44343</v>
      </c>
      <c r="E1091" s="1">
        <v>6498.95</v>
      </c>
      <c r="G1091" s="3">
        <v>6452615</v>
      </c>
      <c r="H1091" s="3">
        <f t="shared" si="48"/>
        <v>45235089565.25</v>
      </c>
      <c r="J1091" s="3">
        <v>30049000</v>
      </c>
      <c r="K1091" s="3">
        <f t="shared" si="49"/>
        <v>195286948550</v>
      </c>
      <c r="M1091" s="4">
        <f t="shared" si="50"/>
        <v>0.76836603827793282</v>
      </c>
    </row>
    <row r="1092" spans="1:13" x14ac:dyDescent="0.45">
      <c r="A1092" s="2">
        <v>44342</v>
      </c>
      <c r="B1092" s="1">
        <v>6892.8</v>
      </c>
      <c r="D1092" s="2">
        <v>44342</v>
      </c>
      <c r="E1092" s="1">
        <v>6442.4</v>
      </c>
      <c r="G1092" s="3">
        <v>6452615</v>
      </c>
      <c r="H1092" s="3">
        <f t="shared" ref="H1092:H1155" si="51">+G1092*B1092</f>
        <v>44476584672</v>
      </c>
      <c r="J1092" s="3">
        <v>30049000</v>
      </c>
      <c r="K1092" s="3">
        <f t="shared" ref="K1092:K1155" si="52">+J1092*E1092</f>
        <v>193587677600</v>
      </c>
      <c r="M1092" s="4">
        <f t="shared" ref="M1092:M1155" si="53">1- (H1092/K1092)</f>
        <v>0.77025095179921721</v>
      </c>
    </row>
    <row r="1093" spans="1:13" x14ac:dyDescent="0.45">
      <c r="A1093" s="2">
        <v>44341</v>
      </c>
      <c r="B1093" s="1">
        <v>6737.15</v>
      </c>
      <c r="D1093" s="2">
        <v>44341</v>
      </c>
      <c r="E1093" s="1">
        <v>6432.9</v>
      </c>
      <c r="G1093" s="3">
        <v>6452615</v>
      </c>
      <c r="H1093" s="3">
        <f t="shared" si="51"/>
        <v>43472235147.25</v>
      </c>
      <c r="J1093" s="3">
        <v>30049000</v>
      </c>
      <c r="K1093" s="3">
        <f t="shared" si="52"/>
        <v>193302212100</v>
      </c>
      <c r="M1093" s="4">
        <f t="shared" si="53"/>
        <v>0.77510740992058214</v>
      </c>
    </row>
    <row r="1094" spans="1:13" x14ac:dyDescent="0.45">
      <c r="A1094" s="2">
        <v>44340</v>
      </c>
      <c r="B1094" s="1">
        <v>6787.35</v>
      </c>
      <c r="D1094" s="2">
        <v>44340</v>
      </c>
      <c r="E1094" s="1">
        <v>6407.3</v>
      </c>
      <c r="G1094" s="3">
        <v>6452615</v>
      </c>
      <c r="H1094" s="3">
        <f t="shared" si="51"/>
        <v>43796156420.25</v>
      </c>
      <c r="J1094" s="3">
        <v>30049000</v>
      </c>
      <c r="K1094" s="3">
        <f t="shared" si="52"/>
        <v>192532957700</v>
      </c>
      <c r="M1094" s="4">
        <f t="shared" si="53"/>
        <v>0.77252644459712672</v>
      </c>
    </row>
    <row r="1095" spans="1:13" x14ac:dyDescent="0.45">
      <c r="A1095" s="2">
        <v>44337</v>
      </c>
      <c r="B1095" s="1">
        <v>6816.65</v>
      </c>
      <c r="D1095" s="2">
        <v>44337</v>
      </c>
      <c r="E1095" s="1">
        <v>6454.25</v>
      </c>
      <c r="G1095" s="3">
        <v>6452615</v>
      </c>
      <c r="H1095" s="3">
        <f t="shared" si="51"/>
        <v>43985218039.75</v>
      </c>
      <c r="J1095" s="3">
        <v>30049000</v>
      </c>
      <c r="K1095" s="3">
        <f t="shared" si="52"/>
        <v>193943758250</v>
      </c>
      <c r="M1095" s="4">
        <f t="shared" si="53"/>
        <v>0.77320632312873105</v>
      </c>
    </row>
    <row r="1096" spans="1:13" x14ac:dyDescent="0.45">
      <c r="A1096" s="2">
        <v>44336</v>
      </c>
      <c r="B1096" s="1">
        <v>6822.3</v>
      </c>
      <c r="D1096" s="2">
        <v>44336</v>
      </c>
      <c r="E1096" s="1">
        <v>6434.15</v>
      </c>
      <c r="G1096" s="3">
        <v>6452615</v>
      </c>
      <c r="H1096" s="3">
        <f t="shared" si="51"/>
        <v>44021675314.5</v>
      </c>
      <c r="J1096" s="3">
        <v>30049000</v>
      </c>
      <c r="K1096" s="3">
        <f t="shared" si="52"/>
        <v>193339773350</v>
      </c>
      <c r="M1096" s="4">
        <f t="shared" si="53"/>
        <v>0.7723092638843212</v>
      </c>
    </row>
    <row r="1097" spans="1:13" x14ac:dyDescent="0.45">
      <c r="A1097" s="2">
        <v>44335</v>
      </c>
      <c r="B1097" s="1">
        <v>6850</v>
      </c>
      <c r="D1097" s="2">
        <v>44335</v>
      </c>
      <c r="E1097" s="1">
        <v>6413.95</v>
      </c>
      <c r="G1097" s="3">
        <v>6452615</v>
      </c>
      <c r="H1097" s="3">
        <f t="shared" si="51"/>
        <v>44200412750</v>
      </c>
      <c r="J1097" s="3">
        <v>30049000</v>
      </c>
      <c r="K1097" s="3">
        <f t="shared" si="52"/>
        <v>192732783550</v>
      </c>
      <c r="M1097" s="4">
        <f t="shared" si="53"/>
        <v>0.77066479331715132</v>
      </c>
    </row>
    <row r="1098" spans="1:13" x14ac:dyDescent="0.45">
      <c r="A1098" s="2">
        <v>44334</v>
      </c>
      <c r="B1098" s="1">
        <v>6879</v>
      </c>
      <c r="D1098" s="2">
        <v>44334</v>
      </c>
      <c r="E1098" s="1">
        <v>6426.2</v>
      </c>
      <c r="G1098" s="3">
        <v>6452615</v>
      </c>
      <c r="H1098" s="3">
        <f t="shared" si="51"/>
        <v>44387538585</v>
      </c>
      <c r="J1098" s="3">
        <v>30049000</v>
      </c>
      <c r="K1098" s="3">
        <f t="shared" si="52"/>
        <v>193100883800</v>
      </c>
      <c r="M1098" s="4">
        <f t="shared" si="53"/>
        <v>0.77013290819024205</v>
      </c>
    </row>
    <row r="1099" spans="1:13" x14ac:dyDescent="0.45">
      <c r="A1099" s="2">
        <v>44333</v>
      </c>
      <c r="B1099" s="1">
        <v>6859.25</v>
      </c>
      <c r="D1099" s="2">
        <v>44333</v>
      </c>
      <c r="E1099" s="1">
        <v>6359.1</v>
      </c>
      <c r="G1099" s="3">
        <v>6452615</v>
      </c>
      <c r="H1099" s="3">
        <f t="shared" si="51"/>
        <v>44260099438.75</v>
      </c>
      <c r="J1099" s="3">
        <v>30049000</v>
      </c>
      <c r="K1099" s="3">
        <f t="shared" si="52"/>
        <v>191084595900</v>
      </c>
      <c r="M1099" s="4">
        <f t="shared" si="53"/>
        <v>0.76837432012618867</v>
      </c>
    </row>
    <row r="1100" spans="1:13" x14ac:dyDescent="0.45">
      <c r="A1100" s="2">
        <v>44330</v>
      </c>
      <c r="B1100" s="1">
        <v>6800</v>
      </c>
      <c r="D1100" s="2">
        <v>44330</v>
      </c>
      <c r="E1100" s="1">
        <v>6262.8</v>
      </c>
      <c r="G1100" s="3">
        <v>6452615</v>
      </c>
      <c r="H1100" s="3">
        <f t="shared" si="51"/>
        <v>43877782000</v>
      </c>
      <c r="J1100" s="3">
        <v>30049000</v>
      </c>
      <c r="K1100" s="3">
        <f t="shared" si="52"/>
        <v>188190877200</v>
      </c>
      <c r="M1100" s="4">
        <f t="shared" si="53"/>
        <v>0.76684426656150362</v>
      </c>
    </row>
    <row r="1101" spans="1:13" x14ac:dyDescent="0.45">
      <c r="A1101" s="2">
        <v>44328</v>
      </c>
      <c r="B1101" s="1">
        <v>6900.05</v>
      </c>
      <c r="D1101" s="2">
        <v>44328</v>
      </c>
      <c r="E1101" s="1">
        <v>6281</v>
      </c>
      <c r="G1101" s="3">
        <v>6452615</v>
      </c>
      <c r="H1101" s="3">
        <f t="shared" si="51"/>
        <v>44523366130.75</v>
      </c>
      <c r="J1101" s="3">
        <v>30049000</v>
      </c>
      <c r="K1101" s="3">
        <f t="shared" si="52"/>
        <v>188737769000</v>
      </c>
      <c r="M1101" s="4">
        <f t="shared" si="53"/>
        <v>0.76409933016242237</v>
      </c>
    </row>
    <row r="1102" spans="1:13" x14ac:dyDescent="0.45">
      <c r="A1102" s="2">
        <v>44327</v>
      </c>
      <c r="B1102" s="1">
        <v>6875.6</v>
      </c>
      <c r="D1102" s="2">
        <v>44327</v>
      </c>
      <c r="E1102" s="1">
        <v>6313.35</v>
      </c>
      <c r="G1102" s="3">
        <v>6452615</v>
      </c>
      <c r="H1102" s="3">
        <f t="shared" si="51"/>
        <v>44365599694</v>
      </c>
      <c r="J1102" s="3">
        <v>30049000</v>
      </c>
      <c r="K1102" s="3">
        <f t="shared" si="52"/>
        <v>189709854150</v>
      </c>
      <c r="M1102" s="4">
        <f t="shared" si="53"/>
        <v>0.76613971955868476</v>
      </c>
    </row>
    <row r="1103" spans="1:13" x14ac:dyDescent="0.45">
      <c r="A1103" s="2">
        <v>44326</v>
      </c>
      <c r="B1103" s="1">
        <v>6832.25</v>
      </c>
      <c r="D1103" s="2">
        <v>44326</v>
      </c>
      <c r="E1103" s="1">
        <v>6299.65</v>
      </c>
      <c r="G1103" s="3">
        <v>6452615</v>
      </c>
      <c r="H1103" s="3">
        <f t="shared" si="51"/>
        <v>44085878833.75</v>
      </c>
      <c r="J1103" s="3">
        <v>30049000</v>
      </c>
      <c r="K1103" s="3">
        <f t="shared" si="52"/>
        <v>189298182850</v>
      </c>
      <c r="M1103" s="4">
        <f t="shared" si="53"/>
        <v>0.76710881124155494</v>
      </c>
    </row>
    <row r="1104" spans="1:13" x14ac:dyDescent="0.45">
      <c r="A1104" s="2">
        <v>44323</v>
      </c>
      <c r="B1104" s="1">
        <v>7053.15</v>
      </c>
      <c r="D1104" s="2">
        <v>44323</v>
      </c>
      <c r="E1104" s="1">
        <v>6276</v>
      </c>
      <c r="G1104" s="3">
        <v>6452615</v>
      </c>
      <c r="H1104" s="3">
        <f t="shared" si="51"/>
        <v>45511261487.25</v>
      </c>
      <c r="J1104" s="3">
        <v>30049000</v>
      </c>
      <c r="K1104" s="3">
        <f t="shared" si="52"/>
        <v>188587524000</v>
      </c>
      <c r="M1104" s="4">
        <f t="shared" si="53"/>
        <v>0.75867299956040568</v>
      </c>
    </row>
    <row r="1105" spans="1:13" x14ac:dyDescent="0.45">
      <c r="A1105" s="2">
        <v>44322</v>
      </c>
      <c r="B1105" s="1">
        <v>7449.3</v>
      </c>
      <c r="D1105" s="2">
        <v>44322</v>
      </c>
      <c r="E1105" s="1">
        <v>6861.65</v>
      </c>
      <c r="G1105" s="3">
        <v>6452615</v>
      </c>
      <c r="H1105" s="3">
        <f t="shared" si="51"/>
        <v>48067464919.5</v>
      </c>
      <c r="J1105" s="3">
        <v>30049000</v>
      </c>
      <c r="K1105" s="3">
        <f t="shared" si="52"/>
        <v>206185720850</v>
      </c>
      <c r="M1105" s="4">
        <f t="shared" si="53"/>
        <v>0.76687296908174818</v>
      </c>
    </row>
    <row r="1106" spans="1:13" x14ac:dyDescent="0.45">
      <c r="A1106" s="2">
        <v>44321</v>
      </c>
      <c r="B1106" s="1">
        <v>7348.55</v>
      </c>
      <c r="D1106" s="2">
        <v>44321</v>
      </c>
      <c r="E1106" s="1">
        <v>6841.3</v>
      </c>
      <c r="G1106" s="3">
        <v>6452615</v>
      </c>
      <c r="H1106" s="3">
        <f t="shared" si="51"/>
        <v>47417363958.25</v>
      </c>
      <c r="J1106" s="3">
        <v>30049000</v>
      </c>
      <c r="K1106" s="3">
        <f t="shared" si="52"/>
        <v>205574223700</v>
      </c>
      <c r="M1106" s="4">
        <f t="shared" si="53"/>
        <v>0.76934188000414183</v>
      </c>
    </row>
    <row r="1107" spans="1:13" x14ac:dyDescent="0.45">
      <c r="A1107" s="2">
        <v>44320</v>
      </c>
      <c r="B1107" s="1">
        <v>6870.4</v>
      </c>
      <c r="D1107" s="2">
        <v>44320</v>
      </c>
      <c r="E1107" s="1">
        <v>6710.4</v>
      </c>
      <c r="G1107" s="3">
        <v>6452615</v>
      </c>
      <c r="H1107" s="3">
        <f t="shared" si="51"/>
        <v>44332046096</v>
      </c>
      <c r="J1107" s="3">
        <v>30049000</v>
      </c>
      <c r="K1107" s="3">
        <f t="shared" si="52"/>
        <v>201640809600</v>
      </c>
      <c r="M1107" s="4">
        <f t="shared" si="53"/>
        <v>0.78014348293908053</v>
      </c>
    </row>
    <row r="1108" spans="1:13" x14ac:dyDescent="0.45">
      <c r="A1108" s="2">
        <v>44319</v>
      </c>
      <c r="B1108" s="1">
        <v>7024.4</v>
      </c>
      <c r="D1108" s="2">
        <v>44319</v>
      </c>
      <c r="E1108" s="1">
        <v>6529.3</v>
      </c>
      <c r="G1108" s="3">
        <v>6452615</v>
      </c>
      <c r="H1108" s="3">
        <f t="shared" si="51"/>
        <v>45325748806</v>
      </c>
      <c r="J1108" s="3">
        <v>30049000</v>
      </c>
      <c r="K1108" s="3">
        <f t="shared" si="52"/>
        <v>196198935700</v>
      </c>
      <c r="M1108" s="4">
        <f t="shared" si="53"/>
        <v>0.76898065912393221</v>
      </c>
    </row>
    <row r="1109" spans="1:13" x14ac:dyDescent="0.45">
      <c r="A1109" s="2">
        <v>44316</v>
      </c>
      <c r="B1109" s="1">
        <v>6988.05</v>
      </c>
      <c r="D1109" s="2">
        <v>44316</v>
      </c>
      <c r="E1109" s="1">
        <v>6431.8</v>
      </c>
      <c r="G1109" s="3">
        <v>6452615</v>
      </c>
      <c r="H1109" s="3">
        <f t="shared" si="51"/>
        <v>45091196250.75</v>
      </c>
      <c r="J1109" s="3">
        <v>30049000</v>
      </c>
      <c r="K1109" s="3">
        <f t="shared" si="52"/>
        <v>193269158200</v>
      </c>
      <c r="M1109" s="4">
        <f t="shared" si="53"/>
        <v>0.76669223030356215</v>
      </c>
    </row>
    <row r="1110" spans="1:13" x14ac:dyDescent="0.45">
      <c r="A1110" s="2">
        <v>44315</v>
      </c>
      <c r="B1110" s="1">
        <v>6509.7</v>
      </c>
      <c r="D1110" s="2">
        <v>44315</v>
      </c>
      <c r="E1110" s="1">
        <v>6441.7</v>
      </c>
      <c r="G1110" s="3">
        <v>6452615</v>
      </c>
      <c r="H1110" s="3">
        <f t="shared" si="51"/>
        <v>42004587865.5</v>
      </c>
      <c r="J1110" s="3">
        <v>30049000</v>
      </c>
      <c r="K1110" s="3">
        <f t="shared" si="52"/>
        <v>193566643300</v>
      </c>
      <c r="M1110" s="4">
        <f t="shared" si="53"/>
        <v>0.78299676457994349</v>
      </c>
    </row>
    <row r="1111" spans="1:13" x14ac:dyDescent="0.45">
      <c r="A1111" s="2">
        <v>44314</v>
      </c>
      <c r="B1111" s="1">
        <v>6538</v>
      </c>
      <c r="D1111" s="2">
        <v>44314</v>
      </c>
      <c r="E1111" s="1">
        <v>6421.6</v>
      </c>
      <c r="G1111" s="3">
        <v>6452615</v>
      </c>
      <c r="H1111" s="3">
        <f t="shared" si="51"/>
        <v>42187196870</v>
      </c>
      <c r="J1111" s="3">
        <v>30049000</v>
      </c>
      <c r="K1111" s="3">
        <f t="shared" si="52"/>
        <v>192962658400</v>
      </c>
      <c r="M1111" s="4">
        <f t="shared" si="53"/>
        <v>0.78137118746286927</v>
      </c>
    </row>
    <row r="1112" spans="1:13" x14ac:dyDescent="0.45">
      <c r="A1112" s="2">
        <v>44313</v>
      </c>
      <c r="B1112" s="1">
        <v>6729.5</v>
      </c>
      <c r="D1112" s="2">
        <v>44313</v>
      </c>
      <c r="E1112" s="1">
        <v>6429.05</v>
      </c>
      <c r="G1112" s="3">
        <v>6452615</v>
      </c>
      <c r="H1112" s="3">
        <f t="shared" si="51"/>
        <v>43422872642.5</v>
      </c>
      <c r="J1112" s="3">
        <v>30049000</v>
      </c>
      <c r="K1112" s="3">
        <f t="shared" si="52"/>
        <v>193186523450</v>
      </c>
      <c r="M1112" s="4">
        <f t="shared" si="53"/>
        <v>0.7752282516034894</v>
      </c>
    </row>
    <row r="1113" spans="1:13" x14ac:dyDescent="0.45">
      <c r="A1113" s="2">
        <v>44312</v>
      </c>
      <c r="B1113" s="1">
        <v>5889.75</v>
      </c>
      <c r="D1113" s="2">
        <v>44312</v>
      </c>
      <c r="E1113" s="1">
        <v>6196.8</v>
      </c>
      <c r="G1113" s="3">
        <v>6452615</v>
      </c>
      <c r="H1113" s="3">
        <f t="shared" si="51"/>
        <v>38004289196.25</v>
      </c>
      <c r="J1113" s="3">
        <v>30049000</v>
      </c>
      <c r="K1113" s="3">
        <f t="shared" si="52"/>
        <v>186207643200</v>
      </c>
      <c r="M1113" s="4">
        <f t="shared" si="53"/>
        <v>0.7959037097342414</v>
      </c>
    </row>
    <row r="1114" spans="1:13" x14ac:dyDescent="0.45">
      <c r="A1114" s="2">
        <v>44309</v>
      </c>
      <c r="B1114" s="1">
        <v>5750</v>
      </c>
      <c r="D1114" s="2">
        <v>44309</v>
      </c>
      <c r="E1114" s="1">
        <v>6167.85</v>
      </c>
      <c r="G1114" s="3">
        <v>6452615</v>
      </c>
      <c r="H1114" s="3">
        <f t="shared" si="51"/>
        <v>37102536250</v>
      </c>
      <c r="J1114" s="3">
        <v>30049000</v>
      </c>
      <c r="K1114" s="3">
        <f t="shared" si="52"/>
        <v>185337724650</v>
      </c>
      <c r="M1114" s="4">
        <f t="shared" si="53"/>
        <v>0.79981120238706893</v>
      </c>
    </row>
    <row r="1115" spans="1:13" x14ac:dyDescent="0.45">
      <c r="A1115" s="2">
        <v>44308</v>
      </c>
      <c r="B1115" s="1">
        <v>5742.5</v>
      </c>
      <c r="D1115" s="2">
        <v>44308</v>
      </c>
      <c r="E1115" s="1">
        <v>6105.6</v>
      </c>
      <c r="G1115" s="3">
        <v>6452615</v>
      </c>
      <c r="H1115" s="3">
        <f t="shared" si="51"/>
        <v>37054141637.5</v>
      </c>
      <c r="J1115" s="3">
        <v>30049000</v>
      </c>
      <c r="K1115" s="3">
        <f t="shared" si="52"/>
        <v>183467174400</v>
      </c>
      <c r="M1115" s="4">
        <f t="shared" si="53"/>
        <v>0.79803394389933979</v>
      </c>
    </row>
    <row r="1116" spans="1:13" x14ac:dyDescent="0.45">
      <c r="A1116" s="2">
        <v>44306</v>
      </c>
      <c r="B1116" s="1">
        <v>5830</v>
      </c>
      <c r="D1116" s="2">
        <v>44306</v>
      </c>
      <c r="E1116" s="1">
        <v>6151.95</v>
      </c>
      <c r="G1116" s="3">
        <v>6452615</v>
      </c>
      <c r="H1116" s="3">
        <f t="shared" si="51"/>
        <v>37618745450</v>
      </c>
      <c r="J1116" s="3">
        <v>30049000</v>
      </c>
      <c r="K1116" s="3">
        <f t="shared" si="52"/>
        <v>184859945550</v>
      </c>
      <c r="M1116" s="4">
        <f t="shared" si="53"/>
        <v>0.79650137114302533</v>
      </c>
    </row>
    <row r="1117" spans="1:13" x14ac:dyDescent="0.45">
      <c r="A1117" s="2">
        <v>44305</v>
      </c>
      <c r="B1117" s="1">
        <v>5752.4</v>
      </c>
      <c r="D1117" s="2">
        <v>44305</v>
      </c>
      <c r="E1117" s="1">
        <v>6234.65</v>
      </c>
      <c r="G1117" s="3">
        <v>6452615</v>
      </c>
      <c r="H1117" s="3">
        <f t="shared" si="51"/>
        <v>37118022526</v>
      </c>
      <c r="J1117" s="3">
        <v>30049000</v>
      </c>
      <c r="K1117" s="3">
        <f t="shared" si="52"/>
        <v>187344997850</v>
      </c>
      <c r="M1117" s="4">
        <f t="shared" si="53"/>
        <v>0.80187342628854719</v>
      </c>
    </row>
    <row r="1118" spans="1:13" x14ac:dyDescent="0.45">
      <c r="A1118" s="2">
        <v>44302</v>
      </c>
      <c r="B1118" s="1">
        <v>5878.8</v>
      </c>
      <c r="D1118" s="2">
        <v>44302</v>
      </c>
      <c r="E1118" s="1">
        <v>6129.45</v>
      </c>
      <c r="G1118" s="3">
        <v>6452615</v>
      </c>
      <c r="H1118" s="3">
        <f t="shared" si="51"/>
        <v>37933633062</v>
      </c>
      <c r="J1118" s="3">
        <v>30049000</v>
      </c>
      <c r="K1118" s="3">
        <f t="shared" si="52"/>
        <v>184183843050</v>
      </c>
      <c r="M1118" s="4">
        <f t="shared" si="53"/>
        <v>0.79404473034205159</v>
      </c>
    </row>
    <row r="1119" spans="1:13" x14ac:dyDescent="0.45">
      <c r="A1119" s="2">
        <v>44301</v>
      </c>
      <c r="B1119" s="1">
        <v>5800</v>
      </c>
      <c r="D1119" s="2">
        <v>44301</v>
      </c>
      <c r="E1119" s="1">
        <v>5991.9</v>
      </c>
      <c r="G1119" s="3">
        <v>6452615</v>
      </c>
      <c r="H1119" s="3">
        <f t="shared" si="51"/>
        <v>37425167000</v>
      </c>
      <c r="J1119" s="3">
        <v>30049000</v>
      </c>
      <c r="K1119" s="3">
        <f t="shared" si="52"/>
        <v>180050603100</v>
      </c>
      <c r="M1119" s="4">
        <f t="shared" si="53"/>
        <v>0.79214084065459045</v>
      </c>
    </row>
    <row r="1120" spans="1:13" x14ac:dyDescent="0.45">
      <c r="A1120" s="2">
        <v>44299</v>
      </c>
      <c r="B1120" s="1">
        <v>5777.5</v>
      </c>
      <c r="D1120" s="2">
        <v>44299</v>
      </c>
      <c r="E1120" s="1">
        <v>6045</v>
      </c>
      <c r="G1120" s="3">
        <v>6452615</v>
      </c>
      <c r="H1120" s="3">
        <f t="shared" si="51"/>
        <v>37279983162.5</v>
      </c>
      <c r="J1120" s="3">
        <v>30049000</v>
      </c>
      <c r="K1120" s="3">
        <f t="shared" si="52"/>
        <v>181646205000</v>
      </c>
      <c r="M1120" s="4">
        <f t="shared" si="53"/>
        <v>0.7947659673787294</v>
      </c>
    </row>
    <row r="1121" spans="1:13" x14ac:dyDescent="0.45">
      <c r="A1121" s="2">
        <v>44298</v>
      </c>
      <c r="B1121" s="1">
        <v>5769.15</v>
      </c>
      <c r="D1121" s="2">
        <v>44298</v>
      </c>
      <c r="E1121" s="1">
        <v>6115.25</v>
      </c>
      <c r="G1121" s="3">
        <v>6452615</v>
      </c>
      <c r="H1121" s="3">
        <f t="shared" si="51"/>
        <v>37226103827.25</v>
      </c>
      <c r="J1121" s="3">
        <v>30049000</v>
      </c>
      <c r="K1121" s="3">
        <f t="shared" si="52"/>
        <v>183757147250</v>
      </c>
      <c r="M1121" s="4">
        <f t="shared" si="53"/>
        <v>0.79741683855918699</v>
      </c>
    </row>
    <row r="1122" spans="1:13" x14ac:dyDescent="0.45">
      <c r="A1122" s="2">
        <v>44295</v>
      </c>
      <c r="B1122" s="1">
        <v>6088.85</v>
      </c>
      <c r="D1122" s="2">
        <v>44295</v>
      </c>
      <c r="E1122" s="1">
        <v>6260</v>
      </c>
      <c r="G1122" s="3">
        <v>6452615</v>
      </c>
      <c r="H1122" s="3">
        <f t="shared" si="51"/>
        <v>39289004842.75</v>
      </c>
      <c r="J1122" s="3">
        <v>30049000</v>
      </c>
      <c r="K1122" s="3">
        <f t="shared" si="52"/>
        <v>188106740000</v>
      </c>
      <c r="M1122" s="4">
        <f t="shared" si="53"/>
        <v>0.79113451839763949</v>
      </c>
    </row>
    <row r="1123" spans="1:13" x14ac:dyDescent="0.45">
      <c r="A1123" s="2">
        <v>44294</v>
      </c>
      <c r="B1123" s="1">
        <v>6050</v>
      </c>
      <c r="D1123" s="2">
        <v>44294</v>
      </c>
      <c r="E1123" s="1">
        <v>6214.85</v>
      </c>
      <c r="G1123" s="3">
        <v>6452615</v>
      </c>
      <c r="H1123" s="3">
        <f t="shared" si="51"/>
        <v>39038320750</v>
      </c>
      <c r="J1123" s="3">
        <v>30049000</v>
      </c>
      <c r="K1123" s="3">
        <f t="shared" si="52"/>
        <v>186750027650</v>
      </c>
      <c r="M1123" s="4">
        <f t="shared" si="53"/>
        <v>0.79095949145900968</v>
      </c>
    </row>
    <row r="1124" spans="1:13" x14ac:dyDescent="0.45">
      <c r="A1124" s="2">
        <v>44293</v>
      </c>
      <c r="B1124" s="1">
        <v>6154.4</v>
      </c>
      <c r="D1124" s="2">
        <v>44293</v>
      </c>
      <c r="E1124" s="1">
        <v>6188.85</v>
      </c>
      <c r="G1124" s="3">
        <v>6452615</v>
      </c>
      <c r="H1124" s="3">
        <f t="shared" si="51"/>
        <v>39711973756</v>
      </c>
      <c r="J1124" s="3">
        <v>30049000</v>
      </c>
      <c r="K1124" s="3">
        <f t="shared" si="52"/>
        <v>185968753650</v>
      </c>
      <c r="M1124" s="4">
        <f t="shared" si="53"/>
        <v>0.78645889174081685</v>
      </c>
    </row>
    <row r="1125" spans="1:13" x14ac:dyDescent="0.45">
      <c r="A1125" s="2">
        <v>44292</v>
      </c>
      <c r="B1125" s="1">
        <v>6086.55</v>
      </c>
      <c r="D1125" s="2">
        <v>44292</v>
      </c>
      <c r="E1125" s="1">
        <v>6112.4</v>
      </c>
      <c r="G1125" s="3">
        <v>6452615</v>
      </c>
      <c r="H1125" s="3">
        <f t="shared" si="51"/>
        <v>39274163828.25</v>
      </c>
      <c r="J1125" s="3">
        <v>30049000</v>
      </c>
      <c r="K1125" s="3">
        <f t="shared" si="52"/>
        <v>183671507600</v>
      </c>
      <c r="M1125" s="4">
        <f t="shared" si="53"/>
        <v>0.78617171306841283</v>
      </c>
    </row>
    <row r="1126" spans="1:13" x14ac:dyDescent="0.45">
      <c r="A1126" s="2">
        <v>44291</v>
      </c>
      <c r="B1126" s="1">
        <v>6010</v>
      </c>
      <c r="D1126" s="2">
        <v>44291</v>
      </c>
      <c r="E1126" s="1">
        <v>5642.2</v>
      </c>
      <c r="G1126" s="3">
        <v>6452615</v>
      </c>
      <c r="H1126" s="3">
        <f t="shared" si="51"/>
        <v>38780216150</v>
      </c>
      <c r="J1126" s="3">
        <v>30049000</v>
      </c>
      <c r="K1126" s="3">
        <f t="shared" si="52"/>
        <v>169542467800</v>
      </c>
      <c r="M1126" s="4">
        <f t="shared" si="53"/>
        <v>0.77126547316895899</v>
      </c>
    </row>
    <row r="1127" spans="1:13" x14ac:dyDescent="0.45">
      <c r="A1127" s="2">
        <v>44287</v>
      </c>
      <c r="B1127" s="1">
        <v>6022.05</v>
      </c>
      <c r="D1127" s="2">
        <v>44287</v>
      </c>
      <c r="E1127" s="1">
        <v>5743.25</v>
      </c>
      <c r="G1127" s="3">
        <v>6452615</v>
      </c>
      <c r="H1127" s="3">
        <f t="shared" si="51"/>
        <v>38857970160.75</v>
      </c>
      <c r="J1127" s="3">
        <v>30049000</v>
      </c>
      <c r="K1127" s="3">
        <f t="shared" si="52"/>
        <v>172578919250</v>
      </c>
      <c r="M1127" s="4">
        <f t="shared" si="53"/>
        <v>0.77483941648481491</v>
      </c>
    </row>
    <row r="1128" spans="1:13" x14ac:dyDescent="0.45">
      <c r="A1128" s="2">
        <v>44286</v>
      </c>
      <c r="B1128" s="1">
        <v>6062.15</v>
      </c>
      <c r="D1128" s="2">
        <v>44286</v>
      </c>
      <c r="E1128" s="1">
        <v>5406.5</v>
      </c>
      <c r="G1128" s="3">
        <v>6452615</v>
      </c>
      <c r="H1128" s="3">
        <f t="shared" si="51"/>
        <v>39116720022.25</v>
      </c>
      <c r="J1128" s="3">
        <v>30049000</v>
      </c>
      <c r="K1128" s="3">
        <f t="shared" si="52"/>
        <v>162459918500</v>
      </c>
      <c r="M1128" s="4">
        <f t="shared" si="53"/>
        <v>0.75922233383214455</v>
      </c>
    </row>
    <row r="1129" spans="1:13" x14ac:dyDescent="0.45">
      <c r="A1129" s="2">
        <v>44285</v>
      </c>
      <c r="B1129" s="1">
        <v>5884.65</v>
      </c>
      <c r="D1129" s="2">
        <v>44285</v>
      </c>
      <c r="E1129" s="1">
        <v>5406.9</v>
      </c>
      <c r="G1129" s="3">
        <v>6452615</v>
      </c>
      <c r="H1129" s="3">
        <f t="shared" si="51"/>
        <v>37971380859.75</v>
      </c>
      <c r="J1129" s="3">
        <v>30049000</v>
      </c>
      <c r="K1129" s="3">
        <f t="shared" si="52"/>
        <v>162471938100</v>
      </c>
      <c r="M1129" s="4">
        <f t="shared" si="53"/>
        <v>0.76628960481545461</v>
      </c>
    </row>
    <row r="1130" spans="1:13" x14ac:dyDescent="0.45">
      <c r="A1130" s="2">
        <v>44281</v>
      </c>
      <c r="B1130" s="1">
        <v>5660.35</v>
      </c>
      <c r="D1130" s="2">
        <v>44281</v>
      </c>
      <c r="E1130" s="1">
        <v>5267.6</v>
      </c>
      <c r="G1130" s="3">
        <v>6452615</v>
      </c>
      <c r="H1130" s="3">
        <f t="shared" si="51"/>
        <v>36524059315.25</v>
      </c>
      <c r="J1130" s="3">
        <v>30049000</v>
      </c>
      <c r="K1130" s="3">
        <f t="shared" si="52"/>
        <v>158286112400</v>
      </c>
      <c r="M1130" s="4">
        <f t="shared" si="53"/>
        <v>0.76925291321230271</v>
      </c>
    </row>
    <row r="1131" spans="1:13" x14ac:dyDescent="0.45">
      <c r="A1131" s="2">
        <v>44280</v>
      </c>
      <c r="B1131" s="1">
        <v>5405.05</v>
      </c>
      <c r="D1131" s="2">
        <v>44280</v>
      </c>
      <c r="E1131" s="1">
        <v>5253.2</v>
      </c>
      <c r="G1131" s="3">
        <v>6452615</v>
      </c>
      <c r="H1131" s="3">
        <f t="shared" si="51"/>
        <v>34876706705.75</v>
      </c>
      <c r="J1131" s="3">
        <v>30049000</v>
      </c>
      <c r="K1131" s="3">
        <f t="shared" si="52"/>
        <v>157853406800</v>
      </c>
      <c r="M1131" s="4">
        <f t="shared" si="53"/>
        <v>0.77905635733323941</v>
      </c>
    </row>
    <row r="1132" spans="1:13" x14ac:dyDescent="0.45">
      <c r="A1132" s="2">
        <v>44279</v>
      </c>
      <c r="B1132" s="1">
        <v>5495</v>
      </c>
      <c r="D1132" s="2">
        <v>44279</v>
      </c>
      <c r="E1132" s="1">
        <v>5310.95</v>
      </c>
      <c r="G1132" s="3">
        <v>6452615</v>
      </c>
      <c r="H1132" s="3">
        <f t="shared" si="51"/>
        <v>35457119425</v>
      </c>
      <c r="J1132" s="3">
        <v>30049000</v>
      </c>
      <c r="K1132" s="3">
        <f t="shared" si="52"/>
        <v>159588736550</v>
      </c>
      <c r="M1132" s="4">
        <f t="shared" si="53"/>
        <v>0.77782191781503895</v>
      </c>
    </row>
    <row r="1133" spans="1:13" x14ac:dyDescent="0.45">
      <c r="A1133" s="2">
        <v>44278</v>
      </c>
      <c r="B1133" s="1">
        <v>5481.15</v>
      </c>
      <c r="D1133" s="2">
        <v>44278</v>
      </c>
      <c r="E1133" s="1">
        <v>5346.65</v>
      </c>
      <c r="G1133" s="3">
        <v>6452615</v>
      </c>
      <c r="H1133" s="3">
        <f t="shared" si="51"/>
        <v>35367750707.25</v>
      </c>
      <c r="J1133" s="3">
        <v>30049000</v>
      </c>
      <c r="K1133" s="3">
        <f t="shared" si="52"/>
        <v>160661485850</v>
      </c>
      <c r="M1133" s="4">
        <f t="shared" si="53"/>
        <v>0.77986167300686637</v>
      </c>
    </row>
    <row r="1134" spans="1:13" x14ac:dyDescent="0.45">
      <c r="A1134" s="2">
        <v>44277</v>
      </c>
      <c r="B1134" s="1">
        <v>5512</v>
      </c>
      <c r="D1134" s="2">
        <v>44277</v>
      </c>
      <c r="E1134" s="1">
        <v>5282.55</v>
      </c>
      <c r="G1134" s="3">
        <v>6452615</v>
      </c>
      <c r="H1134" s="3">
        <f t="shared" si="51"/>
        <v>35566813880</v>
      </c>
      <c r="J1134" s="3">
        <v>30049000</v>
      </c>
      <c r="K1134" s="3">
        <f t="shared" si="52"/>
        <v>158735344950</v>
      </c>
      <c r="M1134" s="4">
        <f t="shared" si="53"/>
        <v>0.77593639342766929</v>
      </c>
    </row>
    <row r="1135" spans="1:13" x14ac:dyDescent="0.45">
      <c r="A1135" s="2">
        <v>44274</v>
      </c>
      <c r="B1135" s="1">
        <v>5583.3</v>
      </c>
      <c r="D1135" s="2">
        <v>44274</v>
      </c>
      <c r="E1135" s="1">
        <v>5320.5</v>
      </c>
      <c r="G1135" s="3">
        <v>6452615</v>
      </c>
      <c r="H1135" s="3">
        <f t="shared" si="51"/>
        <v>36026885329.5</v>
      </c>
      <c r="J1135" s="3">
        <v>30049000</v>
      </c>
      <c r="K1135" s="3">
        <f t="shared" si="52"/>
        <v>159875704500</v>
      </c>
      <c r="M1135" s="4">
        <f t="shared" si="53"/>
        <v>0.77465690961505662</v>
      </c>
    </row>
    <row r="1136" spans="1:13" x14ac:dyDescent="0.45">
      <c r="A1136" s="2">
        <v>44273</v>
      </c>
      <c r="B1136" s="1">
        <v>5624.45</v>
      </c>
      <c r="D1136" s="2">
        <v>44273</v>
      </c>
      <c r="E1136" s="1">
        <v>5282.25</v>
      </c>
      <c r="G1136" s="3">
        <v>6452615</v>
      </c>
      <c r="H1136" s="3">
        <f t="shared" si="51"/>
        <v>36292410436.75</v>
      </c>
      <c r="J1136" s="3">
        <v>30049000</v>
      </c>
      <c r="K1136" s="3">
        <f t="shared" si="52"/>
        <v>158726330250</v>
      </c>
      <c r="M1136" s="4">
        <f t="shared" si="53"/>
        <v>0.7713522993974089</v>
      </c>
    </row>
    <row r="1137" spans="1:13" x14ac:dyDescent="0.45">
      <c r="A1137" s="2">
        <v>44272</v>
      </c>
      <c r="B1137" s="1">
        <v>5620.45</v>
      </c>
      <c r="D1137" s="2">
        <v>44272</v>
      </c>
      <c r="E1137" s="1">
        <v>5402.6</v>
      </c>
      <c r="G1137" s="3">
        <v>6452615</v>
      </c>
      <c r="H1137" s="3">
        <f t="shared" si="51"/>
        <v>36266599976.75</v>
      </c>
      <c r="J1137" s="3">
        <v>30049000</v>
      </c>
      <c r="K1137" s="3">
        <f t="shared" si="52"/>
        <v>162342727400</v>
      </c>
      <c r="M1137" s="4">
        <f t="shared" si="53"/>
        <v>0.77660471425127731</v>
      </c>
    </row>
    <row r="1138" spans="1:13" x14ac:dyDescent="0.45">
      <c r="A1138" s="2">
        <v>44271</v>
      </c>
      <c r="B1138" s="1">
        <v>5700</v>
      </c>
      <c r="D1138" s="2">
        <v>44271</v>
      </c>
      <c r="E1138" s="1">
        <v>5501.7</v>
      </c>
      <c r="G1138" s="3">
        <v>6452615</v>
      </c>
      <c r="H1138" s="3">
        <f t="shared" si="51"/>
        <v>36779905500</v>
      </c>
      <c r="J1138" s="3">
        <v>30049000</v>
      </c>
      <c r="K1138" s="3">
        <f t="shared" si="52"/>
        <v>165320583300</v>
      </c>
      <c r="M1138" s="4">
        <f t="shared" si="53"/>
        <v>0.77752373742078373</v>
      </c>
    </row>
    <row r="1139" spans="1:13" x14ac:dyDescent="0.45">
      <c r="A1139" s="2">
        <v>44270</v>
      </c>
      <c r="B1139" s="1">
        <v>5642.9</v>
      </c>
      <c r="D1139" s="2">
        <v>44270</v>
      </c>
      <c r="E1139" s="1">
        <v>5525.6</v>
      </c>
      <c r="G1139" s="3">
        <v>6452615</v>
      </c>
      <c r="H1139" s="3">
        <f t="shared" si="51"/>
        <v>36411461183.5</v>
      </c>
      <c r="J1139" s="3">
        <v>30049000</v>
      </c>
      <c r="K1139" s="3">
        <f t="shared" si="52"/>
        <v>166038754400</v>
      </c>
      <c r="M1139" s="4">
        <f t="shared" si="53"/>
        <v>0.78070504494521797</v>
      </c>
    </row>
    <row r="1140" spans="1:13" x14ac:dyDescent="0.45">
      <c r="A1140" s="2">
        <v>44267</v>
      </c>
      <c r="B1140" s="1">
        <v>5620.75</v>
      </c>
      <c r="D1140" s="2">
        <v>44267</v>
      </c>
      <c r="E1140" s="1">
        <v>5599.05</v>
      </c>
      <c r="G1140" s="3">
        <v>6452615</v>
      </c>
      <c r="H1140" s="3">
        <f t="shared" si="51"/>
        <v>36268535761.25</v>
      </c>
      <c r="J1140" s="3">
        <v>30049000</v>
      </c>
      <c r="K1140" s="3">
        <f t="shared" si="52"/>
        <v>168245853450</v>
      </c>
      <c r="M1140" s="4">
        <f t="shared" si="53"/>
        <v>0.78443132465057497</v>
      </c>
    </row>
    <row r="1141" spans="1:13" x14ac:dyDescent="0.45">
      <c r="A1141" s="2">
        <v>44265</v>
      </c>
      <c r="B1141" s="1">
        <v>5649.45</v>
      </c>
      <c r="D1141" s="2">
        <v>44265</v>
      </c>
      <c r="E1141" s="1">
        <v>5661.4</v>
      </c>
      <c r="G1141" s="3">
        <v>6452615</v>
      </c>
      <c r="H1141" s="3">
        <f t="shared" si="51"/>
        <v>36453725811.75</v>
      </c>
      <c r="J1141" s="3">
        <v>30049000</v>
      </c>
      <c r="K1141" s="3">
        <f t="shared" si="52"/>
        <v>170119408600</v>
      </c>
      <c r="M1141" s="4">
        <f t="shared" si="53"/>
        <v>0.78571683200790299</v>
      </c>
    </row>
    <row r="1142" spans="1:13" x14ac:dyDescent="0.45">
      <c r="A1142" s="2">
        <v>44264</v>
      </c>
      <c r="B1142" s="1">
        <v>5671</v>
      </c>
      <c r="D1142" s="2">
        <v>44264</v>
      </c>
      <c r="E1142" s="1">
        <v>5625.85</v>
      </c>
      <c r="G1142" s="3">
        <v>6452615</v>
      </c>
      <c r="H1142" s="3">
        <f t="shared" si="51"/>
        <v>36592779665</v>
      </c>
      <c r="J1142" s="3">
        <v>30049000</v>
      </c>
      <c r="K1142" s="3">
        <f t="shared" si="52"/>
        <v>169051166650</v>
      </c>
      <c r="M1142" s="4">
        <f t="shared" si="53"/>
        <v>0.78354021217279779</v>
      </c>
    </row>
    <row r="1143" spans="1:13" x14ac:dyDescent="0.45">
      <c r="A1143" s="2">
        <v>44263</v>
      </c>
      <c r="B1143" s="1">
        <v>5788.9</v>
      </c>
      <c r="D1143" s="2">
        <v>44263</v>
      </c>
      <c r="E1143" s="1">
        <v>5658.25</v>
      </c>
      <c r="G1143" s="3">
        <v>6452615</v>
      </c>
      <c r="H1143" s="3">
        <f t="shared" si="51"/>
        <v>37353542973.5</v>
      </c>
      <c r="J1143" s="3">
        <v>30049000</v>
      </c>
      <c r="K1143" s="3">
        <f t="shared" si="52"/>
        <v>170024754250</v>
      </c>
      <c r="M1143" s="4">
        <f t="shared" si="53"/>
        <v>0.78030526708730708</v>
      </c>
    </row>
    <row r="1144" spans="1:13" x14ac:dyDescent="0.45">
      <c r="A1144" s="2">
        <v>44260</v>
      </c>
      <c r="B1144" s="1">
        <v>5706</v>
      </c>
      <c r="D1144" s="2">
        <v>44260</v>
      </c>
      <c r="E1144" s="1">
        <v>5629.45</v>
      </c>
      <c r="G1144" s="3">
        <v>6452615</v>
      </c>
      <c r="H1144" s="3">
        <f t="shared" si="51"/>
        <v>36818621190</v>
      </c>
      <c r="J1144" s="3">
        <v>30049000</v>
      </c>
      <c r="K1144" s="3">
        <f t="shared" si="52"/>
        <v>169159343050</v>
      </c>
      <c r="M1144" s="4">
        <f t="shared" si="53"/>
        <v>0.78234355533576894</v>
      </c>
    </row>
    <row r="1145" spans="1:13" x14ac:dyDescent="0.45">
      <c r="A1145" s="2">
        <v>44259</v>
      </c>
      <c r="B1145" s="1">
        <v>5754.9</v>
      </c>
      <c r="D1145" s="2">
        <v>44259</v>
      </c>
      <c r="E1145" s="1">
        <v>5710.8</v>
      </c>
      <c r="G1145" s="3">
        <v>6452615</v>
      </c>
      <c r="H1145" s="3">
        <f t="shared" si="51"/>
        <v>37134154063.5</v>
      </c>
      <c r="J1145" s="3">
        <v>30049000</v>
      </c>
      <c r="K1145" s="3">
        <f t="shared" si="52"/>
        <v>171603829200</v>
      </c>
      <c r="M1145" s="4">
        <f t="shared" si="53"/>
        <v>0.78360532957442885</v>
      </c>
    </row>
    <row r="1146" spans="1:13" x14ac:dyDescent="0.45">
      <c r="A1146" s="2">
        <v>44258</v>
      </c>
      <c r="B1146" s="1">
        <v>5800</v>
      </c>
      <c r="D1146" s="2">
        <v>44258</v>
      </c>
      <c r="E1146" s="1">
        <v>5688.4</v>
      </c>
      <c r="G1146" s="3">
        <v>6452615</v>
      </c>
      <c r="H1146" s="3">
        <f t="shared" si="51"/>
        <v>37425167000</v>
      </c>
      <c r="J1146" s="3">
        <v>30049000</v>
      </c>
      <c r="K1146" s="3">
        <f t="shared" si="52"/>
        <v>170930731600</v>
      </c>
      <c r="M1146" s="4">
        <f t="shared" si="53"/>
        <v>0.78105068263804234</v>
      </c>
    </row>
    <row r="1147" spans="1:13" x14ac:dyDescent="0.45">
      <c r="A1147" s="2">
        <v>44257</v>
      </c>
      <c r="B1147" s="1">
        <v>5693.05</v>
      </c>
      <c r="D1147" s="2">
        <v>44257</v>
      </c>
      <c r="E1147" s="1">
        <v>5503.8</v>
      </c>
      <c r="G1147" s="3">
        <v>6452615</v>
      </c>
      <c r="H1147" s="3">
        <f t="shared" si="51"/>
        <v>36735059825.75</v>
      </c>
      <c r="J1147" s="3">
        <v>30049000</v>
      </c>
      <c r="K1147" s="3">
        <f t="shared" si="52"/>
        <v>165383686200</v>
      </c>
      <c r="M1147" s="4">
        <f t="shared" si="53"/>
        <v>0.77787978566806182</v>
      </c>
    </row>
    <row r="1148" spans="1:13" x14ac:dyDescent="0.45">
      <c r="A1148" s="2">
        <v>44256</v>
      </c>
      <c r="B1148" s="1">
        <v>5757.4</v>
      </c>
      <c r="D1148" s="2">
        <v>44256</v>
      </c>
      <c r="E1148" s="1">
        <v>5422.35</v>
      </c>
      <c r="G1148" s="3">
        <v>6452615</v>
      </c>
      <c r="H1148" s="3">
        <f t="shared" si="51"/>
        <v>37150285601</v>
      </c>
      <c r="J1148" s="3">
        <v>30049000</v>
      </c>
      <c r="K1148" s="3">
        <f t="shared" si="52"/>
        <v>162936195150</v>
      </c>
      <c r="M1148" s="4">
        <f t="shared" si="53"/>
        <v>0.77199488691386686</v>
      </c>
    </row>
    <row r="1149" spans="1:13" x14ac:dyDescent="0.45">
      <c r="A1149" s="2">
        <v>44253</v>
      </c>
      <c r="B1149" s="1">
        <v>5671.7</v>
      </c>
      <c r="D1149" s="2">
        <v>44253</v>
      </c>
      <c r="E1149" s="1">
        <v>5443.7</v>
      </c>
      <c r="G1149" s="3">
        <v>6452615</v>
      </c>
      <c r="H1149" s="3">
        <f t="shared" si="51"/>
        <v>36597296495.5</v>
      </c>
      <c r="J1149" s="3">
        <v>30049000</v>
      </c>
      <c r="K1149" s="3">
        <f t="shared" si="52"/>
        <v>163577741300</v>
      </c>
      <c r="M1149" s="4">
        <f t="shared" si="53"/>
        <v>0.77626970390561323</v>
      </c>
    </row>
    <row r="1150" spans="1:13" x14ac:dyDescent="0.45">
      <c r="A1150" s="2">
        <v>44252</v>
      </c>
      <c r="B1150" s="1">
        <v>5828.7</v>
      </c>
      <c r="D1150" s="2">
        <v>44252</v>
      </c>
      <c r="E1150" s="1">
        <v>5540.45</v>
      </c>
      <c r="G1150" s="3">
        <v>6452615</v>
      </c>
      <c r="H1150" s="3">
        <f t="shared" si="51"/>
        <v>37610357050.5</v>
      </c>
      <c r="J1150" s="3">
        <v>30049000</v>
      </c>
      <c r="K1150" s="3">
        <f t="shared" si="52"/>
        <v>166484982050</v>
      </c>
      <c r="M1150" s="4">
        <f t="shared" si="53"/>
        <v>0.77409159320325616</v>
      </c>
    </row>
    <row r="1151" spans="1:13" x14ac:dyDescent="0.45">
      <c r="A1151" s="2">
        <v>44251</v>
      </c>
      <c r="B1151" s="1">
        <v>5892</v>
      </c>
      <c r="D1151" s="2">
        <v>44251</v>
      </c>
      <c r="E1151" s="1">
        <v>5491.95</v>
      </c>
      <c r="G1151" s="3">
        <v>6452615</v>
      </c>
      <c r="H1151" s="3">
        <f t="shared" si="51"/>
        <v>38018807580</v>
      </c>
      <c r="J1151" s="3">
        <v>30049000</v>
      </c>
      <c r="K1151" s="3">
        <f t="shared" si="52"/>
        <v>165027605550</v>
      </c>
      <c r="M1151" s="4">
        <f t="shared" si="53"/>
        <v>0.76962152814802198</v>
      </c>
    </row>
    <row r="1152" spans="1:13" x14ac:dyDescent="0.45">
      <c r="A1152" s="2">
        <v>44250</v>
      </c>
      <c r="B1152" s="1">
        <v>5839.95</v>
      </c>
      <c r="D1152" s="2">
        <v>44250</v>
      </c>
      <c r="E1152" s="1">
        <v>5411.3</v>
      </c>
      <c r="G1152" s="3">
        <v>6452615</v>
      </c>
      <c r="H1152" s="3">
        <f t="shared" si="51"/>
        <v>37682948969.25</v>
      </c>
      <c r="J1152" s="3">
        <v>30049000</v>
      </c>
      <c r="K1152" s="3">
        <f t="shared" si="52"/>
        <v>162604153700</v>
      </c>
      <c r="M1152" s="4">
        <f t="shared" si="53"/>
        <v>0.76825346639807268</v>
      </c>
    </row>
    <row r="1153" spans="1:13" x14ac:dyDescent="0.45">
      <c r="A1153" s="2">
        <v>44249</v>
      </c>
      <c r="B1153" s="1">
        <v>5745.4</v>
      </c>
      <c r="D1153" s="2">
        <v>44249</v>
      </c>
      <c r="E1153" s="1">
        <v>5350.25</v>
      </c>
      <c r="G1153" s="3">
        <v>6452615</v>
      </c>
      <c r="H1153" s="3">
        <f t="shared" si="51"/>
        <v>37072854221</v>
      </c>
      <c r="J1153" s="3">
        <v>30049000</v>
      </c>
      <c r="K1153" s="3">
        <f t="shared" si="52"/>
        <v>160769662250</v>
      </c>
      <c r="M1153" s="4">
        <f t="shared" si="53"/>
        <v>0.76940391798950869</v>
      </c>
    </row>
    <row r="1154" spans="1:13" x14ac:dyDescent="0.45">
      <c r="A1154" s="2">
        <v>44246</v>
      </c>
      <c r="B1154" s="1">
        <v>5872.6</v>
      </c>
      <c r="D1154" s="2">
        <v>44246</v>
      </c>
      <c r="E1154" s="1">
        <v>5514.8</v>
      </c>
      <c r="G1154" s="3">
        <v>6452615</v>
      </c>
      <c r="H1154" s="3">
        <f t="shared" si="51"/>
        <v>37893626849</v>
      </c>
      <c r="J1154" s="3">
        <v>30049000</v>
      </c>
      <c r="K1154" s="3">
        <f t="shared" si="52"/>
        <v>165714225200</v>
      </c>
      <c r="M1154" s="4">
        <f t="shared" si="53"/>
        <v>0.77133147861466755</v>
      </c>
    </row>
    <row r="1155" spans="1:13" x14ac:dyDescent="0.45">
      <c r="A1155" s="2">
        <v>44245</v>
      </c>
      <c r="B1155" s="1">
        <v>5910</v>
      </c>
      <c r="D1155" s="2">
        <v>44245</v>
      </c>
      <c r="E1155" s="1">
        <v>5661.7</v>
      </c>
      <c r="G1155" s="3">
        <v>6452615</v>
      </c>
      <c r="H1155" s="3">
        <f t="shared" si="51"/>
        <v>38134954650</v>
      </c>
      <c r="J1155" s="3">
        <v>30049000</v>
      </c>
      <c r="K1155" s="3">
        <f t="shared" si="52"/>
        <v>170128423300</v>
      </c>
      <c r="M1155" s="4">
        <f t="shared" si="53"/>
        <v>0.77584607021982555</v>
      </c>
    </row>
    <row r="1156" spans="1:13" x14ac:dyDescent="0.45">
      <c r="A1156" s="2">
        <v>44244</v>
      </c>
      <c r="B1156" s="1">
        <v>5800</v>
      </c>
      <c r="D1156" s="2">
        <v>44244</v>
      </c>
      <c r="E1156" s="1">
        <v>5685.05</v>
      </c>
      <c r="G1156" s="3">
        <v>6452615</v>
      </c>
      <c r="H1156" s="3">
        <f t="shared" ref="H1156:H1219" si="54">+G1156*B1156</f>
        <v>37425167000</v>
      </c>
      <c r="J1156" s="3">
        <v>30049000</v>
      </c>
      <c r="K1156" s="3">
        <f t="shared" ref="K1156:K1219" si="55">+J1156*E1156</f>
        <v>170830067450</v>
      </c>
      <c r="M1156" s="4">
        <f t="shared" ref="M1156:M1219" si="56">1- (H1156/K1156)</f>
        <v>0.78092166350660774</v>
      </c>
    </row>
    <row r="1157" spans="1:13" x14ac:dyDescent="0.45">
      <c r="A1157" s="2">
        <v>44243</v>
      </c>
      <c r="B1157" s="1">
        <v>5859.45</v>
      </c>
      <c r="D1157" s="2">
        <v>44243</v>
      </c>
      <c r="E1157" s="1">
        <v>5785.15</v>
      </c>
      <c r="G1157" s="3">
        <v>6452615</v>
      </c>
      <c r="H1157" s="3">
        <f t="shared" si="54"/>
        <v>37808774961.75</v>
      </c>
      <c r="J1157" s="3">
        <v>30049000</v>
      </c>
      <c r="K1157" s="3">
        <f t="shared" si="55"/>
        <v>173837972350</v>
      </c>
      <c r="M1157" s="4">
        <f t="shared" si="56"/>
        <v>0.78250566058359805</v>
      </c>
    </row>
    <row r="1158" spans="1:13" x14ac:dyDescent="0.45">
      <c r="A1158" s="2">
        <v>44242</v>
      </c>
      <c r="B1158" s="1">
        <v>5880.2</v>
      </c>
      <c r="D1158" s="2">
        <v>44242</v>
      </c>
      <c r="E1158" s="1">
        <v>5622.95</v>
      </c>
      <c r="G1158" s="3">
        <v>6452615</v>
      </c>
      <c r="H1158" s="3">
        <f t="shared" si="54"/>
        <v>37942666723</v>
      </c>
      <c r="J1158" s="3">
        <v>30049000</v>
      </c>
      <c r="K1158" s="3">
        <f t="shared" si="55"/>
        <v>168964024550</v>
      </c>
      <c r="M1158" s="4">
        <f t="shared" si="56"/>
        <v>0.77543937637581561</v>
      </c>
    </row>
    <row r="1159" spans="1:13" x14ac:dyDescent="0.45">
      <c r="A1159" s="2">
        <v>44239</v>
      </c>
      <c r="B1159" s="1">
        <v>5920.7</v>
      </c>
      <c r="D1159" s="2">
        <v>44239</v>
      </c>
      <c r="E1159" s="1">
        <v>5619.4</v>
      </c>
      <c r="G1159" s="3">
        <v>6452615</v>
      </c>
      <c r="H1159" s="3">
        <f t="shared" si="54"/>
        <v>38203997630.5</v>
      </c>
      <c r="J1159" s="3">
        <v>30049000</v>
      </c>
      <c r="K1159" s="3">
        <f t="shared" si="55"/>
        <v>168857350600</v>
      </c>
      <c r="M1159" s="4">
        <f t="shared" si="56"/>
        <v>0.77374986937346868</v>
      </c>
    </row>
    <row r="1160" spans="1:13" x14ac:dyDescent="0.45">
      <c r="A1160" s="2">
        <v>44238</v>
      </c>
      <c r="B1160" s="1">
        <v>5969.95</v>
      </c>
      <c r="D1160" s="2">
        <v>44238</v>
      </c>
      <c r="E1160" s="1">
        <v>5664.3</v>
      </c>
      <c r="G1160" s="3">
        <v>6452615</v>
      </c>
      <c r="H1160" s="3">
        <f t="shared" si="54"/>
        <v>38521788919.25</v>
      </c>
      <c r="J1160" s="3">
        <v>30049000</v>
      </c>
      <c r="K1160" s="3">
        <f t="shared" si="55"/>
        <v>170206550700</v>
      </c>
      <c r="M1160" s="4">
        <f t="shared" si="56"/>
        <v>0.77367622596883989</v>
      </c>
    </row>
    <row r="1161" spans="1:13" x14ac:dyDescent="0.45">
      <c r="A1161" s="2">
        <v>44237</v>
      </c>
      <c r="B1161" s="1">
        <v>5851.15</v>
      </c>
      <c r="D1161" s="2">
        <v>44237</v>
      </c>
      <c r="E1161" s="1">
        <v>5531.75</v>
      </c>
      <c r="G1161" s="3">
        <v>6452615</v>
      </c>
      <c r="H1161" s="3">
        <f t="shared" si="54"/>
        <v>37755218257.25</v>
      </c>
      <c r="J1161" s="3">
        <v>30049000</v>
      </c>
      <c r="K1161" s="3">
        <f t="shared" si="55"/>
        <v>166223555750</v>
      </c>
      <c r="M1161" s="4">
        <f t="shared" si="56"/>
        <v>0.77286481397357543</v>
      </c>
    </row>
    <row r="1162" spans="1:13" x14ac:dyDescent="0.45">
      <c r="A1162" s="2">
        <v>44236</v>
      </c>
      <c r="B1162" s="1">
        <v>5925.35</v>
      </c>
      <c r="D1162" s="2">
        <v>44236</v>
      </c>
      <c r="E1162" s="1">
        <v>5530.85</v>
      </c>
      <c r="G1162" s="3">
        <v>6452615</v>
      </c>
      <c r="H1162" s="3">
        <f t="shared" si="54"/>
        <v>38234002290.25</v>
      </c>
      <c r="J1162" s="3">
        <v>30049000</v>
      </c>
      <c r="K1162" s="3">
        <f t="shared" si="55"/>
        <v>166196511650</v>
      </c>
      <c r="M1162" s="4">
        <f t="shared" si="56"/>
        <v>0.76994702289077799</v>
      </c>
    </row>
    <row r="1163" spans="1:13" x14ac:dyDescent="0.45">
      <c r="A1163" s="2">
        <v>44235</v>
      </c>
      <c r="B1163" s="1">
        <v>6104.8</v>
      </c>
      <c r="D1163" s="2">
        <v>44235</v>
      </c>
      <c r="E1163" s="1">
        <v>5633.75</v>
      </c>
      <c r="G1163" s="3">
        <v>6452615</v>
      </c>
      <c r="H1163" s="3">
        <f t="shared" si="54"/>
        <v>39391924052</v>
      </c>
      <c r="J1163" s="3">
        <v>30049000</v>
      </c>
      <c r="K1163" s="3">
        <f t="shared" si="55"/>
        <v>169288553750</v>
      </c>
      <c r="M1163" s="4">
        <f t="shared" si="56"/>
        <v>0.76730899296255584</v>
      </c>
    </row>
    <row r="1164" spans="1:13" x14ac:dyDescent="0.45">
      <c r="A1164" s="2">
        <v>44232</v>
      </c>
      <c r="B1164" s="1">
        <v>6000.25</v>
      </c>
      <c r="D1164" s="2">
        <v>44232</v>
      </c>
      <c r="E1164" s="1">
        <v>5570.3</v>
      </c>
      <c r="G1164" s="3">
        <v>6452615</v>
      </c>
      <c r="H1164" s="3">
        <f t="shared" si="54"/>
        <v>38717303153.75</v>
      </c>
      <c r="J1164" s="3">
        <v>30049000</v>
      </c>
      <c r="K1164" s="3">
        <f t="shared" si="55"/>
        <v>167381944700</v>
      </c>
      <c r="M1164" s="4">
        <f t="shared" si="56"/>
        <v>0.76868889160570253</v>
      </c>
    </row>
    <row r="1165" spans="1:13" x14ac:dyDescent="0.45">
      <c r="A1165" s="2">
        <v>44231</v>
      </c>
      <c r="B1165" s="1">
        <v>6157.8</v>
      </c>
      <c r="D1165" s="2">
        <v>44231</v>
      </c>
      <c r="E1165" s="1">
        <v>5708.55</v>
      </c>
      <c r="G1165" s="3">
        <v>6452615</v>
      </c>
      <c r="H1165" s="3">
        <f t="shared" si="54"/>
        <v>39733912647</v>
      </c>
      <c r="J1165" s="3">
        <v>30049000</v>
      </c>
      <c r="K1165" s="3">
        <f t="shared" si="55"/>
        <v>171536218950</v>
      </c>
      <c r="M1165" s="4">
        <f t="shared" si="56"/>
        <v>0.76836429711335896</v>
      </c>
    </row>
    <row r="1166" spans="1:13" x14ac:dyDescent="0.45">
      <c r="A1166" s="2">
        <v>44230</v>
      </c>
      <c r="B1166" s="1">
        <v>6145.45</v>
      </c>
      <c r="D1166" s="2">
        <v>44230</v>
      </c>
      <c r="E1166" s="1">
        <v>5610.7</v>
      </c>
      <c r="G1166" s="3">
        <v>6452615</v>
      </c>
      <c r="H1166" s="3">
        <f t="shared" si="54"/>
        <v>39654222851.75</v>
      </c>
      <c r="J1166" s="3">
        <v>30049000</v>
      </c>
      <c r="K1166" s="3">
        <f t="shared" si="55"/>
        <v>168595924300</v>
      </c>
      <c r="M1166" s="4">
        <f t="shared" si="56"/>
        <v>0.76479726294457051</v>
      </c>
    </row>
    <row r="1167" spans="1:13" x14ac:dyDescent="0.45">
      <c r="A1167" s="2">
        <v>44229</v>
      </c>
      <c r="B1167" s="1">
        <v>5893.85</v>
      </c>
      <c r="D1167" s="2">
        <v>44229</v>
      </c>
      <c r="E1167" s="1">
        <v>5450.55</v>
      </c>
      <c r="G1167" s="3">
        <v>6452615</v>
      </c>
      <c r="H1167" s="3">
        <f t="shared" si="54"/>
        <v>38030744917.75</v>
      </c>
      <c r="J1167" s="3">
        <v>30049000</v>
      </c>
      <c r="K1167" s="3">
        <f t="shared" si="55"/>
        <v>163783576950</v>
      </c>
      <c r="M1167" s="4">
        <f t="shared" si="56"/>
        <v>0.76779878895086007</v>
      </c>
    </row>
    <row r="1168" spans="1:13" x14ac:dyDescent="0.45">
      <c r="A1168" s="2">
        <v>44228</v>
      </c>
      <c r="B1168" s="1">
        <v>5740.45</v>
      </c>
      <c r="D1168" s="2">
        <v>44228</v>
      </c>
      <c r="E1168" s="1">
        <v>5490.1</v>
      </c>
      <c r="G1168" s="3">
        <v>6452615</v>
      </c>
      <c r="H1168" s="3">
        <f t="shared" si="54"/>
        <v>37040913776.75</v>
      </c>
      <c r="J1168" s="3">
        <v>30049000</v>
      </c>
      <c r="K1168" s="3">
        <f t="shared" si="55"/>
        <v>164972014900</v>
      </c>
      <c r="M1168" s="4">
        <f t="shared" si="56"/>
        <v>0.7754715319492046</v>
      </c>
    </row>
    <row r="1169" spans="1:13" x14ac:dyDescent="0.45">
      <c r="A1169" s="2">
        <v>44225</v>
      </c>
      <c r="B1169" s="1">
        <v>5780</v>
      </c>
      <c r="D1169" s="2">
        <v>44225</v>
      </c>
      <c r="E1169" s="1">
        <v>5371.3</v>
      </c>
      <c r="G1169" s="3">
        <v>6452615</v>
      </c>
      <c r="H1169" s="3">
        <f t="shared" si="54"/>
        <v>37296114700</v>
      </c>
      <c r="J1169" s="3">
        <v>30049000</v>
      </c>
      <c r="K1169" s="3">
        <f t="shared" si="55"/>
        <v>161402193700</v>
      </c>
      <c r="M1169" s="4">
        <f t="shared" si="56"/>
        <v>0.76892436313893797</v>
      </c>
    </row>
    <row r="1170" spans="1:13" x14ac:dyDescent="0.45">
      <c r="A1170" s="2">
        <v>44224</v>
      </c>
      <c r="B1170" s="1">
        <v>5749.9</v>
      </c>
      <c r="D1170" s="2">
        <v>44224</v>
      </c>
      <c r="E1170" s="1">
        <v>5373.2</v>
      </c>
      <c r="G1170" s="3">
        <v>6452615</v>
      </c>
      <c r="H1170" s="3">
        <f t="shared" si="54"/>
        <v>37101890988.5</v>
      </c>
      <c r="J1170" s="3">
        <v>30049000</v>
      </c>
      <c r="K1170" s="3">
        <f t="shared" si="55"/>
        <v>161459286800</v>
      </c>
      <c r="M1170" s="4">
        <f t="shared" si="56"/>
        <v>0.77020899990436476</v>
      </c>
    </row>
    <row r="1171" spans="1:13" x14ac:dyDescent="0.45">
      <c r="A1171" s="2">
        <v>44223</v>
      </c>
      <c r="B1171" s="1">
        <v>5799</v>
      </c>
      <c r="D1171" s="2">
        <v>44223</v>
      </c>
      <c r="E1171" s="1">
        <v>5357.95</v>
      </c>
      <c r="G1171" s="3">
        <v>6452615</v>
      </c>
      <c r="H1171" s="3">
        <f t="shared" si="54"/>
        <v>37418714385</v>
      </c>
      <c r="J1171" s="3">
        <v>30049000</v>
      </c>
      <c r="K1171" s="3">
        <f t="shared" si="55"/>
        <v>161001039550</v>
      </c>
      <c r="M1171" s="4">
        <f t="shared" si="56"/>
        <v>0.76758712558884223</v>
      </c>
    </row>
    <row r="1172" spans="1:13" x14ac:dyDescent="0.45">
      <c r="A1172" s="2">
        <v>44221</v>
      </c>
      <c r="B1172" s="1">
        <v>5788.9</v>
      </c>
      <c r="D1172" s="2">
        <v>44221</v>
      </c>
      <c r="E1172" s="1">
        <v>5388.9</v>
      </c>
      <c r="G1172" s="3">
        <v>6452615</v>
      </c>
      <c r="H1172" s="3">
        <f t="shared" si="54"/>
        <v>37353542973.5</v>
      </c>
      <c r="J1172" s="3">
        <v>30049000</v>
      </c>
      <c r="K1172" s="3">
        <f t="shared" si="55"/>
        <v>161931056100</v>
      </c>
      <c r="M1172" s="4">
        <f t="shared" si="56"/>
        <v>0.76932440340268982</v>
      </c>
    </row>
    <row r="1173" spans="1:13" x14ac:dyDescent="0.45">
      <c r="A1173" s="2">
        <v>44218</v>
      </c>
      <c r="B1173" s="1">
        <v>5952.25</v>
      </c>
      <c r="D1173" s="2">
        <v>44218</v>
      </c>
      <c r="E1173" s="1">
        <v>5406.3</v>
      </c>
      <c r="G1173" s="3">
        <v>6452615</v>
      </c>
      <c r="H1173" s="3">
        <f t="shared" si="54"/>
        <v>38407577633.75</v>
      </c>
      <c r="J1173" s="3">
        <v>30049000</v>
      </c>
      <c r="K1173" s="3">
        <f t="shared" si="55"/>
        <v>162453908700</v>
      </c>
      <c r="M1173" s="4">
        <f t="shared" si="56"/>
        <v>0.76357861783014147</v>
      </c>
    </row>
    <row r="1174" spans="1:13" x14ac:dyDescent="0.45">
      <c r="A1174" s="2">
        <v>44217</v>
      </c>
      <c r="B1174" s="1">
        <v>6131.35</v>
      </c>
      <c r="D1174" s="2">
        <v>44217</v>
      </c>
      <c r="E1174" s="1">
        <v>5774.2</v>
      </c>
      <c r="G1174" s="3">
        <v>6452615</v>
      </c>
      <c r="H1174" s="3">
        <f t="shared" si="54"/>
        <v>39563240980.25</v>
      </c>
      <c r="J1174" s="3">
        <v>30049000</v>
      </c>
      <c r="K1174" s="3">
        <f t="shared" si="55"/>
        <v>173508935800</v>
      </c>
      <c r="M1174" s="4">
        <f t="shared" si="56"/>
        <v>0.77198153629474342</v>
      </c>
    </row>
    <row r="1175" spans="1:13" x14ac:dyDescent="0.45">
      <c r="A1175" s="2">
        <v>44216</v>
      </c>
      <c r="B1175" s="1">
        <v>6147.7</v>
      </c>
      <c r="D1175" s="2">
        <v>44216</v>
      </c>
      <c r="E1175" s="1">
        <v>5866.9</v>
      </c>
      <c r="G1175" s="3">
        <v>6452615</v>
      </c>
      <c r="H1175" s="3">
        <f t="shared" si="54"/>
        <v>39668741235.5</v>
      </c>
      <c r="J1175" s="3">
        <v>30049000</v>
      </c>
      <c r="K1175" s="3">
        <f t="shared" si="55"/>
        <v>176294478100</v>
      </c>
      <c r="M1175" s="4">
        <f t="shared" si="56"/>
        <v>0.77498591185029297</v>
      </c>
    </row>
    <row r="1176" spans="1:13" x14ac:dyDescent="0.45">
      <c r="A1176" s="2">
        <v>44215</v>
      </c>
      <c r="B1176" s="1">
        <v>6138.85</v>
      </c>
      <c r="D1176" s="2">
        <v>44215</v>
      </c>
      <c r="E1176" s="1">
        <v>5827.4</v>
      </c>
      <c r="G1176" s="3">
        <v>6452615</v>
      </c>
      <c r="H1176" s="3">
        <f t="shared" si="54"/>
        <v>39611635592.75</v>
      </c>
      <c r="J1176" s="3">
        <v>30049000</v>
      </c>
      <c r="K1176" s="3">
        <f t="shared" si="55"/>
        <v>175107542600</v>
      </c>
      <c r="M1176" s="4">
        <f t="shared" si="56"/>
        <v>0.77378681120986736</v>
      </c>
    </row>
    <row r="1177" spans="1:13" x14ac:dyDescent="0.45">
      <c r="A1177" s="2">
        <v>44214</v>
      </c>
      <c r="B1177" s="1">
        <v>6098.2</v>
      </c>
      <c r="D1177" s="2">
        <v>44214</v>
      </c>
      <c r="E1177" s="1">
        <v>5738.35</v>
      </c>
      <c r="G1177" s="3">
        <v>6452615</v>
      </c>
      <c r="H1177" s="3">
        <f t="shared" si="54"/>
        <v>39349336793</v>
      </c>
      <c r="J1177" s="3">
        <v>30049000</v>
      </c>
      <c r="K1177" s="3">
        <f t="shared" si="55"/>
        <v>172431679150</v>
      </c>
      <c r="M1177" s="4">
        <f t="shared" si="56"/>
        <v>0.77179752011363512</v>
      </c>
    </row>
    <row r="1178" spans="1:13" x14ac:dyDescent="0.45">
      <c r="A1178" s="2">
        <v>44211</v>
      </c>
      <c r="B1178" s="1">
        <v>6336.2</v>
      </c>
      <c r="D1178" s="2">
        <v>44211</v>
      </c>
      <c r="E1178" s="1">
        <v>5814.6</v>
      </c>
      <c r="G1178" s="3">
        <v>6452615</v>
      </c>
      <c r="H1178" s="3">
        <f t="shared" si="54"/>
        <v>40885059163</v>
      </c>
      <c r="J1178" s="3">
        <v>30049000</v>
      </c>
      <c r="K1178" s="3">
        <f t="shared" si="55"/>
        <v>174722915400</v>
      </c>
      <c r="M1178" s="4">
        <f t="shared" si="56"/>
        <v>0.76600058973718332</v>
      </c>
    </row>
    <row r="1179" spans="1:13" x14ac:dyDescent="0.45">
      <c r="A1179" s="2">
        <v>44210</v>
      </c>
      <c r="B1179" s="1">
        <v>6119.45</v>
      </c>
      <c r="D1179" s="2">
        <v>44210</v>
      </c>
      <c r="E1179" s="1">
        <v>5982.65</v>
      </c>
      <c r="G1179" s="3">
        <v>6452615</v>
      </c>
      <c r="H1179" s="3">
        <f t="shared" si="54"/>
        <v>39486454861.75</v>
      </c>
      <c r="J1179" s="3">
        <v>30049000</v>
      </c>
      <c r="K1179" s="3">
        <f t="shared" si="55"/>
        <v>179772649850</v>
      </c>
      <c r="M1179" s="4">
        <f t="shared" si="56"/>
        <v>0.78035338025724721</v>
      </c>
    </row>
    <row r="1180" spans="1:13" x14ac:dyDescent="0.45">
      <c r="A1180" s="2">
        <v>44209</v>
      </c>
      <c r="B1180" s="1">
        <v>5956.35</v>
      </c>
      <c r="D1180" s="2">
        <v>44209</v>
      </c>
      <c r="E1180" s="1">
        <v>6010.8</v>
      </c>
      <c r="G1180" s="3">
        <v>6452615</v>
      </c>
      <c r="H1180" s="3">
        <f t="shared" si="54"/>
        <v>38434033355.25</v>
      </c>
      <c r="J1180" s="3">
        <v>30049000</v>
      </c>
      <c r="K1180" s="3">
        <f t="shared" si="55"/>
        <v>180618529200</v>
      </c>
      <c r="M1180" s="4">
        <f t="shared" si="56"/>
        <v>0.7872088011928623</v>
      </c>
    </row>
    <row r="1181" spans="1:13" x14ac:dyDescent="0.45">
      <c r="A1181" s="2">
        <v>44208</v>
      </c>
      <c r="B1181" s="1">
        <v>5982.2</v>
      </c>
      <c r="D1181" s="2">
        <v>44208</v>
      </c>
      <c r="E1181" s="1">
        <v>5930.2</v>
      </c>
      <c r="G1181" s="3">
        <v>6452615</v>
      </c>
      <c r="H1181" s="3">
        <f t="shared" si="54"/>
        <v>38600833453</v>
      </c>
      <c r="J1181" s="3">
        <v>30049000</v>
      </c>
      <c r="K1181" s="3">
        <f t="shared" si="55"/>
        <v>178196579800</v>
      </c>
      <c r="M1181" s="4">
        <f t="shared" si="56"/>
        <v>0.78338061540617743</v>
      </c>
    </row>
    <row r="1182" spans="1:13" x14ac:dyDescent="0.45">
      <c r="A1182" s="2">
        <v>44207</v>
      </c>
      <c r="B1182" s="1">
        <v>5917.65</v>
      </c>
      <c r="D1182" s="2">
        <v>44207</v>
      </c>
      <c r="E1182" s="1">
        <v>5916.6</v>
      </c>
      <c r="G1182" s="3">
        <v>6452615</v>
      </c>
      <c r="H1182" s="3">
        <f t="shared" si="54"/>
        <v>38184317154.75</v>
      </c>
      <c r="J1182" s="3">
        <v>30049000</v>
      </c>
      <c r="K1182" s="3">
        <f t="shared" si="55"/>
        <v>177787913400</v>
      </c>
      <c r="M1182" s="4">
        <f t="shared" si="56"/>
        <v>0.78522546091848111</v>
      </c>
    </row>
    <row r="1183" spans="1:13" x14ac:dyDescent="0.45">
      <c r="A1183" s="2">
        <v>44204</v>
      </c>
      <c r="B1183" s="1">
        <v>5963.3</v>
      </c>
      <c r="D1183" s="2">
        <v>44204</v>
      </c>
      <c r="E1183" s="1">
        <v>5893.5</v>
      </c>
      <c r="G1183" s="3">
        <v>6452615</v>
      </c>
      <c r="H1183" s="3">
        <f t="shared" si="54"/>
        <v>38478879029.5</v>
      </c>
      <c r="J1183" s="3">
        <v>30049000</v>
      </c>
      <c r="K1183" s="3">
        <f t="shared" si="55"/>
        <v>177093781500</v>
      </c>
      <c r="M1183" s="4">
        <f t="shared" si="56"/>
        <v>0.78272032646442757</v>
      </c>
    </row>
    <row r="1184" spans="1:13" x14ac:dyDescent="0.45">
      <c r="A1184" s="2">
        <v>44203</v>
      </c>
      <c r="B1184" s="1">
        <v>5867.5</v>
      </c>
      <c r="D1184" s="2">
        <v>44203</v>
      </c>
      <c r="E1184" s="1">
        <v>5714.05</v>
      </c>
      <c r="G1184" s="3">
        <v>6452615</v>
      </c>
      <c r="H1184" s="3">
        <f t="shared" si="54"/>
        <v>37860718512.5</v>
      </c>
      <c r="J1184" s="3">
        <v>30049000</v>
      </c>
      <c r="K1184" s="3">
        <f t="shared" si="55"/>
        <v>171701488450</v>
      </c>
      <c r="M1184" s="4">
        <f t="shared" si="56"/>
        <v>0.77949685320564266</v>
      </c>
    </row>
    <row r="1185" spans="1:13" x14ac:dyDescent="0.45">
      <c r="A1185" s="2">
        <v>44202</v>
      </c>
      <c r="B1185" s="1">
        <v>5901</v>
      </c>
      <c r="D1185" s="2">
        <v>44202</v>
      </c>
      <c r="E1185" s="1">
        <v>5708.2</v>
      </c>
      <c r="G1185" s="3">
        <v>6452615</v>
      </c>
      <c r="H1185" s="3">
        <f t="shared" si="54"/>
        <v>38076881115</v>
      </c>
      <c r="J1185" s="3">
        <v>30049000</v>
      </c>
      <c r="K1185" s="3">
        <f t="shared" si="55"/>
        <v>171525701800</v>
      </c>
      <c r="M1185" s="4">
        <f t="shared" si="56"/>
        <v>0.77801063796609404</v>
      </c>
    </row>
    <row r="1186" spans="1:13" x14ac:dyDescent="0.45">
      <c r="A1186" s="2">
        <v>44201</v>
      </c>
      <c r="B1186" s="1">
        <v>5879.9</v>
      </c>
      <c r="D1186" s="2">
        <v>44201</v>
      </c>
      <c r="E1186" s="1">
        <v>5696.5</v>
      </c>
      <c r="G1186" s="3">
        <v>6452615</v>
      </c>
      <c r="H1186" s="3">
        <f t="shared" si="54"/>
        <v>37940730938.5</v>
      </c>
      <c r="J1186" s="3">
        <v>30049000</v>
      </c>
      <c r="K1186" s="3">
        <f t="shared" si="55"/>
        <v>171174128500</v>
      </c>
      <c r="M1186" s="4">
        <f t="shared" si="56"/>
        <v>0.77835008554753649</v>
      </c>
    </row>
    <row r="1187" spans="1:13" x14ac:dyDescent="0.45">
      <c r="A1187" s="2">
        <v>44200</v>
      </c>
      <c r="B1187" s="1">
        <v>6015.95</v>
      </c>
      <c r="D1187" s="2">
        <v>44200</v>
      </c>
      <c r="E1187" s="1">
        <v>5682.25</v>
      </c>
      <c r="G1187" s="3">
        <v>6452615</v>
      </c>
      <c r="H1187" s="3">
        <f t="shared" si="54"/>
        <v>38818609209.25</v>
      </c>
      <c r="J1187" s="3">
        <v>30049000</v>
      </c>
      <c r="K1187" s="3">
        <f t="shared" si="55"/>
        <v>170745930250</v>
      </c>
      <c r="M1187" s="4">
        <f t="shared" si="56"/>
        <v>0.7726527996748549</v>
      </c>
    </row>
    <row r="1188" spans="1:13" x14ac:dyDescent="0.45">
      <c r="A1188" s="2">
        <v>44197</v>
      </c>
      <c r="B1188" s="1">
        <v>6145.95</v>
      </c>
      <c r="D1188" s="2">
        <v>44197</v>
      </c>
      <c r="E1188" s="1">
        <v>5687.35</v>
      </c>
      <c r="G1188" s="3">
        <v>6452615</v>
      </c>
      <c r="H1188" s="3">
        <f t="shared" si="54"/>
        <v>39657449159.25</v>
      </c>
      <c r="J1188" s="3">
        <v>30049000</v>
      </c>
      <c r="K1188" s="3">
        <f t="shared" si="55"/>
        <v>170899180150</v>
      </c>
      <c r="M1188" s="4">
        <f t="shared" si="56"/>
        <v>0.76794827731506821</v>
      </c>
    </row>
    <row r="1189" spans="1:13" x14ac:dyDescent="0.45">
      <c r="A1189" s="2">
        <v>44196</v>
      </c>
      <c r="B1189" s="1">
        <v>6139.35</v>
      </c>
      <c r="D1189" s="2">
        <v>44196</v>
      </c>
      <c r="E1189" s="1">
        <v>5571.8</v>
      </c>
      <c r="G1189" s="3">
        <v>6452615</v>
      </c>
      <c r="H1189" s="3">
        <f t="shared" si="54"/>
        <v>39614861900.25</v>
      </c>
      <c r="J1189" s="3">
        <v>30049000</v>
      </c>
      <c r="K1189" s="3">
        <f t="shared" si="55"/>
        <v>167427018200</v>
      </c>
      <c r="M1189" s="4">
        <f t="shared" si="56"/>
        <v>0.76339026803351384</v>
      </c>
    </row>
    <row r="1190" spans="1:13" x14ac:dyDescent="0.45">
      <c r="A1190" s="2">
        <v>44195</v>
      </c>
      <c r="B1190" s="1">
        <v>5676.95</v>
      </c>
      <c r="D1190" s="2">
        <v>44195</v>
      </c>
      <c r="E1190" s="1">
        <v>5518.85</v>
      </c>
      <c r="G1190" s="3">
        <v>6452615</v>
      </c>
      <c r="H1190" s="3">
        <f t="shared" si="54"/>
        <v>36631172724.25</v>
      </c>
      <c r="J1190" s="3">
        <v>30049000</v>
      </c>
      <c r="K1190" s="3">
        <f t="shared" si="55"/>
        <v>165835923650</v>
      </c>
      <c r="M1190" s="4">
        <f t="shared" si="56"/>
        <v>0.77911195645666731</v>
      </c>
    </row>
    <row r="1191" spans="1:13" x14ac:dyDescent="0.45">
      <c r="A1191" s="2">
        <v>44194</v>
      </c>
      <c r="B1191" s="1">
        <v>5432.15</v>
      </c>
      <c r="D1191" s="2">
        <v>44194</v>
      </c>
      <c r="E1191" s="1">
        <v>5490.25</v>
      </c>
      <c r="G1191" s="3">
        <v>6452615</v>
      </c>
      <c r="H1191" s="3">
        <f t="shared" si="54"/>
        <v>35051572572.25</v>
      </c>
      <c r="J1191" s="3">
        <v>30049000</v>
      </c>
      <c r="K1191" s="3">
        <f t="shared" si="55"/>
        <v>164976522250</v>
      </c>
      <c r="M1191" s="4">
        <f t="shared" si="56"/>
        <v>0.78753599546040864</v>
      </c>
    </row>
    <row r="1192" spans="1:13" x14ac:dyDescent="0.45">
      <c r="A1192" s="2">
        <v>44193</v>
      </c>
      <c r="B1192" s="1">
        <v>5374.45</v>
      </c>
      <c r="D1192" s="2">
        <v>44193</v>
      </c>
      <c r="E1192" s="1">
        <v>5503.65</v>
      </c>
      <c r="G1192" s="3">
        <v>6452615</v>
      </c>
      <c r="H1192" s="3">
        <f t="shared" si="54"/>
        <v>34679256686.75</v>
      </c>
      <c r="J1192" s="3">
        <v>30049000</v>
      </c>
      <c r="K1192" s="3">
        <f t="shared" si="55"/>
        <v>165379178850</v>
      </c>
      <c r="M1192" s="4">
        <f t="shared" si="56"/>
        <v>0.7903045780738559</v>
      </c>
    </row>
    <row r="1193" spans="1:13" x14ac:dyDescent="0.45">
      <c r="A1193" s="2">
        <v>44189</v>
      </c>
      <c r="B1193" s="1">
        <v>5251.1</v>
      </c>
      <c r="D1193" s="2">
        <v>44189</v>
      </c>
      <c r="E1193" s="1">
        <v>5472.95</v>
      </c>
      <c r="G1193" s="3">
        <v>6452615</v>
      </c>
      <c r="H1193" s="3">
        <f t="shared" si="54"/>
        <v>33883326626.500004</v>
      </c>
      <c r="J1193" s="3">
        <v>30049000</v>
      </c>
      <c r="K1193" s="3">
        <f t="shared" si="55"/>
        <v>164456674550</v>
      </c>
      <c r="M1193" s="4">
        <f t="shared" si="56"/>
        <v>0.79396806654874685</v>
      </c>
    </row>
    <row r="1194" spans="1:13" x14ac:dyDescent="0.45">
      <c r="A1194" s="2">
        <v>44188</v>
      </c>
      <c r="B1194" s="1">
        <v>5270.7</v>
      </c>
      <c r="D1194" s="2">
        <v>44188</v>
      </c>
      <c r="E1194" s="1">
        <v>5530.05</v>
      </c>
      <c r="G1194" s="3">
        <v>6452615</v>
      </c>
      <c r="H1194" s="3">
        <f t="shared" si="54"/>
        <v>34009797880.5</v>
      </c>
      <c r="J1194" s="3">
        <v>30049000</v>
      </c>
      <c r="K1194" s="3">
        <f t="shared" si="55"/>
        <v>166172472450</v>
      </c>
      <c r="M1194" s="4">
        <f t="shared" si="56"/>
        <v>0.79533434521934265</v>
      </c>
    </row>
    <row r="1195" spans="1:13" x14ac:dyDescent="0.45">
      <c r="A1195" s="2">
        <v>44187</v>
      </c>
      <c r="B1195" s="1">
        <v>5170.6000000000004</v>
      </c>
      <c r="D1195" s="2">
        <v>44187</v>
      </c>
      <c r="E1195" s="1">
        <v>5389.8</v>
      </c>
      <c r="G1195" s="3">
        <v>6452615</v>
      </c>
      <c r="H1195" s="3">
        <f t="shared" si="54"/>
        <v>33363891119.000004</v>
      </c>
      <c r="J1195" s="3">
        <v>30049000</v>
      </c>
      <c r="K1195" s="3">
        <f t="shared" si="55"/>
        <v>161958100200</v>
      </c>
      <c r="M1195" s="4">
        <f t="shared" si="56"/>
        <v>0.79399677399401847</v>
      </c>
    </row>
    <row r="1196" spans="1:13" x14ac:dyDescent="0.45">
      <c r="A1196" s="2">
        <v>44186</v>
      </c>
      <c r="B1196" s="1">
        <v>5034.1499999999996</v>
      </c>
      <c r="D1196" s="2">
        <v>44186</v>
      </c>
      <c r="E1196" s="1">
        <v>5279.55</v>
      </c>
      <c r="G1196" s="3">
        <v>6452615</v>
      </c>
      <c r="H1196" s="3">
        <f t="shared" si="54"/>
        <v>32483431802.249996</v>
      </c>
      <c r="J1196" s="3">
        <v>30049000</v>
      </c>
      <c r="K1196" s="3">
        <f t="shared" si="55"/>
        <v>158645197950</v>
      </c>
      <c r="M1196" s="4">
        <f t="shared" si="56"/>
        <v>0.79524478381950292</v>
      </c>
    </row>
    <row r="1197" spans="1:13" x14ac:dyDescent="0.45">
      <c r="A1197" s="2">
        <v>44183</v>
      </c>
      <c r="B1197" s="1">
        <v>5290</v>
      </c>
      <c r="D1197" s="2">
        <v>44183</v>
      </c>
      <c r="E1197" s="1">
        <v>5547.1</v>
      </c>
      <c r="G1197" s="3">
        <v>6452615</v>
      </c>
      <c r="H1197" s="3">
        <f t="shared" si="54"/>
        <v>34134333350</v>
      </c>
      <c r="J1197" s="3">
        <v>30049000</v>
      </c>
      <c r="K1197" s="3">
        <f t="shared" si="55"/>
        <v>166684807900</v>
      </c>
      <c r="M1197" s="4">
        <f t="shared" si="56"/>
        <v>0.79521629007438777</v>
      </c>
    </row>
    <row r="1198" spans="1:13" x14ac:dyDescent="0.45">
      <c r="A1198" s="2">
        <v>44182</v>
      </c>
      <c r="B1198" s="1">
        <v>5328.85</v>
      </c>
      <c r="D1198" s="2">
        <v>44182</v>
      </c>
      <c r="E1198" s="1">
        <v>5530.65</v>
      </c>
      <c r="G1198" s="3">
        <v>6452615</v>
      </c>
      <c r="H1198" s="3">
        <f t="shared" si="54"/>
        <v>34385017442.75</v>
      </c>
      <c r="J1198" s="3">
        <v>30049000</v>
      </c>
      <c r="K1198" s="3">
        <f t="shared" si="55"/>
        <v>166190501850</v>
      </c>
      <c r="M1198" s="4">
        <f t="shared" si="56"/>
        <v>0.79309878085701202</v>
      </c>
    </row>
    <row r="1199" spans="1:13" x14ac:dyDescent="0.45">
      <c r="A1199" s="2">
        <v>44181</v>
      </c>
      <c r="B1199" s="1">
        <v>5164.8</v>
      </c>
      <c r="D1199" s="2">
        <v>44181</v>
      </c>
      <c r="E1199" s="1">
        <v>5341.85</v>
      </c>
      <c r="G1199" s="3">
        <v>6452615</v>
      </c>
      <c r="H1199" s="3">
        <f t="shared" si="54"/>
        <v>33326465952</v>
      </c>
      <c r="J1199" s="3">
        <v>30049000</v>
      </c>
      <c r="K1199" s="3">
        <f t="shared" si="55"/>
        <v>160517250650</v>
      </c>
      <c r="M1199" s="4">
        <f t="shared" si="56"/>
        <v>0.79238078264455991</v>
      </c>
    </row>
    <row r="1200" spans="1:13" x14ac:dyDescent="0.45">
      <c r="A1200" s="2">
        <v>44180</v>
      </c>
      <c r="B1200" s="1">
        <v>5172.45</v>
      </c>
      <c r="D1200" s="2">
        <v>44180</v>
      </c>
      <c r="E1200" s="1">
        <v>5207.75</v>
      </c>
      <c r="G1200" s="3">
        <v>6452615</v>
      </c>
      <c r="H1200" s="3">
        <f t="shared" si="54"/>
        <v>33375828456.75</v>
      </c>
      <c r="J1200" s="3">
        <v>30049000</v>
      </c>
      <c r="K1200" s="3">
        <f t="shared" si="55"/>
        <v>156487679750</v>
      </c>
      <c r="M1200" s="4">
        <f t="shared" si="56"/>
        <v>0.78671913015727357</v>
      </c>
    </row>
    <row r="1201" spans="1:13" x14ac:dyDescent="0.45">
      <c r="A1201" s="2">
        <v>44179</v>
      </c>
      <c r="B1201" s="1">
        <v>5239.95</v>
      </c>
      <c r="D1201" s="2">
        <v>44179</v>
      </c>
      <c r="E1201" s="1">
        <v>5307</v>
      </c>
      <c r="G1201" s="3">
        <v>6452615</v>
      </c>
      <c r="H1201" s="3">
        <f t="shared" si="54"/>
        <v>33811379969.25</v>
      </c>
      <c r="J1201" s="3">
        <v>30049000</v>
      </c>
      <c r="K1201" s="3">
        <f t="shared" si="55"/>
        <v>159470043000</v>
      </c>
      <c r="M1201" s="4">
        <f t="shared" si="56"/>
        <v>0.7879766046764658</v>
      </c>
    </row>
    <row r="1202" spans="1:13" x14ac:dyDescent="0.45">
      <c r="A1202" s="2">
        <v>44176</v>
      </c>
      <c r="B1202" s="1">
        <v>5310</v>
      </c>
      <c r="D1202" s="2">
        <v>44176</v>
      </c>
      <c r="E1202" s="1">
        <v>5270.45</v>
      </c>
      <c r="G1202" s="3">
        <v>6452615</v>
      </c>
      <c r="H1202" s="3">
        <f t="shared" si="54"/>
        <v>34263385650</v>
      </c>
      <c r="J1202" s="3">
        <v>30049000</v>
      </c>
      <c r="K1202" s="3">
        <f t="shared" si="55"/>
        <v>158371752050</v>
      </c>
      <c r="M1202" s="4">
        <f t="shared" si="56"/>
        <v>0.78365216519684266</v>
      </c>
    </row>
    <row r="1203" spans="1:13" x14ac:dyDescent="0.45">
      <c r="A1203" s="2">
        <v>44175</v>
      </c>
      <c r="B1203" s="1">
        <v>5310.85</v>
      </c>
      <c r="D1203" s="2">
        <v>44175</v>
      </c>
      <c r="E1203" s="1">
        <v>5309.2</v>
      </c>
      <c r="G1203" s="3">
        <v>6452615</v>
      </c>
      <c r="H1203" s="3">
        <f t="shared" si="54"/>
        <v>34268870372.750004</v>
      </c>
      <c r="J1203" s="3">
        <v>30049000</v>
      </c>
      <c r="K1203" s="3">
        <f t="shared" si="55"/>
        <v>159536150800</v>
      </c>
      <c r="M1203" s="4">
        <f t="shared" si="56"/>
        <v>0.78519683343927082</v>
      </c>
    </row>
    <row r="1204" spans="1:13" x14ac:dyDescent="0.45">
      <c r="A1204" s="2">
        <v>44174</v>
      </c>
      <c r="B1204" s="1">
        <v>5401.75</v>
      </c>
      <c r="D1204" s="2">
        <v>44174</v>
      </c>
      <c r="E1204" s="1">
        <v>5420.85</v>
      </c>
      <c r="G1204" s="3">
        <v>6452615</v>
      </c>
      <c r="H1204" s="3">
        <f t="shared" si="54"/>
        <v>34855413076.25</v>
      </c>
      <c r="J1204" s="3">
        <v>30049000</v>
      </c>
      <c r="K1204" s="3">
        <f t="shared" si="55"/>
        <v>162891121650</v>
      </c>
      <c r="M1204" s="4">
        <f t="shared" si="56"/>
        <v>0.78602017885822573</v>
      </c>
    </row>
    <row r="1205" spans="1:13" x14ac:dyDescent="0.45">
      <c r="A1205" s="2">
        <v>44173</v>
      </c>
      <c r="B1205" s="1">
        <v>5430</v>
      </c>
      <c r="D1205" s="2">
        <v>44173</v>
      </c>
      <c r="E1205" s="1">
        <v>5335.65</v>
      </c>
      <c r="G1205" s="3">
        <v>6452615</v>
      </c>
      <c r="H1205" s="3">
        <f t="shared" si="54"/>
        <v>35037699450</v>
      </c>
      <c r="J1205" s="3">
        <v>30049000</v>
      </c>
      <c r="K1205" s="3">
        <f t="shared" si="55"/>
        <v>160330946850</v>
      </c>
      <c r="M1205" s="4">
        <f t="shared" si="56"/>
        <v>0.78146639723409084</v>
      </c>
    </row>
    <row r="1206" spans="1:13" x14ac:dyDescent="0.45">
      <c r="A1206" s="2">
        <v>44172</v>
      </c>
      <c r="B1206" s="1">
        <v>5320.1</v>
      </c>
      <c r="D1206" s="2">
        <v>44172</v>
      </c>
      <c r="E1206" s="1">
        <v>5362.7</v>
      </c>
      <c r="G1206" s="3">
        <v>6452615</v>
      </c>
      <c r="H1206" s="3">
        <f t="shared" si="54"/>
        <v>34328557061.500004</v>
      </c>
      <c r="J1206" s="3">
        <v>30049000</v>
      </c>
      <c r="K1206" s="3">
        <f t="shared" si="55"/>
        <v>161143772300</v>
      </c>
      <c r="M1206" s="4">
        <f t="shared" si="56"/>
        <v>0.78696938410011397</v>
      </c>
    </row>
    <row r="1207" spans="1:13" x14ac:dyDescent="0.45">
      <c r="A1207" s="2">
        <v>44169</v>
      </c>
      <c r="B1207" s="1">
        <v>5318.1</v>
      </c>
      <c r="D1207" s="2">
        <v>44169</v>
      </c>
      <c r="E1207" s="1">
        <v>5332.4</v>
      </c>
      <c r="G1207" s="3">
        <v>6452615</v>
      </c>
      <c r="H1207" s="3">
        <f t="shared" si="54"/>
        <v>34315651831.500004</v>
      </c>
      <c r="J1207" s="3">
        <v>30049000</v>
      </c>
      <c r="K1207" s="3">
        <f t="shared" si="55"/>
        <v>160233287600</v>
      </c>
      <c r="M1207" s="4">
        <f t="shared" si="56"/>
        <v>0.7858394323334098</v>
      </c>
    </row>
    <row r="1208" spans="1:13" x14ac:dyDescent="0.45">
      <c r="A1208" s="2">
        <v>44168</v>
      </c>
      <c r="B1208" s="1">
        <v>5400</v>
      </c>
      <c r="D1208" s="2">
        <v>44168</v>
      </c>
      <c r="E1208" s="1">
        <v>5266.05</v>
      </c>
      <c r="G1208" s="3">
        <v>6452615</v>
      </c>
      <c r="H1208" s="3">
        <f t="shared" si="54"/>
        <v>34844121000</v>
      </c>
      <c r="J1208" s="3">
        <v>30049000</v>
      </c>
      <c r="K1208" s="3">
        <f t="shared" si="55"/>
        <v>158239536450</v>
      </c>
      <c r="M1208" s="4">
        <f t="shared" si="56"/>
        <v>0.77980142142915132</v>
      </c>
    </row>
    <row r="1209" spans="1:13" x14ac:dyDescent="0.45">
      <c r="A1209" s="2">
        <v>44167</v>
      </c>
      <c r="B1209" s="1">
        <v>5421.6</v>
      </c>
      <c r="D1209" s="2">
        <v>44167</v>
      </c>
      <c r="E1209" s="1">
        <v>5213.6499999999996</v>
      </c>
      <c r="G1209" s="3">
        <v>6452615</v>
      </c>
      <c r="H1209" s="3">
        <f t="shared" si="54"/>
        <v>34983497484</v>
      </c>
      <c r="J1209" s="3">
        <v>30049000</v>
      </c>
      <c r="K1209" s="3">
        <f t="shared" si="55"/>
        <v>156664968850</v>
      </c>
      <c r="M1209" s="4">
        <f t="shared" si="56"/>
        <v>0.77669865994423293</v>
      </c>
    </row>
    <row r="1210" spans="1:13" x14ac:dyDescent="0.45">
      <c r="A1210" s="2">
        <v>44166</v>
      </c>
      <c r="B1210" s="1">
        <v>5211.95</v>
      </c>
      <c r="D1210" s="2">
        <v>44166</v>
      </c>
      <c r="E1210" s="1">
        <v>5098.7</v>
      </c>
      <c r="G1210" s="3">
        <v>6452615</v>
      </c>
      <c r="H1210" s="3">
        <f t="shared" si="54"/>
        <v>33630706749.25</v>
      </c>
      <c r="J1210" s="3">
        <v>30049000</v>
      </c>
      <c r="K1210" s="3">
        <f t="shared" si="55"/>
        <v>153210836300</v>
      </c>
      <c r="M1210" s="4">
        <f t="shared" si="56"/>
        <v>0.78049394180318821</v>
      </c>
    </row>
    <row r="1211" spans="1:13" x14ac:dyDescent="0.45">
      <c r="A1211" s="2">
        <v>44162</v>
      </c>
      <c r="B1211" s="1">
        <v>5212.1000000000004</v>
      </c>
      <c r="D1211" s="2">
        <v>44162</v>
      </c>
      <c r="E1211" s="1">
        <v>5135.3</v>
      </c>
      <c r="G1211" s="3">
        <v>6452615</v>
      </c>
      <c r="H1211" s="3">
        <f t="shared" si="54"/>
        <v>33631674641.500004</v>
      </c>
      <c r="J1211" s="3">
        <v>30049000</v>
      </c>
      <c r="K1211" s="3">
        <f t="shared" si="55"/>
        <v>154310629700</v>
      </c>
      <c r="M1211" s="4">
        <f t="shared" si="56"/>
        <v>0.78205211976074251</v>
      </c>
    </row>
    <row r="1212" spans="1:13" x14ac:dyDescent="0.45">
      <c r="A1212" s="2">
        <v>44161</v>
      </c>
      <c r="B1212" s="1">
        <v>5197.25</v>
      </c>
      <c r="D1212" s="2">
        <v>44161</v>
      </c>
      <c r="E1212" s="1">
        <v>5079.7</v>
      </c>
      <c r="G1212" s="3">
        <v>6452615</v>
      </c>
      <c r="H1212" s="3">
        <f t="shared" si="54"/>
        <v>33535853308.75</v>
      </c>
      <c r="J1212" s="3">
        <v>30049000</v>
      </c>
      <c r="K1212" s="3">
        <f t="shared" si="55"/>
        <v>152639905300</v>
      </c>
      <c r="M1212" s="4">
        <f t="shared" si="56"/>
        <v>0.78029432576731295</v>
      </c>
    </row>
    <row r="1213" spans="1:13" x14ac:dyDescent="0.45">
      <c r="A1213" s="2">
        <v>44160</v>
      </c>
      <c r="B1213" s="1">
        <v>5300</v>
      </c>
      <c r="D1213" s="2">
        <v>44160</v>
      </c>
      <c r="E1213" s="1">
        <v>5105.25</v>
      </c>
      <c r="G1213" s="3">
        <v>6452615</v>
      </c>
      <c r="H1213" s="3">
        <f t="shared" si="54"/>
        <v>34198859500</v>
      </c>
      <c r="J1213" s="3">
        <v>30049000</v>
      </c>
      <c r="K1213" s="3">
        <f t="shared" si="55"/>
        <v>153407657250</v>
      </c>
      <c r="M1213" s="4">
        <f t="shared" si="56"/>
        <v>0.77707201770073309</v>
      </c>
    </row>
    <row r="1214" spans="1:13" x14ac:dyDescent="0.45">
      <c r="A1214" s="2">
        <v>44159</v>
      </c>
      <c r="B1214" s="1">
        <v>5334.25</v>
      </c>
      <c r="D1214" s="2">
        <v>44159</v>
      </c>
      <c r="E1214" s="1">
        <v>5331.95</v>
      </c>
      <c r="G1214" s="3">
        <v>6452615</v>
      </c>
      <c r="H1214" s="3">
        <f t="shared" si="54"/>
        <v>34419861563.75</v>
      </c>
      <c r="J1214" s="3">
        <v>30049000</v>
      </c>
      <c r="K1214" s="3">
        <f t="shared" si="55"/>
        <v>160219765550</v>
      </c>
      <c r="M1214" s="4">
        <f t="shared" si="56"/>
        <v>0.78517094039181734</v>
      </c>
    </row>
    <row r="1215" spans="1:13" x14ac:dyDescent="0.45">
      <c r="A1215" s="2">
        <v>44158</v>
      </c>
      <c r="B1215" s="1">
        <v>5255.1</v>
      </c>
      <c r="D1215" s="2">
        <v>44158</v>
      </c>
      <c r="E1215" s="1">
        <v>5156.8500000000004</v>
      </c>
      <c r="G1215" s="3">
        <v>6452615</v>
      </c>
      <c r="H1215" s="3">
        <f t="shared" si="54"/>
        <v>33909137086.500004</v>
      </c>
      <c r="J1215" s="3">
        <v>30049000</v>
      </c>
      <c r="K1215" s="3">
        <f t="shared" si="55"/>
        <v>154958185650</v>
      </c>
      <c r="M1215" s="4">
        <f t="shared" si="56"/>
        <v>0.78117234049777995</v>
      </c>
    </row>
    <row r="1216" spans="1:13" x14ac:dyDescent="0.45">
      <c r="A1216" s="2">
        <v>44155</v>
      </c>
      <c r="B1216" s="1">
        <v>5254.1</v>
      </c>
      <c r="D1216" s="2">
        <v>44155</v>
      </c>
      <c r="E1216" s="1">
        <v>5090.75</v>
      </c>
      <c r="G1216" s="3">
        <v>6452615</v>
      </c>
      <c r="H1216" s="3">
        <f t="shared" si="54"/>
        <v>33902684471.500004</v>
      </c>
      <c r="J1216" s="3">
        <v>30049000</v>
      </c>
      <c r="K1216" s="3">
        <f t="shared" si="55"/>
        <v>152971946750</v>
      </c>
      <c r="M1216" s="4">
        <f t="shared" si="56"/>
        <v>0.77837319069419508</v>
      </c>
    </row>
    <row r="1217" spans="1:13" x14ac:dyDescent="0.45">
      <c r="A1217" s="2">
        <v>44154</v>
      </c>
      <c r="B1217" s="1">
        <v>5250.85</v>
      </c>
      <c r="D1217" s="2">
        <v>44154</v>
      </c>
      <c r="E1217" s="1">
        <v>5052.05</v>
      </c>
      <c r="G1217" s="3">
        <v>6452615</v>
      </c>
      <c r="H1217" s="3">
        <f t="shared" si="54"/>
        <v>33881713472.750004</v>
      </c>
      <c r="J1217" s="3">
        <v>30049000</v>
      </c>
      <c r="K1217" s="3">
        <f t="shared" si="55"/>
        <v>151809050450</v>
      </c>
      <c r="M1217" s="4">
        <f t="shared" si="56"/>
        <v>0.77681361307302743</v>
      </c>
    </row>
    <row r="1218" spans="1:13" x14ac:dyDescent="0.45">
      <c r="A1218" s="2">
        <v>44153</v>
      </c>
      <c r="B1218" s="1">
        <v>5197.2</v>
      </c>
      <c r="D1218" s="2">
        <v>44153</v>
      </c>
      <c r="E1218" s="1">
        <v>5028.6499999999996</v>
      </c>
      <c r="G1218" s="3">
        <v>6452615</v>
      </c>
      <c r="H1218" s="3">
        <f t="shared" si="54"/>
        <v>33535530678</v>
      </c>
      <c r="J1218" s="3">
        <v>30049000</v>
      </c>
      <c r="K1218" s="3">
        <f t="shared" si="55"/>
        <v>151105903850</v>
      </c>
      <c r="M1218" s="4">
        <f t="shared" si="56"/>
        <v>0.77806604623939712</v>
      </c>
    </row>
    <row r="1219" spans="1:13" x14ac:dyDescent="0.45">
      <c r="A1219" s="2">
        <v>44152</v>
      </c>
      <c r="B1219" s="1">
        <v>5261.05</v>
      </c>
      <c r="D1219" s="2">
        <v>44152</v>
      </c>
      <c r="E1219" s="1">
        <v>5057.6000000000004</v>
      </c>
      <c r="G1219" s="3">
        <v>6452615</v>
      </c>
      <c r="H1219" s="3">
        <f t="shared" si="54"/>
        <v>33947530145.75</v>
      </c>
      <c r="J1219" s="3">
        <v>30049000</v>
      </c>
      <c r="K1219" s="3">
        <f t="shared" si="55"/>
        <v>151975822400</v>
      </c>
      <c r="M1219" s="4">
        <f t="shared" si="56"/>
        <v>0.77662545522273807</v>
      </c>
    </row>
    <row r="1220" spans="1:13" x14ac:dyDescent="0.45">
      <c r="A1220" s="2">
        <v>44149</v>
      </c>
      <c r="B1220" s="1">
        <v>5344.35</v>
      </c>
      <c r="D1220" s="2">
        <v>44149</v>
      </c>
      <c r="E1220" s="1">
        <v>5141.25</v>
      </c>
      <c r="G1220" s="3">
        <v>6452615</v>
      </c>
      <c r="H1220" s="3">
        <f t="shared" ref="H1220:H1244" si="57">+G1220*B1220</f>
        <v>34485032975.25</v>
      </c>
      <c r="J1220" s="3">
        <v>30049000</v>
      </c>
      <c r="K1220" s="3">
        <f t="shared" ref="K1220:K1244" si="58">+J1220*E1220</f>
        <v>154489421250</v>
      </c>
      <c r="M1220" s="4">
        <f t="shared" ref="M1220:M1244" si="59">1- (H1220/K1220)</f>
        <v>0.77678061904675566</v>
      </c>
    </row>
    <row r="1221" spans="1:13" x14ac:dyDescent="0.45">
      <c r="A1221" s="2">
        <v>44148</v>
      </c>
      <c r="B1221" s="1">
        <v>5286.9</v>
      </c>
      <c r="D1221" s="2">
        <v>44148</v>
      </c>
      <c r="E1221" s="1">
        <v>5140.45</v>
      </c>
      <c r="G1221" s="3">
        <v>6452615</v>
      </c>
      <c r="H1221" s="3">
        <f t="shared" si="57"/>
        <v>34114330243.499996</v>
      </c>
      <c r="J1221" s="3">
        <v>30049000</v>
      </c>
      <c r="K1221" s="3">
        <f t="shared" si="58"/>
        <v>154465382050</v>
      </c>
      <c r="M1221" s="4">
        <f t="shared" si="59"/>
        <v>0.77914578793805533</v>
      </c>
    </row>
    <row r="1222" spans="1:13" x14ac:dyDescent="0.45">
      <c r="A1222" s="2">
        <v>44147</v>
      </c>
      <c r="B1222" s="1">
        <v>5132.25</v>
      </c>
      <c r="D1222" s="2">
        <v>44147</v>
      </c>
      <c r="E1222" s="1">
        <v>5088.2</v>
      </c>
      <c r="G1222" s="3">
        <v>6452615</v>
      </c>
      <c r="H1222" s="3">
        <f t="shared" si="57"/>
        <v>33116433333.75</v>
      </c>
      <c r="J1222" s="3">
        <v>30049000</v>
      </c>
      <c r="K1222" s="3">
        <f t="shared" si="58"/>
        <v>152895321800</v>
      </c>
      <c r="M1222" s="4">
        <f t="shared" si="59"/>
        <v>0.78340453492050532</v>
      </c>
    </row>
    <row r="1223" spans="1:13" x14ac:dyDescent="0.45">
      <c r="A1223" s="2">
        <v>44146</v>
      </c>
      <c r="B1223" s="1">
        <v>5114.55</v>
      </c>
      <c r="D1223" s="2">
        <v>44146</v>
      </c>
      <c r="E1223" s="1">
        <v>5008.5</v>
      </c>
      <c r="G1223" s="3">
        <v>6452615</v>
      </c>
      <c r="H1223" s="3">
        <f t="shared" si="57"/>
        <v>33002222048.25</v>
      </c>
      <c r="J1223" s="3">
        <v>30049000</v>
      </c>
      <c r="K1223" s="3">
        <f t="shared" si="58"/>
        <v>150500416500</v>
      </c>
      <c r="M1223" s="4">
        <f t="shared" si="59"/>
        <v>0.780716739423442</v>
      </c>
    </row>
    <row r="1224" spans="1:13" x14ac:dyDescent="0.45">
      <c r="A1224" s="2">
        <v>44145</v>
      </c>
      <c r="B1224" s="1">
        <v>5120.55</v>
      </c>
      <c r="D1224" s="2">
        <v>44145</v>
      </c>
      <c r="E1224" s="1">
        <v>4982</v>
      </c>
      <c r="G1224" s="3">
        <v>6452615</v>
      </c>
      <c r="H1224" s="3">
        <f t="shared" si="57"/>
        <v>33040937738.25</v>
      </c>
      <c r="J1224" s="3">
        <v>30049000</v>
      </c>
      <c r="K1224" s="3">
        <f t="shared" si="58"/>
        <v>149704118000</v>
      </c>
      <c r="M1224" s="4">
        <f t="shared" si="59"/>
        <v>0.77929172437160343</v>
      </c>
    </row>
    <row r="1225" spans="1:13" x14ac:dyDescent="0.45">
      <c r="A1225" s="2">
        <v>44144</v>
      </c>
      <c r="B1225" s="1">
        <v>5215.3999999999996</v>
      </c>
      <c r="D1225" s="2">
        <v>44144</v>
      </c>
      <c r="E1225" s="1">
        <v>5070.7</v>
      </c>
      <c r="G1225" s="3">
        <v>6452615</v>
      </c>
      <c r="H1225" s="3">
        <f t="shared" si="57"/>
        <v>33652968270.999996</v>
      </c>
      <c r="J1225" s="3">
        <v>30049000</v>
      </c>
      <c r="K1225" s="3">
        <f t="shared" si="58"/>
        <v>152369464300</v>
      </c>
      <c r="M1225" s="4">
        <f t="shared" si="59"/>
        <v>0.77913574464801738</v>
      </c>
    </row>
    <row r="1226" spans="1:13" x14ac:dyDescent="0.45">
      <c r="A1226" s="2">
        <v>44141</v>
      </c>
      <c r="B1226" s="1">
        <v>5355.05</v>
      </c>
      <c r="D1226" s="2">
        <v>44141</v>
      </c>
      <c r="E1226" s="1">
        <v>4952.05</v>
      </c>
      <c r="G1226" s="3">
        <v>6452615</v>
      </c>
      <c r="H1226" s="3">
        <f t="shared" si="57"/>
        <v>34554075955.75</v>
      </c>
      <c r="J1226" s="3">
        <v>30049000</v>
      </c>
      <c r="K1226" s="3">
        <f t="shared" si="58"/>
        <v>148804150450</v>
      </c>
      <c r="M1226" s="4">
        <f t="shared" si="59"/>
        <v>0.76778822464793683</v>
      </c>
    </row>
    <row r="1227" spans="1:13" x14ac:dyDescent="0.45">
      <c r="A1227" s="2">
        <v>44140</v>
      </c>
      <c r="B1227" s="1">
        <v>5035.7</v>
      </c>
      <c r="D1227" s="2">
        <v>44140</v>
      </c>
      <c r="E1227" s="1">
        <v>4869.2</v>
      </c>
      <c r="G1227" s="3">
        <v>6452615</v>
      </c>
      <c r="H1227" s="3">
        <f t="shared" si="57"/>
        <v>32493433355.5</v>
      </c>
      <c r="J1227" s="3">
        <v>30049000</v>
      </c>
      <c r="K1227" s="3">
        <f t="shared" si="58"/>
        <v>146314590800</v>
      </c>
      <c r="M1227" s="4">
        <f t="shared" si="59"/>
        <v>0.77792075842992414</v>
      </c>
    </row>
    <row r="1228" spans="1:13" x14ac:dyDescent="0.45">
      <c r="A1228" s="2">
        <v>44139</v>
      </c>
      <c r="B1228" s="1">
        <v>4859.5</v>
      </c>
      <c r="D1228" s="2">
        <v>44139</v>
      </c>
      <c r="E1228" s="1">
        <v>4439.75</v>
      </c>
      <c r="G1228" s="3">
        <v>6452615</v>
      </c>
      <c r="H1228" s="3">
        <f t="shared" si="57"/>
        <v>31356482592.5</v>
      </c>
      <c r="J1228" s="3">
        <v>30049000</v>
      </c>
      <c r="K1228" s="3">
        <f t="shared" si="58"/>
        <v>133410047750</v>
      </c>
      <c r="M1228" s="4">
        <f t="shared" si="59"/>
        <v>0.76496161180258626</v>
      </c>
    </row>
    <row r="1229" spans="1:13" x14ac:dyDescent="0.45">
      <c r="A1229" s="2">
        <v>44138</v>
      </c>
      <c r="B1229" s="1">
        <v>4681.1000000000004</v>
      </c>
      <c r="D1229" s="2">
        <v>44138</v>
      </c>
      <c r="E1229" s="1">
        <v>4394.3999999999996</v>
      </c>
      <c r="G1229" s="3">
        <v>6452615</v>
      </c>
      <c r="H1229" s="3">
        <f t="shared" si="57"/>
        <v>30205336076.500004</v>
      </c>
      <c r="J1229" s="3">
        <v>30049000</v>
      </c>
      <c r="K1229" s="3">
        <f t="shared" si="58"/>
        <v>132047325599.99998</v>
      </c>
      <c r="M1229" s="4">
        <f t="shared" si="59"/>
        <v>0.77125370817430616</v>
      </c>
    </row>
    <row r="1230" spans="1:13" x14ac:dyDescent="0.45">
      <c r="A1230" s="2">
        <v>44137</v>
      </c>
      <c r="B1230" s="1">
        <v>4768.5</v>
      </c>
      <c r="D1230" s="2">
        <v>44137</v>
      </c>
      <c r="E1230" s="1">
        <v>4400.7</v>
      </c>
      <c r="G1230" s="3">
        <v>6452615</v>
      </c>
      <c r="H1230" s="3">
        <f t="shared" si="57"/>
        <v>30769294627.5</v>
      </c>
      <c r="J1230" s="3">
        <v>30049000</v>
      </c>
      <c r="K1230" s="3">
        <f t="shared" si="58"/>
        <v>132236634300</v>
      </c>
      <c r="M1230" s="4">
        <f t="shared" si="59"/>
        <v>0.76731641129269124</v>
      </c>
    </row>
    <row r="1231" spans="1:13" x14ac:dyDescent="0.45">
      <c r="A1231" s="2">
        <v>44134</v>
      </c>
      <c r="B1231" s="1">
        <v>4820</v>
      </c>
      <c r="D1231" s="2">
        <v>44134</v>
      </c>
      <c r="E1231" s="1">
        <v>4416.6499999999996</v>
      </c>
      <c r="G1231" s="3">
        <v>6452615</v>
      </c>
      <c r="H1231" s="3">
        <f t="shared" si="57"/>
        <v>31101604300</v>
      </c>
      <c r="J1231" s="3">
        <v>30049000</v>
      </c>
      <c r="K1231" s="3">
        <f t="shared" si="58"/>
        <v>132715915849.99998</v>
      </c>
      <c r="M1231" s="4">
        <f t="shared" si="59"/>
        <v>0.7656527922758557</v>
      </c>
    </row>
    <row r="1232" spans="1:13" x14ac:dyDescent="0.45">
      <c r="A1232" s="2">
        <v>44133</v>
      </c>
      <c r="B1232" s="1">
        <v>4820</v>
      </c>
      <c r="D1232" s="2">
        <v>44133</v>
      </c>
      <c r="E1232" s="1">
        <v>4445.75</v>
      </c>
      <c r="G1232" s="3">
        <v>6452615</v>
      </c>
      <c r="H1232" s="3">
        <f t="shared" si="57"/>
        <v>31101604300</v>
      </c>
      <c r="J1232" s="3">
        <v>30049000</v>
      </c>
      <c r="K1232" s="3">
        <f t="shared" si="58"/>
        <v>133590341750</v>
      </c>
      <c r="M1232" s="4">
        <f t="shared" si="59"/>
        <v>0.767186730024216</v>
      </c>
    </row>
    <row r="1233" spans="1:13" x14ac:dyDescent="0.45">
      <c r="A1233" s="2">
        <v>44132</v>
      </c>
      <c r="B1233" s="1">
        <v>4810</v>
      </c>
      <c r="D1233" s="2">
        <v>44132</v>
      </c>
      <c r="E1233" s="1">
        <v>4374</v>
      </c>
      <c r="G1233" s="3">
        <v>6452615</v>
      </c>
      <c r="H1233" s="3">
        <f t="shared" si="57"/>
        <v>31037078150</v>
      </c>
      <c r="J1233" s="3">
        <v>30049000</v>
      </c>
      <c r="K1233" s="3">
        <f t="shared" si="58"/>
        <v>131434326000</v>
      </c>
      <c r="M1233" s="4">
        <f t="shared" si="59"/>
        <v>0.76385865782124529</v>
      </c>
    </row>
    <row r="1234" spans="1:13" x14ac:dyDescent="0.45">
      <c r="A1234" s="2">
        <v>44131</v>
      </c>
      <c r="B1234" s="1">
        <v>4814.8</v>
      </c>
      <c r="D1234" s="2">
        <v>44131</v>
      </c>
      <c r="E1234" s="1">
        <v>4378.3999999999996</v>
      </c>
      <c r="G1234" s="3">
        <v>6452615</v>
      </c>
      <c r="H1234" s="3">
        <f t="shared" si="57"/>
        <v>31068050702</v>
      </c>
      <c r="J1234" s="3">
        <v>30049000</v>
      </c>
      <c r="K1234" s="3">
        <f t="shared" si="58"/>
        <v>131566541599.99998</v>
      </c>
      <c r="M1234" s="4">
        <f t="shared" si="59"/>
        <v>0.76386055053072854</v>
      </c>
    </row>
    <row r="1235" spans="1:13" x14ac:dyDescent="0.45">
      <c r="A1235" s="2">
        <v>44130</v>
      </c>
      <c r="B1235" s="1">
        <v>4754.3500000000004</v>
      </c>
      <c r="D1235" s="2">
        <v>44130</v>
      </c>
      <c r="E1235" s="1">
        <v>4338.25</v>
      </c>
      <c r="G1235" s="3">
        <v>6452615</v>
      </c>
      <c r="H1235" s="3">
        <f t="shared" si="57"/>
        <v>30677990125.250004</v>
      </c>
      <c r="J1235" s="3">
        <v>30049000</v>
      </c>
      <c r="K1235" s="3">
        <f t="shared" si="58"/>
        <v>130360074250</v>
      </c>
      <c r="M1235" s="4">
        <f t="shared" si="59"/>
        <v>0.76466728557996344</v>
      </c>
    </row>
    <row r="1236" spans="1:13" x14ac:dyDescent="0.45">
      <c r="A1236" s="2">
        <v>44127</v>
      </c>
      <c r="B1236" s="1">
        <v>4980.8999999999996</v>
      </c>
      <c r="D1236" s="2">
        <v>44127</v>
      </c>
      <c r="E1236" s="1">
        <v>4420.95</v>
      </c>
      <c r="G1236" s="3">
        <v>6452615</v>
      </c>
      <c r="H1236" s="3">
        <f t="shared" si="57"/>
        <v>32139830053.499996</v>
      </c>
      <c r="J1236" s="3">
        <v>30049000</v>
      </c>
      <c r="K1236" s="3">
        <f t="shared" si="58"/>
        <v>132845126550</v>
      </c>
      <c r="M1236" s="4">
        <f t="shared" si="59"/>
        <v>0.7580654188213426</v>
      </c>
    </row>
    <row r="1237" spans="1:13" x14ac:dyDescent="0.45">
      <c r="A1237" s="2">
        <v>44126</v>
      </c>
      <c r="B1237" s="1">
        <v>5000</v>
      </c>
      <c r="D1237" s="2">
        <v>44126</v>
      </c>
      <c r="E1237" s="1">
        <v>4375.5</v>
      </c>
      <c r="G1237" s="3">
        <v>6452615</v>
      </c>
      <c r="H1237" s="3">
        <f t="shared" si="57"/>
        <v>32263075000</v>
      </c>
      <c r="J1237" s="3">
        <v>30049000</v>
      </c>
      <c r="K1237" s="3">
        <f t="shared" si="58"/>
        <v>131479399500</v>
      </c>
      <c r="M1237" s="4">
        <f t="shared" si="59"/>
        <v>0.75461498057724241</v>
      </c>
    </row>
    <row r="1238" spans="1:13" x14ac:dyDescent="0.45">
      <c r="A1238" s="2">
        <v>44125</v>
      </c>
      <c r="B1238" s="1">
        <v>4999.05</v>
      </c>
      <c r="D1238" s="2">
        <v>44125</v>
      </c>
      <c r="E1238" s="1">
        <v>4438.3999999999996</v>
      </c>
      <c r="G1238" s="3">
        <v>6452615</v>
      </c>
      <c r="H1238" s="3">
        <f t="shared" si="57"/>
        <v>32256945015.75</v>
      </c>
      <c r="J1238" s="3">
        <v>30049000</v>
      </c>
      <c r="K1238" s="3">
        <f t="shared" si="58"/>
        <v>133369481599.99998</v>
      </c>
      <c r="M1238" s="4">
        <f t="shared" si="59"/>
        <v>0.75813848394121663</v>
      </c>
    </row>
    <row r="1239" spans="1:13" x14ac:dyDescent="0.45">
      <c r="A1239" s="2">
        <v>44124</v>
      </c>
      <c r="B1239" s="1">
        <v>4773.8500000000004</v>
      </c>
      <c r="D1239" s="2">
        <v>44124</v>
      </c>
      <c r="E1239" s="1">
        <v>4486.6000000000004</v>
      </c>
      <c r="G1239" s="3">
        <v>6452615</v>
      </c>
      <c r="H1239" s="3">
        <f t="shared" si="57"/>
        <v>30803816117.750004</v>
      </c>
      <c r="J1239" s="3">
        <v>30049000</v>
      </c>
      <c r="K1239" s="3">
        <f t="shared" si="58"/>
        <v>134817843400.00002</v>
      </c>
      <c r="M1239" s="4">
        <f t="shared" si="59"/>
        <v>0.77151528802937375</v>
      </c>
    </row>
    <row r="1240" spans="1:13" x14ac:dyDescent="0.45">
      <c r="A1240" s="2">
        <v>44123</v>
      </c>
      <c r="B1240" s="1">
        <v>4896</v>
      </c>
      <c r="D1240" s="2">
        <v>44123</v>
      </c>
      <c r="E1240" s="1">
        <v>4449.55</v>
      </c>
      <c r="G1240" s="3">
        <v>6452615</v>
      </c>
      <c r="H1240" s="3">
        <f t="shared" si="57"/>
        <v>31592003040</v>
      </c>
      <c r="J1240" s="3">
        <v>30049000</v>
      </c>
      <c r="K1240" s="3">
        <f t="shared" si="58"/>
        <v>133704527950</v>
      </c>
      <c r="M1240" s="4">
        <f t="shared" si="59"/>
        <v>0.76371777736791302</v>
      </c>
    </row>
    <row r="1241" spans="1:13" x14ac:dyDescent="0.45">
      <c r="A1241" s="2">
        <v>44120</v>
      </c>
      <c r="B1241" s="1">
        <v>4895.05</v>
      </c>
      <c r="D1241" s="2">
        <v>44120</v>
      </c>
      <c r="E1241" s="1">
        <v>4451.8500000000004</v>
      </c>
      <c r="G1241" s="3">
        <v>6452615</v>
      </c>
      <c r="H1241" s="3">
        <f t="shared" si="57"/>
        <v>31585873055.75</v>
      </c>
      <c r="J1241" s="3">
        <v>30049000</v>
      </c>
      <c r="K1241" s="3">
        <f t="shared" si="58"/>
        <v>133773640650.00002</v>
      </c>
      <c r="M1241" s="4">
        <f t="shared" si="59"/>
        <v>0.76388567357309189</v>
      </c>
    </row>
    <row r="1242" spans="1:13" x14ac:dyDescent="0.45">
      <c r="A1242" s="2">
        <v>44119</v>
      </c>
      <c r="B1242" s="1">
        <v>4784</v>
      </c>
      <c r="D1242" s="2">
        <v>44119</v>
      </c>
      <c r="E1242" s="1">
        <v>4348.3999999999996</v>
      </c>
      <c r="G1242" s="3">
        <v>6452615</v>
      </c>
      <c r="H1242" s="3">
        <f t="shared" si="57"/>
        <v>30869310160</v>
      </c>
      <c r="J1242" s="3">
        <v>30049000</v>
      </c>
      <c r="K1242" s="3">
        <f t="shared" si="58"/>
        <v>130665071599.99998</v>
      </c>
      <c r="M1242" s="4">
        <f t="shared" si="59"/>
        <v>0.76375239547949703</v>
      </c>
    </row>
    <row r="1243" spans="1:13" x14ac:dyDescent="0.45">
      <c r="A1243" s="2">
        <v>44118</v>
      </c>
      <c r="B1243" s="1">
        <v>4674.8500000000004</v>
      </c>
      <c r="D1243" s="2">
        <v>44118</v>
      </c>
      <c r="E1243" s="1">
        <v>4372.2</v>
      </c>
      <c r="G1243" s="3">
        <v>6452615</v>
      </c>
      <c r="H1243" s="3">
        <f t="shared" si="57"/>
        <v>30165007232.750004</v>
      </c>
      <c r="J1243" s="3">
        <v>30049000</v>
      </c>
      <c r="K1243" s="3">
        <f t="shared" si="58"/>
        <v>131380237800</v>
      </c>
      <c r="M1243" s="4">
        <f t="shared" si="59"/>
        <v>0.77039920357984004</v>
      </c>
    </row>
    <row r="1244" spans="1:13" x14ac:dyDescent="0.45">
      <c r="A1244" s="2">
        <v>44117</v>
      </c>
      <c r="B1244" s="1">
        <v>4680.2</v>
      </c>
      <c r="D1244" s="2">
        <v>44117</v>
      </c>
      <c r="E1244" s="1">
        <v>4381.8999999999996</v>
      </c>
      <c r="G1244" s="3">
        <v>6452615</v>
      </c>
      <c r="H1244" s="3">
        <f t="shared" si="57"/>
        <v>30199528723</v>
      </c>
      <c r="J1244" s="3">
        <v>30049000</v>
      </c>
      <c r="K1244" s="3">
        <f t="shared" si="58"/>
        <v>131671713099.99998</v>
      </c>
      <c r="M1244" s="4">
        <f t="shared" si="59"/>
        <v>0.77064528126808429</v>
      </c>
    </row>
  </sheetData>
  <mergeCells count="4">
    <mergeCell ref="A1:B1"/>
    <mergeCell ref="D1:E1"/>
    <mergeCell ref="P28:T28"/>
    <mergeCell ref="P29:T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B828-7506-4E13-A8F4-C51F10297953}">
  <dimension ref="B2:N22"/>
  <sheetViews>
    <sheetView showGridLines="0" tabSelected="1" workbookViewId="0">
      <selection activeCell="A2" sqref="A2"/>
    </sheetView>
  </sheetViews>
  <sheetFormatPr defaultRowHeight="14.25" x14ac:dyDescent="0.45"/>
  <cols>
    <col min="2" max="2" width="16.33203125" bestFit="1" customWidth="1"/>
    <col min="3" max="3" width="11" bestFit="1" customWidth="1"/>
    <col min="4" max="4" width="10.86328125" bestFit="1" customWidth="1"/>
    <col min="5" max="5" width="14.33203125" bestFit="1" customWidth="1"/>
    <col min="6" max="6" width="14.06640625" bestFit="1" customWidth="1"/>
    <col min="9" max="9" width="17.06640625" bestFit="1" customWidth="1"/>
    <col min="12" max="12" width="14.53125" bestFit="1" customWidth="1"/>
    <col min="14" max="14" width="34.73046875" bestFit="1" customWidth="1"/>
  </cols>
  <sheetData>
    <row r="2" spans="2:14" x14ac:dyDescent="0.45">
      <c r="D2" s="16" t="s">
        <v>17</v>
      </c>
      <c r="E2" s="16"/>
      <c r="F2" s="16" t="s">
        <v>18</v>
      </c>
      <c r="G2" s="16"/>
      <c r="H2" s="16" t="s">
        <v>19</v>
      </c>
      <c r="I2" s="16"/>
      <c r="J2" s="16" t="s">
        <v>18</v>
      </c>
      <c r="K2" s="16"/>
      <c r="L2" s="16" t="s">
        <v>20</v>
      </c>
      <c r="M2" s="16"/>
      <c r="N2" s="16" t="s">
        <v>21</v>
      </c>
    </row>
    <row r="3" spans="2:14" x14ac:dyDescent="0.45">
      <c r="B3" s="2">
        <v>45943</v>
      </c>
      <c r="D3">
        <v>50</v>
      </c>
      <c r="E3" t="s">
        <v>30</v>
      </c>
      <c r="F3" s="17">
        <v>2964.4</v>
      </c>
      <c r="H3" s="18">
        <f t="shared" ref="H3:H8" si="0">+(F3/J3)*D3</f>
        <v>48.627811223569168</v>
      </c>
      <c r="I3" t="s">
        <v>32</v>
      </c>
      <c r="J3" s="17">
        <v>3048.05</v>
      </c>
      <c r="L3" s="19">
        <f>+ 1 - ((F3/J3)/N3)</f>
        <v>0.79031953735015781</v>
      </c>
      <c r="N3" s="20">
        <f>+'Kama Holdings'!J3/'Kama Holdings'!G3</f>
        <v>4.6382777497754404</v>
      </c>
    </row>
    <row r="4" spans="2:14" x14ac:dyDescent="0.45">
      <c r="B4" s="2">
        <f>+B3+7</f>
        <v>45950</v>
      </c>
      <c r="D4">
        <v>50</v>
      </c>
      <c r="E4" t="s">
        <v>30</v>
      </c>
      <c r="F4" s="17">
        <v>2830</v>
      </c>
      <c r="H4" s="18">
        <f t="shared" si="0"/>
        <v>46.423122980266065</v>
      </c>
      <c r="I4" t="s">
        <v>32</v>
      </c>
      <c r="J4" s="17">
        <v>3048.05</v>
      </c>
      <c r="L4" s="19">
        <f t="shared" ref="L4:L8" si="1">+ 1 - ((F4/J4)/N4)</f>
        <v>0.79982603248581385</v>
      </c>
      <c r="N4" s="20">
        <f>+N3</f>
        <v>4.6382777497754404</v>
      </c>
    </row>
    <row r="5" spans="2:14" x14ac:dyDescent="0.45">
      <c r="B5" s="2">
        <f>+B4+7</f>
        <v>45957</v>
      </c>
      <c r="D5">
        <v>50</v>
      </c>
      <c r="E5" t="s">
        <v>30</v>
      </c>
      <c r="F5" s="17">
        <v>2680</v>
      </c>
      <c r="H5" s="18">
        <f t="shared" si="0"/>
        <v>43.962533423008146</v>
      </c>
      <c r="I5" t="s">
        <v>32</v>
      </c>
      <c r="J5" s="17">
        <v>3048.05</v>
      </c>
      <c r="L5" s="19">
        <f t="shared" si="1"/>
        <v>0.81043596009257279</v>
      </c>
      <c r="N5" s="20">
        <f t="shared" ref="N5:N8" si="2">+N4</f>
        <v>4.6382777497754404</v>
      </c>
    </row>
    <row r="6" spans="2:14" x14ac:dyDescent="0.45">
      <c r="B6" s="2">
        <f>+B5+7</f>
        <v>45964</v>
      </c>
      <c r="D6">
        <v>100</v>
      </c>
      <c r="E6" t="s">
        <v>30</v>
      </c>
      <c r="F6" s="17">
        <v>2610</v>
      </c>
      <c r="H6" s="18">
        <f t="shared" si="0"/>
        <v>85.628516592575579</v>
      </c>
      <c r="I6" t="s">
        <v>32</v>
      </c>
      <c r="J6" s="17">
        <v>3048.05</v>
      </c>
      <c r="L6" s="19">
        <f t="shared" si="1"/>
        <v>0.81538725964239367</v>
      </c>
      <c r="N6" s="20">
        <f t="shared" si="2"/>
        <v>4.6382777497754404</v>
      </c>
    </row>
    <row r="7" spans="2:14" x14ac:dyDescent="0.45">
      <c r="B7" s="2">
        <f>+B6+7</f>
        <v>45971</v>
      </c>
      <c r="D7">
        <v>100</v>
      </c>
      <c r="E7" t="s">
        <v>30</v>
      </c>
      <c r="F7" s="17">
        <v>2400</v>
      </c>
      <c r="H7" s="18">
        <f t="shared" si="0"/>
        <v>78.738865832253396</v>
      </c>
      <c r="I7" t="s">
        <v>32</v>
      </c>
      <c r="J7" s="17">
        <v>3048.05</v>
      </c>
      <c r="L7" s="19">
        <f t="shared" si="1"/>
        <v>0.8302411582918563</v>
      </c>
      <c r="N7" s="20">
        <f t="shared" si="2"/>
        <v>4.6382777497754404</v>
      </c>
    </row>
    <row r="8" spans="2:14" ht="14.65" thickBot="1" x14ac:dyDescent="0.5">
      <c r="B8" s="21">
        <f>+B7+7</f>
        <v>45978</v>
      </c>
      <c r="C8" s="22"/>
      <c r="D8" s="22">
        <v>150</v>
      </c>
      <c r="E8" s="22" t="s">
        <v>30</v>
      </c>
      <c r="F8" s="23">
        <v>2190</v>
      </c>
      <c r="G8" s="22"/>
      <c r="H8" s="24">
        <f t="shared" si="0"/>
        <v>107.77382260789685</v>
      </c>
      <c r="I8" s="22" t="s">
        <v>32</v>
      </c>
      <c r="J8" s="23">
        <v>3048.05</v>
      </c>
      <c r="K8" s="22"/>
      <c r="L8" s="25">
        <f t="shared" si="1"/>
        <v>0.84509505694131892</v>
      </c>
      <c r="M8" s="22"/>
      <c r="N8" s="26">
        <f t="shared" si="2"/>
        <v>4.6382777497754404</v>
      </c>
    </row>
    <row r="9" spans="2:14" x14ac:dyDescent="0.45">
      <c r="B9" s="16" t="s">
        <v>22</v>
      </c>
      <c r="C9" s="16"/>
      <c r="D9" s="16">
        <f>+SUM(D3:D8)</f>
        <v>500</v>
      </c>
      <c r="E9" s="16"/>
      <c r="F9" s="27">
        <f>+SUMPRODUCT(D3:D8,F3:F8)/D9</f>
        <v>2506.44</v>
      </c>
      <c r="G9" s="16"/>
      <c r="H9" s="28">
        <f>+SUM(H3:H8)</f>
        <v>411.1546726595692</v>
      </c>
      <c r="I9" s="16"/>
      <c r="J9" s="27">
        <f>+SUMPRODUCT(H3:H8,J3:J8)/H9</f>
        <v>3048.05</v>
      </c>
      <c r="K9" s="16"/>
      <c r="L9" s="16"/>
    </row>
    <row r="10" spans="2:14" x14ac:dyDescent="0.45">
      <c r="B10" s="16"/>
      <c r="C10" s="16"/>
      <c r="D10" s="16"/>
      <c r="E10" s="16"/>
      <c r="F10" s="27"/>
      <c r="G10" s="16"/>
      <c r="H10" s="16"/>
      <c r="I10" s="16"/>
      <c r="J10" s="27"/>
      <c r="K10" s="16"/>
      <c r="L10" s="16"/>
    </row>
    <row r="11" spans="2:14" x14ac:dyDescent="0.45">
      <c r="B11" s="16"/>
      <c r="C11" s="16"/>
      <c r="D11" s="16"/>
      <c r="E11" s="16"/>
      <c r="F11" s="27"/>
      <c r="G11" s="16"/>
      <c r="H11" s="16"/>
      <c r="I11" s="16"/>
      <c r="J11" s="27"/>
      <c r="K11" s="16"/>
      <c r="L11" s="16"/>
    </row>
    <row r="12" spans="2:14" x14ac:dyDescent="0.45">
      <c r="B12" s="16" t="s">
        <v>23</v>
      </c>
      <c r="C12" s="29">
        <f>+(F8-F9)*D9</f>
        <v>-158220.00000000003</v>
      </c>
      <c r="D12" s="16"/>
      <c r="E12" s="16"/>
      <c r="F12" s="27"/>
      <c r="G12" s="16"/>
      <c r="H12" s="16"/>
      <c r="I12" s="16"/>
      <c r="J12" s="27"/>
      <c r="K12" s="16"/>
      <c r="L12" s="16"/>
    </row>
    <row r="13" spans="2:14" x14ac:dyDescent="0.45">
      <c r="B13" s="16" t="s">
        <v>24</v>
      </c>
      <c r="C13" s="30">
        <f>+(J9-J8)*H9</f>
        <v>0</v>
      </c>
      <c r="D13" s="16"/>
      <c r="E13" s="16"/>
      <c r="F13" s="27"/>
      <c r="G13" s="16"/>
      <c r="H13" s="16"/>
      <c r="I13" s="16"/>
      <c r="J13" s="27"/>
      <c r="K13" s="16"/>
      <c r="L13" s="16"/>
    </row>
    <row r="14" spans="2:14" x14ac:dyDescent="0.45">
      <c r="B14" s="16" t="s">
        <v>25</v>
      </c>
      <c r="C14" s="29">
        <f>+C12+C13</f>
        <v>-158220.00000000003</v>
      </c>
      <c r="D14" s="16"/>
      <c r="E14" s="16"/>
      <c r="F14" s="27"/>
      <c r="G14" s="16"/>
      <c r="H14" s="16"/>
      <c r="I14" s="16"/>
      <c r="J14" s="27"/>
      <c r="K14" s="16"/>
      <c r="L14" s="16"/>
    </row>
    <row r="15" spans="2:14" x14ac:dyDescent="0.45">
      <c r="L15" s="16"/>
      <c r="M15" s="27"/>
    </row>
    <row r="19" spans="2:6" x14ac:dyDescent="0.45">
      <c r="D19" t="s">
        <v>26</v>
      </c>
      <c r="E19" t="s">
        <v>27</v>
      </c>
      <c r="F19" s="16" t="s">
        <v>28</v>
      </c>
    </row>
    <row r="20" spans="2:6" x14ac:dyDescent="0.45">
      <c r="B20" t="s">
        <v>28</v>
      </c>
      <c r="D20" s="31">
        <f>+D9*F9</f>
        <v>1253220</v>
      </c>
      <c r="E20" s="31">
        <f>+MAX(0.625*H9*J9,0.625*H9*J8)</f>
        <v>783262.5</v>
      </c>
      <c r="F20" s="32">
        <f>+D20+E20</f>
        <v>2036482.5</v>
      </c>
    </row>
    <row r="22" spans="2:6" x14ac:dyDescent="0.45">
      <c r="B22" s="16" t="s">
        <v>29</v>
      </c>
      <c r="F22" s="33">
        <f>+C14/F20</f>
        <v>-7.7692786459004695E-2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D689-5EF6-4C86-BCEF-D566CAC75824}">
  <dimension ref="A2:N38"/>
  <sheetViews>
    <sheetView showGridLines="0" topLeftCell="A18" workbookViewId="0">
      <selection activeCell="A28" sqref="A28"/>
    </sheetView>
  </sheetViews>
  <sheetFormatPr defaultRowHeight="14.25" x14ac:dyDescent="0.45"/>
  <cols>
    <col min="1" max="1" width="9.06640625" style="1"/>
    <col min="2" max="2" width="16.33203125" style="1" bestFit="1" customWidth="1"/>
    <col min="3" max="3" width="11" style="1" bestFit="1" customWidth="1"/>
    <col min="4" max="4" width="10.265625" style="1" bestFit="1" customWidth="1"/>
    <col min="5" max="5" width="14.33203125" style="1" bestFit="1" customWidth="1"/>
    <col min="6" max="6" width="14.06640625" style="1" bestFit="1" customWidth="1"/>
    <col min="7" max="8" width="9.06640625" style="1"/>
    <col min="9" max="9" width="16.6640625" style="1" customWidth="1"/>
    <col min="10" max="10" width="5.265625" style="1" bestFit="1" customWidth="1"/>
    <col min="11" max="11" width="9.06640625" style="1"/>
    <col min="12" max="12" width="14.53125" style="1" bestFit="1" customWidth="1"/>
    <col min="13" max="13" width="9.06640625" style="1"/>
    <col min="14" max="14" width="35.796875" style="1" customWidth="1"/>
    <col min="15" max="16384" width="9.06640625" style="1"/>
  </cols>
  <sheetData>
    <row r="2" spans="1:14" x14ac:dyDescent="0.45">
      <c r="A2" s="1" t="s">
        <v>31</v>
      </c>
      <c r="D2" s="12" t="s">
        <v>17</v>
      </c>
      <c r="E2" s="12"/>
      <c r="F2" s="12" t="s">
        <v>18</v>
      </c>
      <c r="G2" s="12"/>
      <c r="H2" s="12" t="s">
        <v>19</v>
      </c>
      <c r="I2" s="12"/>
      <c r="J2" s="12" t="s">
        <v>18</v>
      </c>
      <c r="K2" s="12"/>
      <c r="L2" s="12" t="s">
        <v>20</v>
      </c>
      <c r="M2" s="12"/>
      <c r="N2" s="12" t="s">
        <v>21</v>
      </c>
    </row>
    <row r="3" spans="1:14" x14ac:dyDescent="0.45">
      <c r="B3" s="2">
        <v>45943</v>
      </c>
      <c r="D3" s="1">
        <v>50</v>
      </c>
      <c r="E3" s="1" t="s">
        <v>30</v>
      </c>
      <c r="F3" s="3">
        <v>2964.4</v>
      </c>
      <c r="H3" s="34">
        <f t="shared" ref="H3:H8" si="0">+(F3/J3)*D3</f>
        <v>48.627811223569168</v>
      </c>
      <c r="I3" s="1" t="s">
        <v>32</v>
      </c>
      <c r="J3" s="3">
        <v>3048.05</v>
      </c>
      <c r="L3" s="35">
        <f t="shared" ref="L3:L8" si="1">+ 1 - ((F3/J3)/N3)</f>
        <v>0.79031953735015781</v>
      </c>
      <c r="N3" s="36">
        <f>+'Kama Holdings'!J13/'Kama Holdings'!G13</f>
        <v>4.6382777497754404</v>
      </c>
    </row>
    <row r="4" spans="1:14" x14ac:dyDescent="0.45">
      <c r="B4" s="2">
        <f>+B3+7</f>
        <v>45950</v>
      </c>
      <c r="D4" s="1">
        <v>50</v>
      </c>
      <c r="E4" s="1" t="s">
        <v>30</v>
      </c>
      <c r="F4" s="3">
        <v>2830</v>
      </c>
      <c r="H4" s="34">
        <f t="shared" si="0"/>
        <v>46.423122980266065</v>
      </c>
      <c r="I4" s="1" t="s">
        <v>32</v>
      </c>
      <c r="J4" s="3">
        <v>3048.05</v>
      </c>
      <c r="L4" s="35">
        <f t="shared" si="1"/>
        <v>0.79982603248581385</v>
      </c>
      <c r="N4" s="36">
        <f>+N3</f>
        <v>4.6382777497754404</v>
      </c>
    </row>
    <row r="5" spans="1:14" x14ac:dyDescent="0.45">
      <c r="B5" s="2">
        <f>+B4+7</f>
        <v>45957</v>
      </c>
      <c r="D5" s="1">
        <v>50</v>
      </c>
      <c r="E5" s="1" t="s">
        <v>30</v>
      </c>
      <c r="F5" s="3">
        <v>2680</v>
      </c>
      <c r="H5" s="34">
        <f t="shared" si="0"/>
        <v>43.962533423008146</v>
      </c>
      <c r="I5" s="1" t="s">
        <v>32</v>
      </c>
      <c r="J5" s="3">
        <v>3048.05</v>
      </c>
      <c r="L5" s="35">
        <f t="shared" si="1"/>
        <v>0.81043596009257279</v>
      </c>
      <c r="N5" s="36">
        <f t="shared" ref="N5:N8" si="2">+N4</f>
        <v>4.6382777497754404</v>
      </c>
    </row>
    <row r="6" spans="1:14" x14ac:dyDescent="0.45">
      <c r="B6" s="2">
        <f>+B5+7</f>
        <v>45964</v>
      </c>
      <c r="D6" s="1">
        <v>100</v>
      </c>
      <c r="E6" s="1" t="s">
        <v>30</v>
      </c>
      <c r="F6" s="3">
        <v>2610</v>
      </c>
      <c r="H6" s="34">
        <f t="shared" si="0"/>
        <v>85.628516592575579</v>
      </c>
      <c r="I6" s="1" t="s">
        <v>32</v>
      </c>
      <c r="J6" s="3">
        <v>3048.05</v>
      </c>
      <c r="L6" s="35">
        <f t="shared" si="1"/>
        <v>0.81538725964239367</v>
      </c>
      <c r="N6" s="36">
        <f t="shared" si="2"/>
        <v>4.6382777497754404</v>
      </c>
    </row>
    <row r="7" spans="1:14" x14ac:dyDescent="0.45">
      <c r="B7" s="2">
        <f>+B6+7</f>
        <v>45971</v>
      </c>
      <c r="D7" s="1">
        <v>100</v>
      </c>
      <c r="E7" s="1" t="s">
        <v>30</v>
      </c>
      <c r="F7" s="3">
        <v>2400</v>
      </c>
      <c r="H7" s="34">
        <f t="shared" si="0"/>
        <v>78.738865832253396</v>
      </c>
      <c r="I7" s="1" t="s">
        <v>32</v>
      </c>
      <c r="J7" s="3">
        <v>3048.05</v>
      </c>
      <c r="L7" s="35">
        <f t="shared" si="1"/>
        <v>0.8302411582918563</v>
      </c>
      <c r="N7" s="36">
        <f t="shared" si="2"/>
        <v>4.6382777497754404</v>
      </c>
    </row>
    <row r="8" spans="1:14" ht="14.65" thickBot="1" x14ac:dyDescent="0.5">
      <c r="B8" s="21">
        <f>+B7+7</f>
        <v>45978</v>
      </c>
      <c r="C8" s="5"/>
      <c r="D8" s="5">
        <v>150</v>
      </c>
      <c r="E8" s="5" t="s">
        <v>30</v>
      </c>
      <c r="F8" s="37">
        <v>2190</v>
      </c>
      <c r="G8" s="5"/>
      <c r="H8" s="38">
        <f t="shared" si="0"/>
        <v>107.77382260789685</v>
      </c>
      <c r="I8" s="5" t="s">
        <v>32</v>
      </c>
      <c r="J8" s="37">
        <v>3048.05</v>
      </c>
      <c r="K8" s="5"/>
      <c r="L8" s="39">
        <f t="shared" si="1"/>
        <v>0.84509505694131892</v>
      </c>
      <c r="M8" s="5"/>
      <c r="N8" s="40">
        <f t="shared" si="2"/>
        <v>4.6382777497754404</v>
      </c>
    </row>
    <row r="9" spans="1:14" x14ac:dyDescent="0.45">
      <c r="B9" s="12" t="s">
        <v>22</v>
      </c>
      <c r="C9" s="12"/>
      <c r="D9" s="12">
        <f>+SUM(D3:D8)</f>
        <v>500</v>
      </c>
      <c r="E9" s="12"/>
      <c r="F9" s="41">
        <f>+SUMPRODUCT(D3:D8,F3:F8)/D9</f>
        <v>2506.44</v>
      </c>
      <c r="G9" s="12"/>
      <c r="H9" s="42">
        <f>+SUM(H3:H8)</f>
        <v>411.1546726595692</v>
      </c>
      <c r="I9" s="12"/>
      <c r="J9" s="41">
        <f>+SUMPRODUCT(H3:H8,J3:J8)/H9</f>
        <v>3048.05</v>
      </c>
      <c r="K9" s="12"/>
      <c r="L9" s="12"/>
    </row>
    <row r="10" spans="1:14" x14ac:dyDescent="0.45">
      <c r="B10" s="12"/>
      <c r="C10" s="12"/>
      <c r="D10" s="12"/>
      <c r="E10" s="12"/>
      <c r="F10" s="41"/>
      <c r="G10" s="12"/>
      <c r="H10" s="12"/>
      <c r="I10" s="12"/>
      <c r="J10" s="41"/>
      <c r="K10" s="12"/>
      <c r="L10" s="12"/>
    </row>
    <row r="11" spans="1:14" x14ac:dyDescent="0.45">
      <c r="B11" s="12"/>
      <c r="C11" s="12"/>
      <c r="D11" s="12"/>
      <c r="E11" s="12"/>
      <c r="F11" s="41"/>
      <c r="G11" s="12"/>
      <c r="H11" s="12"/>
      <c r="I11" s="12"/>
      <c r="J11" s="41"/>
      <c r="K11" s="12"/>
      <c r="L11" s="12"/>
    </row>
    <row r="12" spans="1:14" x14ac:dyDescent="0.45">
      <c r="B12" s="12"/>
      <c r="C12" s="12"/>
      <c r="D12" s="12" t="s">
        <v>33</v>
      </c>
      <c r="E12" s="12"/>
      <c r="F12" s="12" t="s">
        <v>18</v>
      </c>
      <c r="G12" s="12"/>
      <c r="H12" s="12" t="s">
        <v>19</v>
      </c>
      <c r="I12" s="12"/>
      <c r="J12" s="12" t="s">
        <v>18</v>
      </c>
      <c r="K12" s="12"/>
      <c r="L12" s="12" t="s">
        <v>20</v>
      </c>
      <c r="M12" s="12"/>
      <c r="N12" s="12" t="s">
        <v>21</v>
      </c>
    </row>
    <row r="13" spans="1:14" x14ac:dyDescent="0.45">
      <c r="B13" s="2">
        <v>45984</v>
      </c>
      <c r="D13" s="43">
        <v>-50</v>
      </c>
      <c r="E13" s="1" t="s">
        <v>30</v>
      </c>
      <c r="F13" s="3">
        <v>2964.4</v>
      </c>
      <c r="H13" s="43">
        <f>+(D13/$D$9)*$H$9</f>
        <v>-41.115467265956923</v>
      </c>
      <c r="I13" s="1" t="s">
        <v>32</v>
      </c>
      <c r="J13" s="3">
        <v>3048.05</v>
      </c>
      <c r="L13" s="35">
        <f>+ 1 - ((F13/J13)/N13)</f>
        <v>0.79031953735015781</v>
      </c>
      <c r="N13" s="36">
        <f>+'Kama Holdings'!J13/'Kama Holdings'!G13</f>
        <v>4.6382777497754404</v>
      </c>
    </row>
    <row r="14" spans="1:14" x14ac:dyDescent="0.45">
      <c r="B14" s="2">
        <f>+B13+7</f>
        <v>45991</v>
      </c>
      <c r="C14" s="12"/>
      <c r="D14" s="43">
        <v>-50</v>
      </c>
      <c r="E14" s="1" t="s">
        <v>30</v>
      </c>
      <c r="F14" s="3">
        <v>3040</v>
      </c>
      <c r="H14" s="43">
        <f t="shared" ref="H14:H18" si="3">+(D14/$D$9)*$H$9</f>
        <v>-41.115467265956923</v>
      </c>
      <c r="I14" s="1" t="s">
        <v>32</v>
      </c>
      <c r="J14" s="3">
        <v>3048.05</v>
      </c>
      <c r="L14" s="35">
        <f t="shared" ref="L14:L18" si="4">+ 1 - ((F14/J14)/N14)</f>
        <v>0.78497213383635134</v>
      </c>
      <c r="N14" s="36">
        <f>+N13</f>
        <v>4.6382777497754404</v>
      </c>
    </row>
    <row r="15" spans="1:14" x14ac:dyDescent="0.45">
      <c r="B15" s="2">
        <f>+B14+7</f>
        <v>45998</v>
      </c>
      <c r="C15" s="12"/>
      <c r="D15" s="43">
        <v>-50</v>
      </c>
      <c r="E15" s="1" t="s">
        <v>30</v>
      </c>
      <c r="F15" s="3">
        <v>3110</v>
      </c>
      <c r="H15" s="43">
        <f t="shared" si="3"/>
        <v>-41.115467265956923</v>
      </c>
      <c r="I15" s="1" t="s">
        <v>32</v>
      </c>
      <c r="J15" s="3">
        <v>3048.05</v>
      </c>
      <c r="L15" s="35">
        <f t="shared" si="4"/>
        <v>0.78002083428653046</v>
      </c>
      <c r="N15" s="36">
        <f t="shared" ref="N15:N18" si="5">+N14</f>
        <v>4.6382777497754404</v>
      </c>
    </row>
    <row r="16" spans="1:14" x14ac:dyDescent="0.45">
      <c r="B16" s="2">
        <f>+B15+7</f>
        <v>46005</v>
      </c>
      <c r="C16" s="12"/>
      <c r="D16" s="43">
        <v>-100</v>
      </c>
      <c r="E16" s="1" t="s">
        <v>30</v>
      </c>
      <c r="F16" s="3">
        <v>3180</v>
      </c>
      <c r="H16" s="43">
        <f t="shared" si="3"/>
        <v>-82.230934531913846</v>
      </c>
      <c r="I16" s="1" t="s">
        <v>32</v>
      </c>
      <c r="J16" s="3">
        <v>3048.05</v>
      </c>
      <c r="L16" s="35">
        <f t="shared" si="4"/>
        <v>0.77506953473670959</v>
      </c>
      <c r="N16" s="36">
        <f t="shared" si="5"/>
        <v>4.6382777497754404</v>
      </c>
    </row>
    <row r="17" spans="2:14" x14ac:dyDescent="0.45">
      <c r="B17" s="2">
        <f>+B16+7</f>
        <v>46012</v>
      </c>
      <c r="C17" s="12"/>
      <c r="D17" s="43">
        <v>-100</v>
      </c>
      <c r="E17" s="1" t="s">
        <v>30</v>
      </c>
      <c r="F17" s="3">
        <v>3250</v>
      </c>
      <c r="H17" s="43">
        <f t="shared" si="3"/>
        <v>-82.230934531913846</v>
      </c>
      <c r="I17" s="1" t="s">
        <v>32</v>
      </c>
      <c r="J17" s="3">
        <v>3048.05</v>
      </c>
      <c r="L17" s="35">
        <f t="shared" si="4"/>
        <v>0.77011823518688871</v>
      </c>
      <c r="N17" s="36">
        <f t="shared" si="5"/>
        <v>4.6382777497754404</v>
      </c>
    </row>
    <row r="18" spans="2:14" ht="14.65" thickBot="1" x14ac:dyDescent="0.5">
      <c r="B18" s="21">
        <f>+B17+7</f>
        <v>46019</v>
      </c>
      <c r="C18" s="44"/>
      <c r="D18" s="45">
        <v>-150</v>
      </c>
      <c r="E18" s="5" t="s">
        <v>30</v>
      </c>
      <c r="F18" s="37">
        <v>3325</v>
      </c>
      <c r="G18" s="5"/>
      <c r="H18" s="45">
        <f t="shared" si="3"/>
        <v>-123.34640179787075</v>
      </c>
      <c r="I18" s="5" t="s">
        <v>32</v>
      </c>
      <c r="J18" s="37">
        <v>3048.05</v>
      </c>
      <c r="K18" s="5"/>
      <c r="L18" s="39">
        <f t="shared" si="4"/>
        <v>0.76481327138350919</v>
      </c>
      <c r="M18" s="5"/>
      <c r="N18" s="40">
        <f t="shared" si="5"/>
        <v>4.6382777497754404</v>
      </c>
    </row>
    <row r="19" spans="2:14" x14ac:dyDescent="0.45">
      <c r="B19" s="12" t="s">
        <v>22</v>
      </c>
      <c r="C19" s="12"/>
      <c r="D19" s="12">
        <f>+SUM(D13:D18)</f>
        <v>-500</v>
      </c>
      <c r="E19" s="12"/>
      <c r="F19" s="41">
        <f>+SUMPRODUCT(D13:D18,F13:F18)/D19</f>
        <v>3194.94</v>
      </c>
      <c r="G19" s="12"/>
      <c r="H19" s="42">
        <f>+SUM(H13:H18)</f>
        <v>-411.1546726595692</v>
      </c>
      <c r="I19" s="12"/>
      <c r="J19" s="41">
        <f>+SUMPRODUCT(H13:H18,J13:J18)/H19</f>
        <v>3048.05</v>
      </c>
      <c r="K19" s="12"/>
      <c r="L19" s="12"/>
    </row>
    <row r="20" spans="2:14" x14ac:dyDescent="0.45">
      <c r="B20" s="12"/>
      <c r="C20" s="12"/>
      <c r="D20" s="12"/>
      <c r="E20" s="12"/>
      <c r="F20" s="41"/>
      <c r="G20" s="12"/>
      <c r="H20" s="12"/>
      <c r="I20" s="12"/>
      <c r="J20" s="41"/>
      <c r="K20" s="12"/>
      <c r="L20" s="12"/>
    </row>
    <row r="21" spans="2:14" x14ac:dyDescent="0.45">
      <c r="B21" s="12"/>
      <c r="C21" s="12"/>
      <c r="D21" s="12"/>
      <c r="E21" s="12"/>
      <c r="F21" s="41"/>
      <c r="G21" s="12"/>
      <c r="H21" s="12"/>
      <c r="I21" s="12"/>
      <c r="J21" s="41"/>
      <c r="K21" s="12"/>
      <c r="L21" s="12"/>
    </row>
    <row r="22" spans="2:14" x14ac:dyDescent="0.45">
      <c r="B22" s="12"/>
      <c r="C22" s="12"/>
      <c r="D22" s="12"/>
      <c r="E22" s="12"/>
      <c r="F22" s="41"/>
      <c r="G22" s="12"/>
      <c r="H22" s="12"/>
      <c r="I22" s="12"/>
      <c r="J22" s="41"/>
      <c r="K22" s="12"/>
      <c r="L22" s="12"/>
    </row>
    <row r="23" spans="2:14" x14ac:dyDescent="0.45">
      <c r="B23" s="12"/>
      <c r="C23" s="12"/>
      <c r="D23" s="12"/>
      <c r="E23" s="12"/>
      <c r="F23" s="51"/>
      <c r="G23" s="12"/>
      <c r="H23" s="12"/>
      <c r="I23" s="12"/>
      <c r="J23" s="41"/>
      <c r="K23" s="12"/>
      <c r="L23" s="12"/>
    </row>
    <row r="24" spans="2:14" x14ac:dyDescent="0.45">
      <c r="B24" s="12"/>
      <c r="C24" s="12"/>
      <c r="D24" s="12"/>
      <c r="E24" s="12"/>
      <c r="F24" s="51"/>
      <c r="G24" s="12"/>
      <c r="H24" s="12"/>
      <c r="I24" s="12"/>
      <c r="J24" s="41"/>
      <c r="K24" s="12"/>
      <c r="L24" s="12"/>
    </row>
    <row r="25" spans="2:14" x14ac:dyDescent="0.45">
      <c r="B25" s="12"/>
      <c r="C25" s="12"/>
      <c r="D25" s="12"/>
      <c r="E25" s="12"/>
      <c r="F25" s="51"/>
      <c r="G25" s="12"/>
      <c r="H25" s="12"/>
      <c r="I25" s="12"/>
      <c r="J25" s="41"/>
      <c r="K25" s="12"/>
      <c r="L25" s="12"/>
    </row>
    <row r="26" spans="2:14" x14ac:dyDescent="0.45">
      <c r="B26" s="12"/>
      <c r="C26" s="12"/>
      <c r="D26" s="12"/>
      <c r="E26" s="12"/>
      <c r="F26" s="51"/>
      <c r="G26" s="12"/>
      <c r="H26" s="12"/>
      <c r="I26" s="12"/>
      <c r="J26" s="41"/>
      <c r="K26" s="12"/>
      <c r="L26" s="12"/>
    </row>
    <row r="27" spans="2:14" x14ac:dyDescent="0.45">
      <c r="B27" s="12"/>
      <c r="C27" s="12"/>
      <c r="D27" s="12"/>
      <c r="E27" s="12"/>
      <c r="F27" s="51"/>
      <c r="G27" s="12"/>
      <c r="H27" s="12"/>
      <c r="I27" s="12"/>
      <c r="J27" s="41"/>
      <c r="K27" s="12"/>
      <c r="L27" s="12"/>
    </row>
    <row r="28" spans="2:14" x14ac:dyDescent="0.45">
      <c r="B28" s="12" t="s">
        <v>34</v>
      </c>
      <c r="C28" s="46">
        <f>-(D9*F9)-(D19*F19)</f>
        <v>344250</v>
      </c>
      <c r="D28" s="12"/>
      <c r="E28" s="12"/>
      <c r="F28" s="51"/>
      <c r="G28" s="12"/>
      <c r="H28" s="12"/>
      <c r="I28" s="12"/>
      <c r="J28" s="41"/>
      <c r="K28" s="12"/>
      <c r="L28" s="12"/>
    </row>
    <row r="29" spans="2:14" x14ac:dyDescent="0.45">
      <c r="B29" s="12" t="s">
        <v>35</v>
      </c>
      <c r="C29" s="47">
        <f>+(H9*J9)+(H19*J19)</f>
        <v>0</v>
      </c>
      <c r="D29" s="12"/>
      <c r="E29" s="12"/>
      <c r="F29" s="51"/>
      <c r="G29" s="12"/>
      <c r="H29" s="12"/>
      <c r="I29" s="12"/>
      <c r="J29" s="41"/>
      <c r="K29" s="12"/>
      <c r="L29" s="12"/>
    </row>
    <row r="30" spans="2:14" x14ac:dyDescent="0.45">
      <c r="B30" s="12" t="s">
        <v>25</v>
      </c>
      <c r="C30" s="46">
        <f>+C28+C29</f>
        <v>344250</v>
      </c>
      <c r="D30" s="12"/>
      <c r="E30" s="12"/>
      <c r="F30" s="51"/>
      <c r="G30" s="12"/>
      <c r="H30" s="12"/>
      <c r="I30" s="12"/>
      <c r="J30" s="41"/>
      <c r="K30" s="12"/>
      <c r="L30" s="12"/>
    </row>
    <row r="31" spans="2:14" x14ac:dyDescent="0.45">
      <c r="L31" s="12"/>
      <c r="M31" s="41"/>
    </row>
    <row r="35" spans="2:6" x14ac:dyDescent="0.45">
      <c r="D35" s="1" t="s">
        <v>36</v>
      </c>
      <c r="E35" s="1" t="s">
        <v>14</v>
      </c>
      <c r="F35" s="12" t="s">
        <v>28</v>
      </c>
    </row>
    <row r="36" spans="2:6" x14ac:dyDescent="0.45">
      <c r="B36" s="1" t="s">
        <v>28</v>
      </c>
      <c r="D36" s="48">
        <f>+D9*F9</f>
        <v>1253220</v>
      </c>
      <c r="E36" s="48">
        <f>+MAX(0.625*H9*J9,0.625*H9*J8)</f>
        <v>783262.5</v>
      </c>
      <c r="F36" s="49">
        <f>+D36+E36</f>
        <v>2036482.5</v>
      </c>
    </row>
    <row r="38" spans="2:6" x14ac:dyDescent="0.45">
      <c r="B38" s="12" t="s">
        <v>29</v>
      </c>
      <c r="F38" s="50">
        <f>+C30/F36</f>
        <v>0.16904147224442145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Kama Holdings</vt:lpstr>
      <vt:lpstr>Entry Simulation</vt:lpstr>
      <vt:lpstr>Exit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Kothari</cp:lastModifiedBy>
  <dcterms:created xsi:type="dcterms:W3CDTF">2025-10-09T10:54:41Z</dcterms:created>
  <dcterms:modified xsi:type="dcterms:W3CDTF">2025-11-11T12:08:07Z</dcterms:modified>
</cp:coreProperties>
</file>
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83d5ddfe8477b10/Personal/Investing/Aarvi/Arbitrage/"/>
    </mc:Choice>
  </mc:AlternateContent>
  <xr:revisionPtr revIDLastSave="206" documentId="8_{5534FAEE-3C0E-4B6D-ACCC-769AA840364D}" xr6:coauthVersionLast="47" xr6:coauthVersionMax="47" xr10:uidLastSave="{F36C74FE-7F17-4654-ACBD-8A37379D944D}"/>
  <bookViews>
    <workbookView xWindow="-98" yWindow="-98" windowWidth="21795" windowHeight="12975" activeTab="1" xr2:uid="{A8F3D41B-605B-47FA-BD23-E0325DEC4187}"/>
  </bookViews>
  <sheets>
    <sheet name="TVS Comparison" sheetId="1" r:id="rId1"/>
    <sheet name="Entry Simulation" sheetId="2" r:id="rId2"/>
    <sheet name="Exit Simulati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3" i="3" l="1"/>
  <c r="L13" i="3" s="1"/>
  <c r="L14" i="3"/>
  <c r="L8" i="3"/>
  <c r="H8" i="3"/>
  <c r="L7" i="3"/>
  <c r="H7" i="3"/>
  <c r="L6" i="3"/>
  <c r="H6" i="3"/>
  <c r="L5" i="3"/>
  <c r="H5" i="3"/>
  <c r="L4" i="3"/>
  <c r="H4" i="3"/>
  <c r="N3" i="3"/>
  <c r="L3" i="3" s="1"/>
  <c r="H3" i="3"/>
  <c r="D19" i="3"/>
  <c r="F19" i="3" s="1"/>
  <c r="L18" i="3"/>
  <c r="L17" i="3"/>
  <c r="L16" i="3"/>
  <c r="L15" i="3"/>
  <c r="B14" i="3"/>
  <c r="B15" i="3" s="1"/>
  <c r="B16" i="3" s="1"/>
  <c r="B17" i="3" s="1"/>
  <c r="B18" i="3" s="1"/>
  <c r="D9" i="3"/>
  <c r="B4" i="3"/>
  <c r="B5" i="3" s="1"/>
  <c r="B6" i="3" s="1"/>
  <c r="B7" i="3" s="1"/>
  <c r="B8" i="3" s="1"/>
  <c r="L3" i="2"/>
  <c r="N3" i="2"/>
  <c r="F9" i="3" l="1"/>
  <c r="D36" i="3" s="1"/>
  <c r="C28" i="3"/>
  <c r="H9" i="3"/>
  <c r="H13" i="3" s="1"/>
  <c r="D9" i="2"/>
  <c r="L8" i="2"/>
  <c r="H8" i="2"/>
  <c r="L7" i="2"/>
  <c r="H7" i="2"/>
  <c r="L6" i="2"/>
  <c r="H6" i="2"/>
  <c r="L5" i="2"/>
  <c r="H5" i="2"/>
  <c r="L4" i="2"/>
  <c r="H4" i="2"/>
  <c r="B4" i="2"/>
  <c r="B5" i="2" s="1"/>
  <c r="B6" i="2" s="1"/>
  <c r="B7" i="2" s="1"/>
  <c r="B8" i="2" s="1"/>
  <c r="H3" i="2"/>
  <c r="K777" i="1"/>
  <c r="K4" i="1"/>
  <c r="K3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M1082" i="1" s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M1038" i="1" s="1"/>
  <c r="H1037" i="1"/>
  <c r="M1037" i="1" s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M1018" i="1" s="1"/>
  <c r="H1017" i="1"/>
  <c r="H1016" i="1"/>
  <c r="M1016" i="1" s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M999" i="1" s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M978" i="1" s="1"/>
  <c r="H977" i="1"/>
  <c r="M977" i="1" s="1"/>
  <c r="H976" i="1"/>
  <c r="M976" i="1" s="1"/>
  <c r="H975" i="1"/>
  <c r="M975" i="1" s="1"/>
  <c r="H974" i="1"/>
  <c r="H973" i="1"/>
  <c r="H972" i="1"/>
  <c r="M972" i="1" s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M956" i="1" s="1"/>
  <c r="H955" i="1"/>
  <c r="M955" i="1" s="1"/>
  <c r="H954" i="1"/>
  <c r="H953" i="1"/>
  <c r="M953" i="1" s="1"/>
  <c r="H952" i="1"/>
  <c r="H951" i="1"/>
  <c r="H950" i="1"/>
  <c r="M950" i="1" s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M932" i="1" s="1"/>
  <c r="H931" i="1"/>
  <c r="H930" i="1"/>
  <c r="H929" i="1"/>
  <c r="H928" i="1"/>
  <c r="M928" i="1" s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M911" i="1" s="1"/>
  <c r="H910" i="1"/>
  <c r="M910" i="1" s="1"/>
  <c r="H909" i="1"/>
  <c r="H908" i="1"/>
  <c r="H907" i="1"/>
  <c r="H906" i="1"/>
  <c r="M906" i="1" s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M884" i="1" s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M776" i="1" s="1"/>
  <c r="H775" i="1"/>
  <c r="M775" i="1" s="1"/>
  <c r="H774" i="1"/>
  <c r="M774" i="1" s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M752" i="1" s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M734" i="1" s="1"/>
  <c r="H733" i="1"/>
  <c r="H732" i="1"/>
  <c r="H731" i="1"/>
  <c r="H730" i="1"/>
  <c r="M730" i="1" s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M708" i="1" s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M690" i="1" s="1"/>
  <c r="H689" i="1"/>
  <c r="H688" i="1"/>
  <c r="H687" i="1"/>
  <c r="H686" i="1"/>
  <c r="M686" i="1" s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M664" i="1" s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M646" i="1" s="1"/>
  <c r="H645" i="1"/>
  <c r="M645" i="1" s="1"/>
  <c r="H644" i="1"/>
  <c r="M644" i="1" s="1"/>
  <c r="H643" i="1"/>
  <c r="H642" i="1"/>
  <c r="M642" i="1" s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M620" i="1" s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M580" i="1" s="1"/>
  <c r="H579" i="1"/>
  <c r="H578" i="1"/>
  <c r="M578" i="1" s="1"/>
  <c r="H577" i="1"/>
  <c r="M577" i="1" s="1"/>
  <c r="H576" i="1"/>
  <c r="M576" i="1" s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M557" i="1" s="1"/>
  <c r="H556" i="1"/>
  <c r="H555" i="1"/>
  <c r="H554" i="1"/>
  <c r="M554" i="1" s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M532" i="1" s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M510" i="1" s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M422" i="1" s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M404" i="1" s="1"/>
  <c r="H403" i="1"/>
  <c r="M403" i="1" s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M378" i="1" s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M356" i="1" s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M338" i="1" s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M316" i="1" s="1"/>
  <c r="H315" i="1"/>
  <c r="H314" i="1"/>
  <c r="H313" i="1"/>
  <c r="H312" i="1"/>
  <c r="M312" i="1" s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M290" i="1" s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M272" i="1" s="1"/>
  <c r="H271" i="1"/>
  <c r="H270" i="1"/>
  <c r="H269" i="1"/>
  <c r="H268" i="1"/>
  <c r="M268" i="1" s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M250" i="1" s="1"/>
  <c r="H249" i="1"/>
  <c r="H248" i="1"/>
  <c r="M248" i="1" s="1"/>
  <c r="H247" i="1"/>
  <c r="H246" i="1"/>
  <c r="M246" i="1" s="1"/>
  <c r="H245" i="1"/>
  <c r="M245" i="1" s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M224" i="1" s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M206" i="1" s="1"/>
  <c r="H205" i="1"/>
  <c r="H204" i="1"/>
  <c r="H203" i="1"/>
  <c r="H202" i="1"/>
  <c r="M202" i="1" s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M184" i="1" s="1"/>
  <c r="H183" i="1"/>
  <c r="H182" i="1"/>
  <c r="H181" i="1"/>
  <c r="H180" i="1"/>
  <c r="M180" i="1" s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M162" i="1" s="1"/>
  <c r="H161" i="1"/>
  <c r="H160" i="1"/>
  <c r="H159" i="1"/>
  <c r="H158" i="1"/>
  <c r="M158" i="1" s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M140" i="1" s="1"/>
  <c r="H139" i="1"/>
  <c r="H138" i="1"/>
  <c r="M138" i="1" s="1"/>
  <c r="H137" i="1"/>
  <c r="H136" i="1"/>
  <c r="M136" i="1" s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M118" i="1" s="1"/>
  <c r="H117" i="1"/>
  <c r="H116" i="1"/>
  <c r="H115" i="1"/>
  <c r="H114" i="1"/>
  <c r="M114" i="1" s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M96" i="1" s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M74" i="1" s="1"/>
  <c r="H73" i="1"/>
  <c r="M73" i="1" s="1"/>
  <c r="H72" i="1"/>
  <c r="M72" i="1" s="1"/>
  <c r="H71" i="1"/>
  <c r="H70" i="1"/>
  <c r="M70" i="1" s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M52" i="1" s="1"/>
  <c r="H51" i="1"/>
  <c r="H50" i="1"/>
  <c r="H49" i="1"/>
  <c r="H48" i="1"/>
  <c r="M48" i="1" s="1"/>
  <c r="H47" i="1"/>
  <c r="H46" i="1"/>
  <c r="H45" i="1"/>
  <c r="H44" i="1"/>
  <c r="M44" i="1" s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M30" i="1" s="1"/>
  <c r="H29" i="1"/>
  <c r="H28" i="1"/>
  <c r="H27" i="1"/>
  <c r="H26" i="1"/>
  <c r="M26" i="1" s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M8" i="1" s="1"/>
  <c r="H7" i="1"/>
  <c r="H6" i="1"/>
  <c r="H5" i="1"/>
  <c r="H4" i="1"/>
  <c r="M4" i="1" s="1"/>
  <c r="H3" i="1"/>
  <c r="M3" i="1" s="1"/>
  <c r="M1244" i="1"/>
  <c r="M1242" i="1"/>
  <c r="M1241" i="1"/>
  <c r="M1222" i="1"/>
  <c r="M1218" i="1"/>
  <c r="M1200" i="1"/>
  <c r="M1198" i="1"/>
  <c r="M1196" i="1"/>
  <c r="M1192" i="1"/>
  <c r="M1060" i="1"/>
  <c r="M1022" i="1"/>
  <c r="M1000" i="1"/>
  <c r="M954" i="1"/>
  <c r="M934" i="1"/>
  <c r="M933" i="1"/>
  <c r="M912" i="1"/>
  <c r="M890" i="1"/>
  <c r="M870" i="1"/>
  <c r="M868" i="1"/>
  <c r="M804" i="1"/>
  <c r="M802" i="1"/>
  <c r="M782" i="1"/>
  <c r="M780" i="1"/>
  <c r="M779" i="1"/>
  <c r="M756" i="1"/>
  <c r="M668" i="1"/>
  <c r="M601" i="1"/>
  <c r="M558" i="1"/>
  <c r="M470" i="1"/>
  <c r="M466" i="1"/>
  <c r="M452" i="1"/>
  <c r="M360" i="1"/>
  <c r="M336" i="1"/>
  <c r="M334" i="1"/>
  <c r="M296" i="1"/>
  <c r="M295" i="1"/>
  <c r="M294" i="1"/>
  <c r="K1244" i="1"/>
  <c r="K1243" i="1"/>
  <c r="K1242" i="1"/>
  <c r="K1241" i="1"/>
  <c r="K1240" i="1"/>
  <c r="K1239" i="1"/>
  <c r="K1238" i="1"/>
  <c r="K1237" i="1"/>
  <c r="K1236" i="1"/>
  <c r="K1235" i="1"/>
  <c r="K1234" i="1"/>
  <c r="K1233" i="1"/>
  <c r="K1232" i="1"/>
  <c r="K1231" i="1"/>
  <c r="K1230" i="1"/>
  <c r="K1229" i="1"/>
  <c r="K1228" i="1"/>
  <c r="K1227" i="1"/>
  <c r="K1226" i="1"/>
  <c r="K1225" i="1"/>
  <c r="K1224" i="1"/>
  <c r="K1223" i="1"/>
  <c r="K1222" i="1"/>
  <c r="K1221" i="1"/>
  <c r="K1220" i="1"/>
  <c r="K1219" i="1"/>
  <c r="K1218" i="1"/>
  <c r="K1217" i="1"/>
  <c r="K1216" i="1"/>
  <c r="K1215" i="1"/>
  <c r="K1214" i="1"/>
  <c r="K1213" i="1"/>
  <c r="K1212" i="1"/>
  <c r="K1211" i="1"/>
  <c r="K1210" i="1"/>
  <c r="K1209" i="1"/>
  <c r="K1208" i="1"/>
  <c r="K1207" i="1"/>
  <c r="K1206" i="1"/>
  <c r="K1205" i="1"/>
  <c r="K1204" i="1"/>
  <c r="K1203" i="1"/>
  <c r="K1202" i="1"/>
  <c r="K1201" i="1"/>
  <c r="K1200" i="1"/>
  <c r="K1199" i="1"/>
  <c r="K1198" i="1"/>
  <c r="K1197" i="1"/>
  <c r="K1196" i="1"/>
  <c r="K1195" i="1"/>
  <c r="K1194" i="1"/>
  <c r="K1193" i="1"/>
  <c r="K1192" i="1"/>
  <c r="K1191" i="1"/>
  <c r="K1190" i="1"/>
  <c r="K1189" i="1"/>
  <c r="K1188" i="1"/>
  <c r="K1187" i="1"/>
  <c r="K1186" i="1"/>
  <c r="K1185" i="1"/>
  <c r="K1184" i="1"/>
  <c r="K1183" i="1"/>
  <c r="K1182" i="1"/>
  <c r="K1181" i="1"/>
  <c r="K1180" i="1"/>
  <c r="K1179" i="1"/>
  <c r="K1178" i="1"/>
  <c r="K1177" i="1"/>
  <c r="K1176" i="1"/>
  <c r="K1175" i="1"/>
  <c r="K1174" i="1"/>
  <c r="K1173" i="1"/>
  <c r="K1172" i="1"/>
  <c r="K1171" i="1"/>
  <c r="K1170" i="1"/>
  <c r="K1169" i="1"/>
  <c r="K1168" i="1"/>
  <c r="K1167" i="1"/>
  <c r="K1166" i="1"/>
  <c r="K1165" i="1"/>
  <c r="K1164" i="1"/>
  <c r="K1163" i="1"/>
  <c r="K1162" i="1"/>
  <c r="K1161" i="1"/>
  <c r="K1160" i="1"/>
  <c r="K1159" i="1"/>
  <c r="K1158" i="1"/>
  <c r="K1157" i="1"/>
  <c r="K1156" i="1"/>
  <c r="K1155" i="1"/>
  <c r="K1154" i="1"/>
  <c r="K1153" i="1"/>
  <c r="K1152" i="1"/>
  <c r="K1151" i="1"/>
  <c r="K1150" i="1"/>
  <c r="K1149" i="1"/>
  <c r="K1148" i="1"/>
  <c r="K1147" i="1"/>
  <c r="K1146" i="1"/>
  <c r="K1145" i="1"/>
  <c r="K1144" i="1"/>
  <c r="K1143" i="1"/>
  <c r="K1142" i="1"/>
  <c r="K1141" i="1"/>
  <c r="K1140" i="1"/>
  <c r="K1139" i="1"/>
  <c r="K1138" i="1"/>
  <c r="K1137" i="1"/>
  <c r="K1136" i="1"/>
  <c r="K1135" i="1"/>
  <c r="K1134" i="1"/>
  <c r="M1134" i="1" s="1"/>
  <c r="K1133" i="1"/>
  <c r="K1132" i="1"/>
  <c r="M1132" i="1" s="1"/>
  <c r="K1131" i="1"/>
  <c r="M1131" i="1" s="1"/>
  <c r="K1130" i="1"/>
  <c r="K1129" i="1"/>
  <c r="K1128" i="1"/>
  <c r="K1127" i="1"/>
  <c r="K1126" i="1"/>
  <c r="K1125" i="1"/>
  <c r="K1124" i="1"/>
  <c r="K1123" i="1"/>
  <c r="K1122" i="1"/>
  <c r="K1121" i="1"/>
  <c r="K1120" i="1"/>
  <c r="K1119" i="1"/>
  <c r="K1118" i="1"/>
  <c r="K1117" i="1"/>
  <c r="K1116" i="1"/>
  <c r="K1115" i="1"/>
  <c r="K1114" i="1"/>
  <c r="K1113" i="1"/>
  <c r="K1112" i="1"/>
  <c r="M1112" i="1" s="1"/>
  <c r="K1111" i="1"/>
  <c r="K1110" i="1"/>
  <c r="M1110" i="1" s="1"/>
  <c r="K1109" i="1"/>
  <c r="K1108" i="1"/>
  <c r="K1107" i="1"/>
  <c r="K1106" i="1"/>
  <c r="K1105" i="1"/>
  <c r="K1104" i="1"/>
  <c r="M1104" i="1" s="1"/>
  <c r="K1103" i="1"/>
  <c r="K1102" i="1"/>
  <c r="K1101" i="1"/>
  <c r="K1100" i="1"/>
  <c r="K1099" i="1"/>
  <c r="K1098" i="1"/>
  <c r="K1097" i="1"/>
  <c r="K1096" i="1"/>
  <c r="K1095" i="1"/>
  <c r="K1094" i="1"/>
  <c r="K1093" i="1"/>
  <c r="K1092" i="1"/>
  <c r="K1091" i="1"/>
  <c r="K1090" i="1"/>
  <c r="M1090" i="1" s="1"/>
  <c r="K1089" i="1"/>
  <c r="K1088" i="1"/>
  <c r="K1087" i="1"/>
  <c r="K1086" i="1"/>
  <c r="K1085" i="1"/>
  <c r="K1084" i="1"/>
  <c r="K1083" i="1"/>
  <c r="K1082" i="1"/>
  <c r="K1081" i="1"/>
  <c r="K1080" i="1"/>
  <c r="K1079" i="1"/>
  <c r="K1078" i="1"/>
  <c r="K1077" i="1"/>
  <c r="K1076" i="1"/>
  <c r="K1075" i="1"/>
  <c r="K1074" i="1"/>
  <c r="K1073" i="1"/>
  <c r="K1072" i="1"/>
  <c r="K1071" i="1"/>
  <c r="K1070" i="1"/>
  <c r="K1069" i="1"/>
  <c r="K1068" i="1"/>
  <c r="M1068" i="1" s="1"/>
  <c r="K1067" i="1"/>
  <c r="K1066" i="1"/>
  <c r="M1066" i="1" s="1"/>
  <c r="K1065" i="1"/>
  <c r="M1065" i="1" s="1"/>
  <c r="K1064" i="1"/>
  <c r="M1064" i="1" s="1"/>
  <c r="K1063" i="1"/>
  <c r="K1062" i="1"/>
  <c r="K1061" i="1"/>
  <c r="K1060" i="1"/>
  <c r="K1059" i="1"/>
  <c r="K1058" i="1"/>
  <c r="K1057" i="1"/>
  <c r="K1056" i="1"/>
  <c r="K1055" i="1"/>
  <c r="K1054" i="1"/>
  <c r="K1053" i="1"/>
  <c r="K1052" i="1"/>
  <c r="K1051" i="1"/>
  <c r="K1050" i="1"/>
  <c r="K1049" i="1"/>
  <c r="K1048" i="1"/>
  <c r="K1047" i="1"/>
  <c r="K1046" i="1"/>
  <c r="K1045" i="1"/>
  <c r="K1044" i="1"/>
  <c r="K1043" i="1"/>
  <c r="K1042" i="1"/>
  <c r="K1041" i="1"/>
  <c r="K1040" i="1"/>
  <c r="K1039" i="1"/>
  <c r="K1038" i="1"/>
  <c r="K1037" i="1"/>
  <c r="K1036" i="1"/>
  <c r="K1035" i="1"/>
  <c r="K1034" i="1"/>
  <c r="K1033" i="1"/>
  <c r="K1032" i="1"/>
  <c r="K1031" i="1"/>
  <c r="K1030" i="1"/>
  <c r="K1029" i="1"/>
  <c r="K1028" i="1"/>
  <c r="K1027" i="1"/>
  <c r="K1026" i="1"/>
  <c r="K1025" i="1"/>
  <c r="K1024" i="1"/>
  <c r="M1024" i="1" s="1"/>
  <c r="K1023" i="1"/>
  <c r="K1022" i="1"/>
  <c r="K1021" i="1"/>
  <c r="K1020" i="1"/>
  <c r="K1019" i="1"/>
  <c r="K1018" i="1"/>
  <c r="K1017" i="1"/>
  <c r="K1016" i="1"/>
  <c r="K1015" i="1"/>
  <c r="K1014" i="1"/>
  <c r="K1013" i="1"/>
  <c r="K1012" i="1"/>
  <c r="K1011" i="1"/>
  <c r="K1010" i="1"/>
  <c r="K1009" i="1"/>
  <c r="K1008" i="1"/>
  <c r="K1007" i="1"/>
  <c r="K1006" i="1"/>
  <c r="K1005" i="1"/>
  <c r="K1004" i="1"/>
  <c r="K1003" i="1"/>
  <c r="K1002" i="1"/>
  <c r="M1002" i="1" s="1"/>
  <c r="K1001" i="1"/>
  <c r="K1000" i="1"/>
  <c r="K999" i="1"/>
  <c r="K998" i="1"/>
  <c r="K997" i="1"/>
  <c r="K996" i="1"/>
  <c r="K995" i="1"/>
  <c r="K994" i="1"/>
  <c r="K993" i="1"/>
  <c r="K992" i="1"/>
  <c r="K991" i="1"/>
  <c r="K990" i="1"/>
  <c r="K989" i="1"/>
  <c r="K988" i="1"/>
  <c r="K987" i="1"/>
  <c r="K986" i="1"/>
  <c r="K985" i="1"/>
  <c r="K984" i="1"/>
  <c r="K983" i="1"/>
  <c r="K982" i="1"/>
  <c r="K981" i="1"/>
  <c r="K980" i="1"/>
  <c r="K979" i="1"/>
  <c r="K978" i="1"/>
  <c r="K977" i="1"/>
  <c r="K976" i="1"/>
  <c r="K975" i="1"/>
  <c r="K974" i="1"/>
  <c r="K973" i="1"/>
  <c r="K972" i="1"/>
  <c r="K971" i="1"/>
  <c r="K970" i="1"/>
  <c r="K969" i="1"/>
  <c r="K968" i="1"/>
  <c r="K967" i="1"/>
  <c r="K966" i="1"/>
  <c r="K965" i="1"/>
  <c r="K964" i="1"/>
  <c r="K963" i="1"/>
  <c r="K962" i="1"/>
  <c r="K961" i="1"/>
  <c r="K960" i="1"/>
  <c r="K959" i="1"/>
  <c r="K958" i="1"/>
  <c r="M958" i="1" s="1"/>
  <c r="K957" i="1"/>
  <c r="K956" i="1"/>
  <c r="K955" i="1"/>
  <c r="K954" i="1"/>
  <c r="K953" i="1"/>
  <c r="K952" i="1"/>
  <c r="K951" i="1"/>
  <c r="K950" i="1"/>
  <c r="K949" i="1"/>
  <c r="K948" i="1"/>
  <c r="K947" i="1"/>
  <c r="K946" i="1"/>
  <c r="K945" i="1"/>
  <c r="K944" i="1"/>
  <c r="K943" i="1"/>
  <c r="K942" i="1"/>
  <c r="K941" i="1"/>
  <c r="K940" i="1"/>
  <c r="K939" i="1"/>
  <c r="K938" i="1"/>
  <c r="K937" i="1"/>
  <c r="K936" i="1"/>
  <c r="M936" i="1" s="1"/>
  <c r="K935" i="1"/>
  <c r="K934" i="1"/>
  <c r="K933" i="1"/>
  <c r="K932" i="1"/>
  <c r="K931" i="1"/>
  <c r="K930" i="1"/>
  <c r="K929" i="1"/>
  <c r="K928" i="1"/>
  <c r="K927" i="1"/>
  <c r="K926" i="1"/>
  <c r="K925" i="1"/>
  <c r="K924" i="1"/>
  <c r="K923" i="1"/>
  <c r="K922" i="1"/>
  <c r="K921" i="1"/>
  <c r="K920" i="1"/>
  <c r="K919" i="1"/>
  <c r="K918" i="1"/>
  <c r="K917" i="1"/>
  <c r="K916" i="1"/>
  <c r="K915" i="1"/>
  <c r="K914" i="1"/>
  <c r="K913" i="1"/>
  <c r="K912" i="1"/>
  <c r="K911" i="1"/>
  <c r="K910" i="1"/>
  <c r="K909" i="1"/>
  <c r="K908" i="1"/>
  <c r="K907" i="1"/>
  <c r="K906" i="1"/>
  <c r="K905" i="1"/>
  <c r="K904" i="1"/>
  <c r="K903" i="1"/>
  <c r="K902" i="1"/>
  <c r="K901" i="1"/>
  <c r="K900" i="1"/>
  <c r="K899" i="1"/>
  <c r="K898" i="1"/>
  <c r="K897" i="1"/>
  <c r="K896" i="1"/>
  <c r="K895" i="1"/>
  <c r="K894" i="1"/>
  <c r="K893" i="1"/>
  <c r="K892" i="1"/>
  <c r="K891" i="1"/>
  <c r="K890" i="1"/>
  <c r="K889" i="1"/>
  <c r="K888" i="1"/>
  <c r="M888" i="1" s="1"/>
  <c r="K887" i="1"/>
  <c r="K886" i="1"/>
  <c r="K885" i="1"/>
  <c r="K884" i="1"/>
  <c r="K883" i="1"/>
  <c r="K882" i="1"/>
  <c r="K881" i="1"/>
  <c r="K880" i="1"/>
  <c r="K879" i="1"/>
  <c r="K878" i="1"/>
  <c r="K877" i="1"/>
  <c r="K876" i="1"/>
  <c r="K875" i="1"/>
  <c r="K874" i="1"/>
  <c r="K873" i="1"/>
  <c r="K872" i="1"/>
  <c r="K871" i="1"/>
  <c r="K870" i="1"/>
  <c r="K869" i="1"/>
  <c r="K868" i="1"/>
  <c r="K867" i="1"/>
  <c r="K866" i="1"/>
  <c r="M866" i="1" s="1"/>
  <c r="K865" i="1"/>
  <c r="K864" i="1"/>
  <c r="K863" i="1"/>
  <c r="K862" i="1"/>
  <c r="M862" i="1" s="1"/>
  <c r="K861" i="1"/>
  <c r="K860" i="1"/>
  <c r="K859" i="1"/>
  <c r="K858" i="1"/>
  <c r="K857" i="1"/>
  <c r="K856" i="1"/>
  <c r="K855" i="1"/>
  <c r="K854" i="1"/>
  <c r="K853" i="1"/>
  <c r="K852" i="1"/>
  <c r="K851" i="1"/>
  <c r="K850" i="1"/>
  <c r="K849" i="1"/>
  <c r="K848" i="1"/>
  <c r="M848" i="1" s="1"/>
  <c r="K847" i="1"/>
  <c r="K846" i="1"/>
  <c r="M846" i="1" s="1"/>
  <c r="K845" i="1"/>
  <c r="K844" i="1"/>
  <c r="M844" i="1" s="1"/>
  <c r="K843" i="1"/>
  <c r="K842" i="1"/>
  <c r="K841" i="1"/>
  <c r="K840" i="1"/>
  <c r="M840" i="1" s="1"/>
  <c r="K839" i="1"/>
  <c r="K838" i="1"/>
  <c r="K837" i="1"/>
  <c r="K836" i="1"/>
  <c r="K835" i="1"/>
  <c r="K834" i="1"/>
  <c r="K833" i="1"/>
  <c r="K832" i="1"/>
  <c r="K831" i="1"/>
  <c r="K830" i="1"/>
  <c r="K829" i="1"/>
  <c r="K828" i="1"/>
  <c r="K827" i="1"/>
  <c r="K826" i="1"/>
  <c r="K825" i="1"/>
  <c r="K824" i="1"/>
  <c r="K823" i="1"/>
  <c r="K822" i="1"/>
  <c r="K821" i="1"/>
  <c r="K820" i="1"/>
  <c r="K819" i="1"/>
  <c r="K818" i="1"/>
  <c r="K817" i="1"/>
  <c r="K816" i="1"/>
  <c r="K815" i="1"/>
  <c r="K814" i="1"/>
  <c r="K813" i="1"/>
  <c r="K812" i="1"/>
  <c r="K811" i="1"/>
  <c r="K810" i="1"/>
  <c r="K809" i="1"/>
  <c r="K808" i="1"/>
  <c r="K807" i="1"/>
  <c r="K806" i="1"/>
  <c r="K805" i="1"/>
  <c r="K804" i="1"/>
  <c r="K803" i="1"/>
  <c r="K802" i="1"/>
  <c r="K801" i="1"/>
  <c r="K800" i="1"/>
  <c r="K799" i="1"/>
  <c r="K798" i="1"/>
  <c r="K797" i="1"/>
  <c r="K796" i="1"/>
  <c r="K795" i="1"/>
  <c r="K794" i="1"/>
  <c r="K793" i="1"/>
  <c r="K792" i="1"/>
  <c r="K791" i="1"/>
  <c r="K790" i="1"/>
  <c r="K789" i="1"/>
  <c r="K788" i="1"/>
  <c r="K787" i="1"/>
  <c r="K786" i="1"/>
  <c r="K785" i="1"/>
  <c r="K784" i="1"/>
  <c r="K783" i="1"/>
  <c r="K782" i="1"/>
  <c r="K781" i="1"/>
  <c r="K780" i="1"/>
  <c r="K779" i="1"/>
  <c r="K778" i="1"/>
  <c r="K776" i="1"/>
  <c r="K775" i="1"/>
  <c r="K774" i="1"/>
  <c r="K773" i="1"/>
  <c r="K772" i="1"/>
  <c r="K771" i="1"/>
  <c r="K770" i="1"/>
  <c r="K769" i="1"/>
  <c r="K768" i="1"/>
  <c r="K767" i="1"/>
  <c r="K766" i="1"/>
  <c r="K765" i="1"/>
  <c r="K764" i="1"/>
  <c r="K763" i="1"/>
  <c r="K762" i="1"/>
  <c r="K761" i="1"/>
  <c r="K760" i="1"/>
  <c r="M760" i="1" s="1"/>
  <c r="K759" i="1"/>
  <c r="K758" i="1"/>
  <c r="M758" i="1" s="1"/>
  <c r="K757" i="1"/>
  <c r="M757" i="1" s="1"/>
  <c r="K756" i="1"/>
  <c r="K755" i="1"/>
  <c r="K754" i="1"/>
  <c r="K753" i="1"/>
  <c r="K752" i="1"/>
  <c r="K751" i="1"/>
  <c r="K750" i="1"/>
  <c r="K749" i="1"/>
  <c r="K748" i="1"/>
  <c r="K747" i="1"/>
  <c r="K746" i="1"/>
  <c r="K745" i="1"/>
  <c r="K744" i="1"/>
  <c r="K743" i="1"/>
  <c r="K742" i="1"/>
  <c r="K741" i="1"/>
  <c r="K740" i="1"/>
  <c r="K739" i="1"/>
  <c r="K738" i="1"/>
  <c r="M738" i="1" s="1"/>
  <c r="K737" i="1"/>
  <c r="K736" i="1"/>
  <c r="M736" i="1" s="1"/>
  <c r="K735" i="1"/>
  <c r="M735" i="1" s="1"/>
  <c r="K734" i="1"/>
  <c r="K733" i="1"/>
  <c r="K732" i="1"/>
  <c r="K731" i="1"/>
  <c r="K730" i="1"/>
  <c r="K729" i="1"/>
  <c r="K728" i="1"/>
  <c r="K727" i="1"/>
  <c r="K726" i="1"/>
  <c r="K725" i="1"/>
  <c r="K724" i="1"/>
  <c r="K723" i="1"/>
  <c r="K722" i="1"/>
  <c r="K721" i="1"/>
  <c r="K720" i="1"/>
  <c r="K719" i="1"/>
  <c r="K718" i="1"/>
  <c r="K717" i="1"/>
  <c r="K716" i="1"/>
  <c r="M716" i="1" s="1"/>
  <c r="K715" i="1"/>
  <c r="K714" i="1"/>
  <c r="K713" i="1"/>
  <c r="K712" i="1"/>
  <c r="K711" i="1"/>
  <c r="K710" i="1"/>
  <c r="K709" i="1"/>
  <c r="K708" i="1"/>
  <c r="K707" i="1"/>
  <c r="K706" i="1"/>
  <c r="K705" i="1"/>
  <c r="K704" i="1"/>
  <c r="K703" i="1"/>
  <c r="K702" i="1"/>
  <c r="K701" i="1"/>
  <c r="K700" i="1"/>
  <c r="K699" i="1"/>
  <c r="K698" i="1"/>
  <c r="K697" i="1"/>
  <c r="K696" i="1"/>
  <c r="K695" i="1"/>
  <c r="K694" i="1"/>
  <c r="M694" i="1" s="1"/>
  <c r="K693" i="1"/>
  <c r="K692" i="1"/>
  <c r="M692" i="1" s="1"/>
  <c r="K691" i="1"/>
  <c r="M691" i="1" s="1"/>
  <c r="K690" i="1"/>
  <c r="K689" i="1"/>
  <c r="K688" i="1"/>
  <c r="K687" i="1"/>
  <c r="K686" i="1"/>
  <c r="K685" i="1"/>
  <c r="K684" i="1"/>
  <c r="K683" i="1"/>
  <c r="K682" i="1"/>
  <c r="K681" i="1"/>
  <c r="K680" i="1"/>
  <c r="K679" i="1"/>
  <c r="K678" i="1"/>
  <c r="K677" i="1"/>
  <c r="K676" i="1"/>
  <c r="K675" i="1"/>
  <c r="K674" i="1"/>
  <c r="K673" i="1"/>
  <c r="K672" i="1"/>
  <c r="M672" i="1" s="1"/>
  <c r="K671" i="1"/>
  <c r="K670" i="1"/>
  <c r="M670" i="1" s="1"/>
  <c r="K669" i="1"/>
  <c r="K668" i="1"/>
  <c r="K667" i="1"/>
  <c r="K666" i="1"/>
  <c r="K665" i="1"/>
  <c r="K664" i="1"/>
  <c r="K663" i="1"/>
  <c r="K662" i="1"/>
  <c r="K661" i="1"/>
  <c r="K660" i="1"/>
  <c r="K659" i="1"/>
  <c r="K658" i="1"/>
  <c r="K657" i="1"/>
  <c r="K656" i="1"/>
  <c r="K655" i="1"/>
  <c r="K654" i="1"/>
  <c r="K653" i="1"/>
  <c r="K652" i="1"/>
  <c r="K651" i="1"/>
  <c r="K650" i="1"/>
  <c r="M650" i="1" s="1"/>
  <c r="K649" i="1"/>
  <c r="K648" i="1"/>
  <c r="M648" i="1" s="1"/>
  <c r="K647" i="1"/>
  <c r="M647" i="1" s="1"/>
  <c r="K646" i="1"/>
  <c r="K645" i="1"/>
  <c r="K644" i="1"/>
  <c r="K643" i="1"/>
  <c r="K642" i="1"/>
  <c r="K641" i="1"/>
  <c r="K640" i="1"/>
  <c r="K639" i="1"/>
  <c r="K638" i="1"/>
  <c r="K637" i="1"/>
  <c r="K636" i="1"/>
  <c r="K635" i="1"/>
  <c r="K634" i="1"/>
  <c r="K633" i="1"/>
  <c r="K632" i="1"/>
  <c r="K631" i="1"/>
  <c r="K630" i="1"/>
  <c r="K629" i="1"/>
  <c r="K628" i="1"/>
  <c r="M628" i="1" s="1"/>
  <c r="K627" i="1"/>
  <c r="K626" i="1"/>
  <c r="M626" i="1" s="1"/>
  <c r="K625" i="1"/>
  <c r="K624" i="1"/>
  <c r="K623" i="1"/>
  <c r="K622" i="1"/>
  <c r="K621" i="1"/>
  <c r="K620" i="1"/>
  <c r="K619" i="1"/>
  <c r="K618" i="1"/>
  <c r="K617" i="1"/>
  <c r="K616" i="1"/>
  <c r="K615" i="1"/>
  <c r="K614" i="1"/>
  <c r="K613" i="1"/>
  <c r="K612" i="1"/>
  <c r="K611" i="1"/>
  <c r="K610" i="1"/>
  <c r="K609" i="1"/>
  <c r="K608" i="1"/>
  <c r="K607" i="1"/>
  <c r="K606" i="1"/>
  <c r="M606" i="1" s="1"/>
  <c r="K605" i="1"/>
  <c r="K604" i="1"/>
  <c r="M604" i="1" s="1"/>
  <c r="K603" i="1"/>
  <c r="K602" i="1"/>
  <c r="K601" i="1"/>
  <c r="K600" i="1"/>
  <c r="K599" i="1"/>
  <c r="K598" i="1"/>
  <c r="M598" i="1" s="1"/>
  <c r="K597" i="1"/>
  <c r="K596" i="1"/>
  <c r="K595" i="1"/>
  <c r="K594" i="1"/>
  <c r="K593" i="1"/>
  <c r="K592" i="1"/>
  <c r="K591" i="1"/>
  <c r="K590" i="1"/>
  <c r="K589" i="1"/>
  <c r="K588" i="1"/>
  <c r="K587" i="1"/>
  <c r="K586" i="1"/>
  <c r="K585" i="1"/>
  <c r="K584" i="1"/>
  <c r="M584" i="1" s="1"/>
  <c r="K583" i="1"/>
  <c r="K582" i="1"/>
  <c r="M582" i="1" s="1"/>
  <c r="K581" i="1"/>
  <c r="K580" i="1"/>
  <c r="K579" i="1"/>
  <c r="K578" i="1"/>
  <c r="K577" i="1"/>
  <c r="K576" i="1"/>
  <c r="K575" i="1"/>
  <c r="K574" i="1"/>
  <c r="K573" i="1"/>
  <c r="K572" i="1"/>
  <c r="K571" i="1"/>
  <c r="K570" i="1"/>
  <c r="K569" i="1"/>
  <c r="K568" i="1"/>
  <c r="K567" i="1"/>
  <c r="K566" i="1"/>
  <c r="K565" i="1"/>
  <c r="K564" i="1"/>
  <c r="K563" i="1"/>
  <c r="K562" i="1"/>
  <c r="K561" i="1"/>
  <c r="K560" i="1"/>
  <c r="M560" i="1" s="1"/>
  <c r="K559" i="1"/>
  <c r="M559" i="1" s="1"/>
  <c r="K558" i="1"/>
  <c r="K557" i="1"/>
  <c r="K556" i="1"/>
  <c r="K555" i="1"/>
  <c r="K554" i="1"/>
  <c r="K553" i="1"/>
  <c r="K552" i="1"/>
  <c r="K551" i="1"/>
  <c r="K550" i="1"/>
  <c r="K549" i="1"/>
  <c r="K548" i="1"/>
  <c r="K547" i="1"/>
  <c r="K546" i="1"/>
  <c r="K545" i="1"/>
  <c r="K544" i="1"/>
  <c r="K543" i="1"/>
  <c r="K542" i="1"/>
  <c r="K541" i="1"/>
  <c r="K540" i="1"/>
  <c r="M540" i="1" s="1"/>
  <c r="K539" i="1"/>
  <c r="K538" i="1"/>
  <c r="M538" i="1" s="1"/>
  <c r="K537" i="1"/>
  <c r="K536" i="1"/>
  <c r="K535" i="1"/>
  <c r="K534" i="1"/>
  <c r="K533" i="1"/>
  <c r="K532" i="1"/>
  <c r="K531" i="1"/>
  <c r="K530" i="1"/>
  <c r="K529" i="1"/>
  <c r="K528" i="1"/>
  <c r="K527" i="1"/>
  <c r="K526" i="1"/>
  <c r="K525" i="1"/>
  <c r="K524" i="1"/>
  <c r="K523" i="1"/>
  <c r="K522" i="1"/>
  <c r="K521" i="1"/>
  <c r="K520" i="1"/>
  <c r="K519" i="1"/>
  <c r="K518" i="1"/>
  <c r="M518" i="1" s="1"/>
  <c r="K517" i="1"/>
  <c r="K516" i="1"/>
  <c r="M516" i="1" s="1"/>
  <c r="K515" i="1"/>
  <c r="M515" i="1" s="1"/>
  <c r="K514" i="1"/>
  <c r="K513" i="1"/>
  <c r="K512" i="1"/>
  <c r="K511" i="1"/>
  <c r="K510" i="1"/>
  <c r="K509" i="1"/>
  <c r="K508" i="1"/>
  <c r="K507" i="1"/>
  <c r="K506" i="1"/>
  <c r="K505" i="1"/>
  <c r="K504" i="1"/>
  <c r="K503" i="1"/>
  <c r="K502" i="1"/>
  <c r="K501" i="1"/>
  <c r="K500" i="1"/>
  <c r="K499" i="1"/>
  <c r="K498" i="1"/>
  <c r="K497" i="1"/>
  <c r="K496" i="1"/>
  <c r="M496" i="1" s="1"/>
  <c r="K495" i="1"/>
  <c r="K494" i="1"/>
  <c r="M494" i="1" s="1"/>
  <c r="K493" i="1"/>
  <c r="M493" i="1" s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6" i="1"/>
  <c r="K475" i="1"/>
  <c r="K474" i="1"/>
  <c r="M474" i="1" s="1"/>
  <c r="K473" i="1"/>
  <c r="K472" i="1"/>
  <c r="M472" i="1" s="1"/>
  <c r="K471" i="1"/>
  <c r="K470" i="1"/>
  <c r="K469" i="1"/>
  <c r="K468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K452" i="1"/>
  <c r="K451" i="1"/>
  <c r="K450" i="1"/>
  <c r="M450" i="1" s="1"/>
  <c r="K449" i="1"/>
  <c r="M449" i="1" s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M428" i="1" s="1"/>
  <c r="K427" i="1"/>
  <c r="M427" i="1" s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M406" i="1" s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M386" i="1" s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M364" i="1" s="1"/>
  <c r="K363" i="1"/>
  <c r="K362" i="1"/>
  <c r="M362" i="1" s="1"/>
  <c r="K361" i="1"/>
  <c r="M361" i="1" s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M342" i="1" s="1"/>
  <c r="K341" i="1"/>
  <c r="K340" i="1"/>
  <c r="M340" i="1" s="1"/>
  <c r="K339" i="1"/>
  <c r="M339" i="1" s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M320" i="1" s="1"/>
  <c r="K319" i="1"/>
  <c r="K318" i="1"/>
  <c r="M318" i="1" s="1"/>
  <c r="K317" i="1"/>
  <c r="M317" i="1" s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M298" i="1" s="1"/>
  <c r="K297" i="1"/>
  <c r="K296" i="1"/>
  <c r="K295" i="1"/>
  <c r="K294" i="1"/>
  <c r="K293" i="1"/>
  <c r="M293" i="1" s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M276" i="1" s="1"/>
  <c r="K275" i="1"/>
  <c r="K274" i="1"/>
  <c r="M274" i="1" s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M254" i="1" s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M232" i="1" s="1"/>
  <c r="K231" i="1"/>
  <c r="K230" i="1"/>
  <c r="M230" i="1" s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M210" i="1" s="1"/>
  <c r="K209" i="1"/>
  <c r="K208" i="1"/>
  <c r="M208" i="1" s="1"/>
  <c r="K207" i="1"/>
  <c r="M207" i="1" s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M188" i="1" s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M166" i="1" s="1"/>
  <c r="K165" i="1"/>
  <c r="K164" i="1"/>
  <c r="M164" i="1" s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M144" i="1" s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M122" i="1" s="1"/>
  <c r="K121" i="1"/>
  <c r="M121" i="1" s="1"/>
  <c r="K120" i="1"/>
  <c r="M120" i="1" s="1"/>
  <c r="K119" i="1"/>
  <c r="M119" i="1" s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M100" i="1" s="1"/>
  <c r="K99" i="1"/>
  <c r="M99" i="1" s="1"/>
  <c r="K98" i="1"/>
  <c r="M98" i="1" s="1"/>
  <c r="K97" i="1"/>
  <c r="M97" i="1" s="1"/>
  <c r="K96" i="1"/>
  <c r="K95" i="1"/>
  <c r="K94" i="1"/>
  <c r="K93" i="1"/>
  <c r="K92" i="1"/>
  <c r="M92" i="1" s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M77" i="1" s="1"/>
  <c r="K76" i="1"/>
  <c r="M76" i="1" s="1"/>
  <c r="K75" i="1"/>
  <c r="M75" i="1" s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M56" i="1" s="1"/>
  <c r="K55" i="1"/>
  <c r="M55" i="1" s="1"/>
  <c r="K54" i="1"/>
  <c r="M54" i="1" s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M34" i="1" s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M12" i="1" s="1"/>
  <c r="K11" i="1"/>
  <c r="M11" i="1" s="1"/>
  <c r="K10" i="1"/>
  <c r="M10" i="1" s="1"/>
  <c r="K9" i="1"/>
  <c r="M9" i="1" s="1"/>
  <c r="K8" i="1"/>
  <c r="K7" i="1"/>
  <c r="K6" i="1"/>
  <c r="K5" i="1"/>
  <c r="M1240" i="1"/>
  <c r="M1236" i="1"/>
  <c r="M1220" i="1"/>
  <c r="M1020" i="1"/>
  <c r="M998" i="1"/>
  <c r="M997" i="1"/>
  <c r="M994" i="1"/>
  <c r="M712" i="1"/>
  <c r="M624" i="1"/>
  <c r="M602" i="1"/>
  <c r="M536" i="1"/>
  <c r="M514" i="1"/>
  <c r="M492" i="1"/>
  <c r="M488" i="1"/>
  <c r="M448" i="1"/>
  <c r="M444" i="1"/>
  <c r="M426" i="1"/>
  <c r="M402" i="1"/>
  <c r="M400" i="1"/>
  <c r="M399" i="1"/>
  <c r="M382" i="1"/>
  <c r="M228" i="1"/>
  <c r="M33" i="1"/>
  <c r="J9" i="3" l="1"/>
  <c r="F36" i="3" s="1"/>
  <c r="H17" i="3"/>
  <c r="H16" i="3"/>
  <c r="H15" i="3"/>
  <c r="H14" i="3"/>
  <c r="H18" i="3"/>
  <c r="H9" i="2"/>
  <c r="F9" i="2"/>
  <c r="C12" i="2" s="1"/>
  <c r="M1214" i="1"/>
  <c r="M1170" i="1"/>
  <c r="M1152" i="1"/>
  <c r="M1174" i="1"/>
  <c r="M1175" i="1"/>
  <c r="M1154" i="1"/>
  <c r="M1176" i="1"/>
  <c r="M1156" i="1"/>
  <c r="M1178" i="1"/>
  <c r="M1126" i="1"/>
  <c r="M1148" i="1"/>
  <c r="M1108" i="1"/>
  <c r="M1130" i="1"/>
  <c r="M1042" i="1"/>
  <c r="M1086" i="1"/>
  <c r="M1087" i="1"/>
  <c r="M1044" i="1"/>
  <c r="M1088" i="1"/>
  <c r="M980" i="1"/>
  <c r="M796" i="1"/>
  <c r="M818" i="1"/>
  <c r="M821" i="1"/>
  <c r="M778" i="1"/>
  <c r="M800" i="1"/>
  <c r="M822" i="1"/>
  <c r="M801" i="1"/>
  <c r="M823" i="1"/>
  <c r="M824" i="1"/>
  <c r="M826" i="1"/>
  <c r="M251" i="1"/>
  <c r="M32" i="1"/>
  <c r="M142" i="1"/>
  <c r="M186" i="1"/>
  <c r="M252" i="1"/>
  <c r="M384" i="1"/>
  <c r="M714" i="1"/>
  <c r="M63" i="1"/>
  <c r="M151" i="1"/>
  <c r="M217" i="1"/>
  <c r="M349" i="1"/>
  <c r="M481" i="1"/>
  <c r="M503" i="1"/>
  <c r="M679" i="1"/>
  <c r="M701" i="1"/>
  <c r="M723" i="1"/>
  <c r="M877" i="1"/>
  <c r="M1185" i="1"/>
  <c r="M174" i="1"/>
  <c r="M218" i="1"/>
  <c r="M306" i="1"/>
  <c r="M328" i="1"/>
  <c r="M680" i="1"/>
  <c r="M724" i="1"/>
  <c r="M812" i="1"/>
  <c r="M966" i="1"/>
  <c r="M1231" i="1"/>
  <c r="M327" i="1"/>
  <c r="M657" i="1"/>
  <c r="M21" i="1"/>
  <c r="M87" i="1"/>
  <c r="M109" i="1"/>
  <c r="M153" i="1"/>
  <c r="M175" i="1"/>
  <c r="M329" i="1"/>
  <c r="M373" i="1"/>
  <c r="M527" i="1"/>
  <c r="M549" i="1"/>
  <c r="M571" i="1"/>
  <c r="M593" i="1"/>
  <c r="M659" i="1"/>
  <c r="M725" i="1"/>
  <c r="M813" i="1"/>
  <c r="M857" i="1"/>
  <c r="M879" i="1"/>
  <c r="M901" i="1"/>
  <c r="M923" i="1"/>
  <c r="M1011" i="1"/>
  <c r="M1033" i="1"/>
  <c r="M1143" i="1"/>
  <c r="M1165" i="1"/>
  <c r="M1209" i="1"/>
  <c r="M22" i="1"/>
  <c r="M176" i="1"/>
  <c r="M23" i="1"/>
  <c r="M45" i="1"/>
  <c r="M67" i="1"/>
  <c r="M89" i="1"/>
  <c r="M111" i="1"/>
  <c r="M133" i="1"/>
  <c r="M199" i="1"/>
  <c r="M221" i="1"/>
  <c r="M331" i="1"/>
  <c r="M375" i="1"/>
  <c r="M441" i="1"/>
  <c r="M507" i="1"/>
  <c r="M551" i="1"/>
  <c r="M595" i="1"/>
  <c r="M683" i="1"/>
  <c r="M727" i="1"/>
  <c r="M771" i="1"/>
  <c r="M859" i="1"/>
  <c r="M925" i="1"/>
  <c r="M969" i="1"/>
  <c r="M1013" i="1"/>
  <c r="M1101" i="1"/>
  <c r="M1189" i="1"/>
  <c r="M198" i="1"/>
  <c r="M220" i="1"/>
  <c r="M242" i="1"/>
  <c r="M264" i="1"/>
  <c r="M374" i="1"/>
  <c r="M484" i="1"/>
  <c r="M528" i="1"/>
  <c r="M594" i="1"/>
  <c r="M616" i="1"/>
  <c r="M704" i="1"/>
  <c r="M726" i="1"/>
  <c r="M880" i="1"/>
  <c r="M924" i="1"/>
  <c r="M968" i="1"/>
  <c r="M1012" i="1"/>
  <c r="M1210" i="1"/>
  <c r="M243" i="1"/>
  <c r="M353" i="1"/>
  <c r="M419" i="1"/>
  <c r="M463" i="1"/>
  <c r="M485" i="1"/>
  <c r="M529" i="1"/>
  <c r="M573" i="1"/>
  <c r="M705" i="1"/>
  <c r="M749" i="1"/>
  <c r="M815" i="1"/>
  <c r="M903" i="1"/>
  <c r="M947" i="1"/>
  <c r="M991" i="1"/>
  <c r="M1057" i="1"/>
  <c r="M1167" i="1"/>
  <c r="M1233" i="1"/>
  <c r="M58" i="1"/>
  <c r="M103" i="1"/>
  <c r="M301" i="1"/>
  <c r="M1203" i="1"/>
  <c r="M322" i="1"/>
  <c r="M520" i="1"/>
  <c r="M37" i="1"/>
  <c r="M59" i="1"/>
  <c r="M81" i="1"/>
  <c r="M125" i="1"/>
  <c r="M147" i="1"/>
  <c r="M213" i="1"/>
  <c r="M235" i="1"/>
  <c r="M257" i="1"/>
  <c r="M279" i="1"/>
  <c r="M323" i="1"/>
  <c r="M345" i="1"/>
  <c r="M389" i="1"/>
  <c r="M411" i="1"/>
  <c r="M433" i="1"/>
  <c r="M455" i="1"/>
  <c r="M521" i="1"/>
  <c r="M543" i="1"/>
  <c r="M587" i="1"/>
  <c r="M609" i="1"/>
  <c r="M631" i="1"/>
  <c r="M653" i="1"/>
  <c r="M675" i="1"/>
  <c r="M719" i="1"/>
  <c r="M741" i="1"/>
  <c r="M807" i="1"/>
  <c r="M829" i="1"/>
  <c r="M851" i="1"/>
  <c r="M917" i="1"/>
  <c r="M939" i="1"/>
  <c r="M983" i="1"/>
  <c r="M1005" i="1"/>
  <c r="M1027" i="1"/>
  <c r="M1049" i="1"/>
  <c r="M1071" i="1"/>
  <c r="M1093" i="1"/>
  <c r="M1115" i="1"/>
  <c r="M1137" i="1"/>
  <c r="M1159" i="1"/>
  <c r="M1181" i="1"/>
  <c r="M1225" i="1"/>
  <c r="M62" i="1"/>
  <c r="M150" i="1"/>
  <c r="M304" i="1"/>
  <c r="M876" i="1"/>
  <c r="M1140" i="1"/>
  <c r="M13" i="1"/>
  <c r="M35" i="1"/>
  <c r="M57" i="1"/>
  <c r="M79" i="1"/>
  <c r="M101" i="1"/>
  <c r="M123" i="1"/>
  <c r="M145" i="1"/>
  <c r="M167" i="1"/>
  <c r="M189" i="1"/>
  <c r="M211" i="1"/>
  <c r="M233" i="1"/>
  <c r="M255" i="1"/>
  <c r="M277" i="1"/>
  <c r="M299" i="1"/>
  <c r="M321" i="1"/>
  <c r="M343" i="1"/>
  <c r="M365" i="1"/>
  <c r="M387" i="1"/>
  <c r="M409" i="1"/>
  <c r="M431" i="1"/>
  <c r="M453" i="1"/>
  <c r="M475" i="1"/>
  <c r="M497" i="1"/>
  <c r="M519" i="1"/>
  <c r="M418" i="1"/>
  <c r="M541" i="1"/>
  <c r="M563" i="1"/>
  <c r="M585" i="1"/>
  <c r="M607" i="1"/>
  <c r="M629" i="1"/>
  <c r="M651" i="1"/>
  <c r="M673" i="1"/>
  <c r="M695" i="1"/>
  <c r="M717" i="1"/>
  <c r="M739" i="1"/>
  <c r="M761" i="1"/>
  <c r="M783" i="1"/>
  <c r="M805" i="1"/>
  <c r="M827" i="1"/>
  <c r="M849" i="1"/>
  <c r="M871" i="1"/>
  <c r="M893" i="1"/>
  <c r="M915" i="1"/>
  <c r="M937" i="1"/>
  <c r="M959" i="1"/>
  <c r="M981" i="1"/>
  <c r="M1003" i="1"/>
  <c r="M1025" i="1"/>
  <c r="M1047" i="1"/>
  <c r="M1069" i="1"/>
  <c r="M1091" i="1"/>
  <c r="M1113" i="1"/>
  <c r="M1135" i="1"/>
  <c r="M1157" i="1"/>
  <c r="M1179" i="1"/>
  <c r="M1201" i="1"/>
  <c r="M1223" i="1"/>
  <c r="M46" i="1"/>
  <c r="M68" i="1"/>
  <c r="M90" i="1"/>
  <c r="M112" i="1"/>
  <c r="M134" i="1"/>
  <c r="M178" i="1"/>
  <c r="M200" i="1"/>
  <c r="M222" i="1"/>
  <c r="M288" i="1"/>
  <c r="M310" i="1"/>
  <c r="M332" i="1"/>
  <c r="M354" i="1"/>
  <c r="M376" i="1"/>
  <c r="M398" i="1"/>
  <c r="M420" i="1"/>
  <c r="M442" i="1"/>
  <c r="M530" i="1"/>
  <c r="M552" i="1"/>
  <c r="M574" i="1"/>
  <c r="M596" i="1"/>
  <c r="M618" i="1"/>
  <c r="M662" i="1"/>
  <c r="M684" i="1"/>
  <c r="M706" i="1"/>
  <c r="M750" i="1"/>
  <c r="M772" i="1"/>
  <c r="M794" i="1"/>
  <c r="M816" i="1"/>
  <c r="M860" i="1"/>
  <c r="M882" i="1"/>
  <c r="M904" i="1"/>
  <c r="M926" i="1"/>
  <c r="M948" i="1"/>
  <c r="M1014" i="1"/>
  <c r="M1058" i="1"/>
  <c r="M1080" i="1"/>
  <c r="M1102" i="1"/>
  <c r="M1146" i="1"/>
  <c r="M1168" i="1"/>
  <c r="M1234" i="1"/>
  <c r="M14" i="1"/>
  <c r="M223" i="1"/>
  <c r="M421" i="1"/>
  <c r="M597" i="1"/>
  <c r="M619" i="1"/>
  <c r="M993" i="1"/>
  <c r="M1015" i="1"/>
  <c r="M93" i="1"/>
  <c r="M137" i="1"/>
  <c r="M247" i="1"/>
  <c r="M401" i="1"/>
  <c r="M445" i="1"/>
  <c r="M489" i="1"/>
  <c r="M599" i="1"/>
  <c r="M643" i="1"/>
  <c r="M687" i="1"/>
  <c r="M797" i="1"/>
  <c r="M1039" i="1"/>
  <c r="M1105" i="1"/>
  <c r="M1171" i="1"/>
  <c r="M1215" i="1"/>
  <c r="M94" i="1"/>
  <c r="M160" i="1"/>
  <c r="M468" i="1"/>
  <c r="M666" i="1"/>
  <c r="M798" i="1"/>
  <c r="M886" i="1"/>
  <c r="M974" i="1"/>
  <c r="M1040" i="1"/>
  <c r="M1128" i="1"/>
  <c r="M139" i="1"/>
  <c r="M425" i="1"/>
  <c r="M579" i="1"/>
  <c r="M623" i="1"/>
  <c r="M755" i="1"/>
  <c r="M1217" i="1"/>
  <c r="M209" i="1"/>
  <c r="M5" i="1"/>
  <c r="M115" i="1"/>
  <c r="M335" i="1"/>
  <c r="M379" i="1"/>
  <c r="M467" i="1"/>
  <c r="M885" i="1"/>
  <c r="M973" i="1"/>
  <c r="M1061" i="1"/>
  <c r="M1127" i="1"/>
  <c r="M1193" i="1"/>
  <c r="M6" i="1"/>
  <c r="M182" i="1"/>
  <c r="M270" i="1"/>
  <c r="M446" i="1"/>
  <c r="M534" i="1"/>
  <c r="M732" i="1"/>
  <c r="M820" i="1"/>
  <c r="M1062" i="1"/>
  <c r="M1106" i="1"/>
  <c r="M117" i="1"/>
  <c r="M249" i="1"/>
  <c r="M381" i="1"/>
  <c r="M1129" i="1"/>
  <c r="M36" i="1"/>
  <c r="M80" i="1"/>
  <c r="M102" i="1"/>
  <c r="M124" i="1"/>
  <c r="M146" i="1"/>
  <c r="M168" i="1"/>
  <c r="M190" i="1"/>
  <c r="M212" i="1"/>
  <c r="M234" i="1"/>
  <c r="M256" i="1"/>
  <c r="M278" i="1"/>
  <c r="M300" i="1"/>
  <c r="M344" i="1"/>
  <c r="M366" i="1"/>
  <c r="M388" i="1"/>
  <c r="M410" i="1"/>
  <c r="M432" i="1"/>
  <c r="M454" i="1"/>
  <c r="M476" i="1"/>
  <c r="M498" i="1"/>
  <c r="M542" i="1"/>
  <c r="M564" i="1"/>
  <c r="M586" i="1"/>
  <c r="M608" i="1"/>
  <c r="M630" i="1"/>
  <c r="M652" i="1"/>
  <c r="M674" i="1"/>
  <c r="M696" i="1"/>
  <c r="M718" i="1"/>
  <c r="M740" i="1"/>
  <c r="M762" i="1"/>
  <c r="M784" i="1"/>
  <c r="M806" i="1"/>
  <c r="M828" i="1"/>
  <c r="M850" i="1"/>
  <c r="M872" i="1"/>
  <c r="M894" i="1"/>
  <c r="M916" i="1"/>
  <c r="M938" i="1"/>
  <c r="M960" i="1"/>
  <c r="M982" i="1"/>
  <c r="M1004" i="1"/>
  <c r="M1026" i="1"/>
  <c r="M1048" i="1"/>
  <c r="M1070" i="1"/>
  <c r="M1092" i="1"/>
  <c r="M1114" i="1"/>
  <c r="M1136" i="1"/>
  <c r="M1158" i="1"/>
  <c r="M1180" i="1"/>
  <c r="M1202" i="1"/>
  <c r="M1224" i="1"/>
  <c r="M499" i="1"/>
  <c r="M785" i="1"/>
  <c r="M873" i="1"/>
  <c r="M895" i="1"/>
  <c r="M16" i="1"/>
  <c r="M38" i="1"/>
  <c r="M60" i="1"/>
  <c r="M82" i="1"/>
  <c r="M104" i="1"/>
  <c r="M126" i="1"/>
  <c r="M148" i="1"/>
  <c r="M170" i="1"/>
  <c r="M192" i="1"/>
  <c r="M214" i="1"/>
  <c r="M236" i="1"/>
  <c r="M258" i="1"/>
  <c r="M280" i="1"/>
  <c r="M302" i="1"/>
  <c r="M324" i="1"/>
  <c r="M346" i="1"/>
  <c r="M368" i="1"/>
  <c r="M390" i="1"/>
  <c r="M412" i="1"/>
  <c r="M434" i="1"/>
  <c r="M456" i="1"/>
  <c r="M478" i="1"/>
  <c r="M500" i="1"/>
  <c r="M522" i="1"/>
  <c r="M544" i="1"/>
  <c r="M566" i="1"/>
  <c r="M588" i="1"/>
  <c r="M610" i="1"/>
  <c r="M632" i="1"/>
  <c r="M654" i="1"/>
  <c r="M676" i="1"/>
  <c r="M698" i="1"/>
  <c r="M720" i="1"/>
  <c r="M742" i="1"/>
  <c r="M764" i="1"/>
  <c r="M786" i="1"/>
  <c r="M808" i="1"/>
  <c r="M830" i="1"/>
  <c r="M852" i="1"/>
  <c r="M874" i="1"/>
  <c r="M896" i="1"/>
  <c r="M918" i="1"/>
  <c r="M940" i="1"/>
  <c r="M962" i="1"/>
  <c r="M984" i="1"/>
  <c r="M1006" i="1"/>
  <c r="M1028" i="1"/>
  <c r="M1050" i="1"/>
  <c r="M1072" i="1"/>
  <c r="M1094" i="1"/>
  <c r="M1116" i="1"/>
  <c r="M1138" i="1"/>
  <c r="M1160" i="1"/>
  <c r="M1182" i="1"/>
  <c r="M1204" i="1"/>
  <c r="M1226" i="1"/>
  <c r="M17" i="1"/>
  <c r="M39" i="1"/>
  <c r="M61" i="1"/>
  <c r="M83" i="1"/>
  <c r="M105" i="1"/>
  <c r="M127" i="1"/>
  <c r="M149" i="1"/>
  <c r="M171" i="1"/>
  <c r="M193" i="1"/>
  <c r="M215" i="1"/>
  <c r="M237" i="1"/>
  <c r="M259" i="1"/>
  <c r="M281" i="1"/>
  <c r="M303" i="1"/>
  <c r="M325" i="1"/>
  <c r="M347" i="1"/>
  <c r="M369" i="1"/>
  <c r="M391" i="1"/>
  <c r="M413" i="1"/>
  <c r="M435" i="1"/>
  <c r="M457" i="1"/>
  <c r="M479" i="1"/>
  <c r="M501" i="1"/>
  <c r="M523" i="1"/>
  <c r="M545" i="1"/>
  <c r="M567" i="1"/>
  <c r="M589" i="1"/>
  <c r="M611" i="1"/>
  <c r="M633" i="1"/>
  <c r="M655" i="1"/>
  <c r="M677" i="1"/>
  <c r="M699" i="1"/>
  <c r="M721" i="1"/>
  <c r="M743" i="1"/>
  <c r="M765" i="1"/>
  <c r="M787" i="1"/>
  <c r="M809" i="1"/>
  <c r="M831" i="1"/>
  <c r="M853" i="1"/>
  <c r="M875" i="1"/>
  <c r="M941" i="1"/>
  <c r="M1036" i="1"/>
  <c r="M1190" i="1"/>
  <c r="M897" i="1"/>
  <c r="M919" i="1"/>
  <c r="M985" i="1"/>
  <c r="M1029" i="1"/>
  <c r="M1073" i="1"/>
  <c r="M1095" i="1"/>
  <c r="M1139" i="1"/>
  <c r="M1183" i="1"/>
  <c r="M1227" i="1"/>
  <c r="M40" i="1"/>
  <c r="M106" i="1"/>
  <c r="M172" i="1"/>
  <c r="M216" i="1"/>
  <c r="M260" i="1"/>
  <c r="M282" i="1"/>
  <c r="M348" i="1"/>
  <c r="M370" i="1"/>
  <c r="M414" i="1"/>
  <c r="M458" i="1"/>
  <c r="M502" i="1"/>
  <c r="M546" i="1"/>
  <c r="M590" i="1"/>
  <c r="M634" i="1"/>
  <c r="M678" i="1"/>
  <c r="M744" i="1"/>
  <c r="M788" i="1"/>
  <c r="M832" i="1"/>
  <c r="M898" i="1"/>
  <c r="M942" i="1"/>
  <c r="M986" i="1"/>
  <c r="M1052" i="1"/>
  <c r="M1096" i="1"/>
  <c r="M1162" i="1"/>
  <c r="M1206" i="1"/>
  <c r="M20" i="1"/>
  <c r="M240" i="1"/>
  <c r="M394" i="1"/>
  <c r="M504" i="1"/>
  <c r="M658" i="1"/>
  <c r="M834" i="1"/>
  <c r="M1142" i="1"/>
  <c r="M88" i="1"/>
  <c r="M154" i="1"/>
  <c r="M330" i="1"/>
  <c r="M1056" i="1"/>
  <c r="M963" i="1"/>
  <c r="M1007" i="1"/>
  <c r="M1051" i="1"/>
  <c r="M1117" i="1"/>
  <c r="M1161" i="1"/>
  <c r="M1205" i="1"/>
  <c r="M18" i="1"/>
  <c r="M84" i="1"/>
  <c r="M128" i="1"/>
  <c r="M194" i="1"/>
  <c r="M238" i="1"/>
  <c r="M326" i="1"/>
  <c r="M392" i="1"/>
  <c r="M436" i="1"/>
  <c r="M480" i="1"/>
  <c r="M524" i="1"/>
  <c r="M568" i="1"/>
  <c r="M612" i="1"/>
  <c r="M656" i="1"/>
  <c r="M700" i="1"/>
  <c r="M722" i="1"/>
  <c r="M766" i="1"/>
  <c r="M810" i="1"/>
  <c r="M854" i="1"/>
  <c r="M920" i="1"/>
  <c r="M964" i="1"/>
  <c r="M1008" i="1"/>
  <c r="M1030" i="1"/>
  <c r="M1074" i="1"/>
  <c r="M1118" i="1"/>
  <c r="M1184" i="1"/>
  <c r="M1228" i="1"/>
  <c r="M42" i="1"/>
  <c r="M108" i="1"/>
  <c r="M350" i="1"/>
  <c r="M482" i="1"/>
  <c r="M526" i="1"/>
  <c r="M570" i="1"/>
  <c r="M922" i="1"/>
  <c r="M1054" i="1"/>
  <c r="M1164" i="1"/>
  <c r="M66" i="1"/>
  <c r="M110" i="1"/>
  <c r="M132" i="1"/>
  <c r="M286" i="1"/>
  <c r="M308" i="1"/>
  <c r="M352" i="1"/>
  <c r="M396" i="1"/>
  <c r="M440" i="1"/>
  <c r="M462" i="1"/>
  <c r="M506" i="1"/>
  <c r="M550" i="1"/>
  <c r="M572" i="1"/>
  <c r="M638" i="1"/>
  <c r="M660" i="1"/>
  <c r="M682" i="1"/>
  <c r="M748" i="1"/>
  <c r="M770" i="1"/>
  <c r="M792" i="1"/>
  <c r="M814" i="1"/>
  <c r="M836" i="1"/>
  <c r="M858" i="1"/>
  <c r="M902" i="1"/>
  <c r="M946" i="1"/>
  <c r="M990" i="1"/>
  <c r="M1034" i="1"/>
  <c r="M1078" i="1"/>
  <c r="M1100" i="1"/>
  <c r="M1122" i="1"/>
  <c r="M1144" i="1"/>
  <c r="M1166" i="1"/>
  <c r="M1188" i="1"/>
  <c r="M1232" i="1"/>
  <c r="M15" i="1"/>
  <c r="M191" i="1"/>
  <c r="M367" i="1"/>
  <c r="M697" i="1"/>
  <c r="M763" i="1"/>
  <c r="M961" i="1"/>
  <c r="M185" i="1"/>
  <c r="M197" i="1"/>
  <c r="M241" i="1"/>
  <c r="M263" i="1"/>
  <c r="M285" i="1"/>
  <c r="M351" i="1"/>
  <c r="M395" i="1"/>
  <c r="M417" i="1"/>
  <c r="M439" i="1"/>
  <c r="M835" i="1"/>
  <c r="M989" i="1"/>
  <c r="M1055" i="1"/>
  <c r="M1077" i="1"/>
  <c r="M265" i="1"/>
  <c r="M287" i="1"/>
  <c r="M1211" i="1"/>
  <c r="M169" i="1"/>
  <c r="M477" i="1"/>
  <c r="M565" i="1"/>
  <c r="M43" i="1"/>
  <c r="M24" i="1"/>
  <c r="M156" i="1"/>
  <c r="M244" i="1"/>
  <c r="M266" i="1"/>
  <c r="M464" i="1"/>
  <c r="M486" i="1"/>
  <c r="M508" i="1"/>
  <c r="M838" i="1"/>
  <c r="M25" i="1"/>
  <c r="M47" i="1"/>
  <c r="M69" i="1"/>
  <c r="M91" i="1"/>
  <c r="M113" i="1"/>
  <c r="M135" i="1"/>
  <c r="M157" i="1"/>
  <c r="M179" i="1"/>
  <c r="M201" i="1"/>
  <c r="M267" i="1"/>
  <c r="M289" i="1"/>
  <c r="M311" i="1"/>
  <c r="M333" i="1"/>
  <c r="M355" i="1"/>
  <c r="M377" i="1"/>
  <c r="M443" i="1"/>
  <c r="M465" i="1"/>
  <c r="M487" i="1"/>
  <c r="M509" i="1"/>
  <c r="M531" i="1"/>
  <c r="M553" i="1"/>
  <c r="M575" i="1"/>
  <c r="M641" i="1"/>
  <c r="M663" i="1"/>
  <c r="M685" i="1"/>
  <c r="M707" i="1"/>
  <c r="M729" i="1"/>
  <c r="M751" i="1"/>
  <c r="M773" i="1"/>
  <c r="M795" i="1"/>
  <c r="M817" i="1"/>
  <c r="M839" i="1"/>
  <c r="M861" i="1"/>
  <c r="M883" i="1"/>
  <c r="M905" i="1"/>
  <c r="M927" i="1"/>
  <c r="M949" i="1"/>
  <c r="M971" i="1"/>
  <c r="M1059" i="1"/>
  <c r="M1081" i="1"/>
  <c r="M1103" i="1"/>
  <c r="M1125" i="1"/>
  <c r="M1147" i="1"/>
  <c r="M1169" i="1"/>
  <c r="M1191" i="1"/>
  <c r="M1213" i="1"/>
  <c r="M1235" i="1"/>
  <c r="M19" i="1"/>
  <c r="M41" i="1"/>
  <c r="M85" i="1"/>
  <c r="M107" i="1"/>
  <c r="M129" i="1"/>
  <c r="M173" i="1"/>
  <c r="M195" i="1"/>
  <c r="M239" i="1"/>
  <c r="M261" i="1"/>
  <c r="M283" i="1"/>
  <c r="M305" i="1"/>
  <c r="M371" i="1"/>
  <c r="M393" i="1"/>
  <c r="M415" i="1"/>
  <c r="M437" i="1"/>
  <c r="M459" i="1"/>
  <c r="M525" i="1"/>
  <c r="M547" i="1"/>
  <c r="M569" i="1"/>
  <c r="M591" i="1"/>
  <c r="M613" i="1"/>
  <c r="M635" i="1"/>
  <c r="M745" i="1"/>
  <c r="M767" i="1"/>
  <c r="M789" i="1"/>
  <c r="M811" i="1"/>
  <c r="M833" i="1"/>
  <c r="M855" i="1"/>
  <c r="M899" i="1"/>
  <c r="M921" i="1"/>
  <c r="M943" i="1"/>
  <c r="M965" i="1"/>
  <c r="M987" i="1"/>
  <c r="M1009" i="1"/>
  <c r="M1031" i="1"/>
  <c r="M1053" i="1"/>
  <c r="M1075" i="1"/>
  <c r="M1097" i="1"/>
  <c r="M1119" i="1"/>
  <c r="M1141" i="1"/>
  <c r="M1163" i="1"/>
  <c r="M1207" i="1"/>
  <c r="M1229" i="1"/>
  <c r="M617" i="1"/>
  <c r="M837" i="1"/>
  <c r="M1035" i="1"/>
  <c r="M1079" i="1"/>
  <c r="M78" i="1"/>
  <c r="M408" i="1"/>
  <c r="M430" i="1"/>
  <c r="M562" i="1"/>
  <c r="M892" i="1"/>
  <c r="M914" i="1"/>
  <c r="M1046" i="1"/>
  <c r="M64" i="1"/>
  <c r="M86" i="1"/>
  <c r="M196" i="1"/>
  <c r="M262" i="1"/>
  <c r="M416" i="1"/>
  <c r="M438" i="1"/>
  <c r="M460" i="1"/>
  <c r="M548" i="1"/>
  <c r="M592" i="1"/>
  <c r="M702" i="1"/>
  <c r="M746" i="1"/>
  <c r="M790" i="1"/>
  <c r="M878" i="1"/>
  <c r="M900" i="1"/>
  <c r="M944" i="1"/>
  <c r="M988" i="1"/>
  <c r="M1010" i="1"/>
  <c r="M1032" i="1"/>
  <c r="M1076" i="1"/>
  <c r="M1186" i="1"/>
  <c r="M1208" i="1"/>
  <c r="M1230" i="1"/>
  <c r="M143" i="1"/>
  <c r="M165" i="1"/>
  <c r="M187" i="1"/>
  <c r="M231" i="1"/>
  <c r="M253" i="1"/>
  <c r="M275" i="1"/>
  <c r="M297" i="1"/>
  <c r="M319" i="1"/>
  <c r="M341" i="1"/>
  <c r="M363" i="1"/>
  <c r="M385" i="1"/>
  <c r="M407" i="1"/>
  <c r="M429" i="1"/>
  <c r="M451" i="1"/>
  <c r="M473" i="1"/>
  <c r="M495" i="1"/>
  <c r="M517" i="1"/>
  <c r="M539" i="1"/>
  <c r="M561" i="1"/>
  <c r="M583" i="1"/>
  <c r="M605" i="1"/>
  <c r="M627" i="1"/>
  <c r="M649" i="1"/>
  <c r="M671" i="1"/>
  <c r="M693" i="1"/>
  <c r="M715" i="1"/>
  <c r="M737" i="1"/>
  <c r="M759" i="1"/>
  <c r="M781" i="1"/>
  <c r="M803" i="1"/>
  <c r="M825" i="1"/>
  <c r="M847" i="1"/>
  <c r="M869" i="1"/>
  <c r="M891" i="1"/>
  <c r="M913" i="1"/>
  <c r="M935" i="1"/>
  <c r="M957" i="1"/>
  <c r="M979" i="1"/>
  <c r="M1001" i="1"/>
  <c r="M1023" i="1"/>
  <c r="M1045" i="1"/>
  <c r="M1067" i="1"/>
  <c r="M1089" i="1"/>
  <c r="M1111" i="1"/>
  <c r="M1133" i="1"/>
  <c r="M1155" i="1"/>
  <c r="M1177" i="1"/>
  <c r="M1199" i="1"/>
  <c r="M1221" i="1"/>
  <c r="M1243" i="1"/>
  <c r="M71" i="1"/>
  <c r="M203" i="1"/>
  <c r="M313" i="1"/>
  <c r="M709" i="1"/>
  <c r="M731" i="1"/>
  <c r="M907" i="1"/>
  <c r="M929" i="1"/>
  <c r="M951" i="1"/>
  <c r="M50" i="1"/>
  <c r="M314" i="1"/>
  <c r="M556" i="1"/>
  <c r="M710" i="1"/>
  <c r="M754" i="1"/>
  <c r="M908" i="1"/>
  <c r="M952" i="1"/>
  <c r="M7" i="1"/>
  <c r="M29" i="1"/>
  <c r="M51" i="1"/>
  <c r="M95" i="1"/>
  <c r="M161" i="1"/>
  <c r="M183" i="1"/>
  <c r="M205" i="1"/>
  <c r="M227" i="1"/>
  <c r="M271" i="1"/>
  <c r="M315" i="1"/>
  <c r="M337" i="1"/>
  <c r="M359" i="1"/>
  <c r="M447" i="1"/>
  <c r="M469" i="1"/>
  <c r="M491" i="1"/>
  <c r="M513" i="1"/>
  <c r="M535" i="1"/>
  <c r="M667" i="1"/>
  <c r="M689" i="1"/>
  <c r="M711" i="1"/>
  <c r="M733" i="1"/>
  <c r="M777" i="1"/>
  <c r="M799" i="1"/>
  <c r="M843" i="1"/>
  <c r="M865" i="1"/>
  <c r="M887" i="1"/>
  <c r="M909" i="1"/>
  <c r="M931" i="1"/>
  <c r="M1019" i="1"/>
  <c r="M1041" i="1"/>
  <c r="M1063" i="1"/>
  <c r="M1085" i="1"/>
  <c r="M1107" i="1"/>
  <c r="M1151" i="1"/>
  <c r="M1173" i="1"/>
  <c r="M1195" i="1"/>
  <c r="M1239" i="1"/>
  <c r="M130" i="1"/>
  <c r="M152" i="1"/>
  <c r="M284" i="1"/>
  <c r="M372" i="1"/>
  <c r="M614" i="1"/>
  <c r="M636" i="1"/>
  <c r="M768" i="1"/>
  <c r="M856" i="1"/>
  <c r="M1098" i="1"/>
  <c r="M1120" i="1"/>
  <c r="M65" i="1"/>
  <c r="M131" i="1"/>
  <c r="M219" i="1"/>
  <c r="M307" i="1"/>
  <c r="M461" i="1"/>
  <c r="M483" i="1"/>
  <c r="M505" i="1"/>
  <c r="M615" i="1"/>
  <c r="M637" i="1"/>
  <c r="M681" i="1"/>
  <c r="M703" i="1"/>
  <c r="M747" i="1"/>
  <c r="M769" i="1"/>
  <c r="M791" i="1"/>
  <c r="M945" i="1"/>
  <c r="M967" i="1"/>
  <c r="M1099" i="1"/>
  <c r="M1121" i="1"/>
  <c r="M1187" i="1"/>
  <c r="M640" i="1"/>
  <c r="M992" i="1"/>
  <c r="M1124" i="1"/>
  <c r="M27" i="1"/>
  <c r="M49" i="1"/>
  <c r="M159" i="1"/>
  <c r="M181" i="1"/>
  <c r="M225" i="1"/>
  <c r="M269" i="1"/>
  <c r="M291" i="1"/>
  <c r="M357" i="1"/>
  <c r="M423" i="1"/>
  <c r="M511" i="1"/>
  <c r="M533" i="1"/>
  <c r="M555" i="1"/>
  <c r="M621" i="1"/>
  <c r="M665" i="1"/>
  <c r="M753" i="1"/>
  <c r="M819" i="1"/>
  <c r="M841" i="1"/>
  <c r="M863" i="1"/>
  <c r="M995" i="1"/>
  <c r="M1017" i="1"/>
  <c r="M1083" i="1"/>
  <c r="M1149" i="1"/>
  <c r="M1237" i="1"/>
  <c r="M28" i="1"/>
  <c r="M116" i="1"/>
  <c r="M204" i="1"/>
  <c r="M226" i="1"/>
  <c r="M292" i="1"/>
  <c r="M358" i="1"/>
  <c r="M380" i="1"/>
  <c r="M424" i="1"/>
  <c r="M490" i="1"/>
  <c r="M512" i="1"/>
  <c r="M600" i="1"/>
  <c r="M622" i="1"/>
  <c r="M688" i="1"/>
  <c r="M842" i="1"/>
  <c r="M864" i="1"/>
  <c r="M930" i="1"/>
  <c r="M996" i="1"/>
  <c r="M1084" i="1"/>
  <c r="M1150" i="1"/>
  <c r="M1172" i="1"/>
  <c r="M1194" i="1"/>
  <c r="M1216" i="1"/>
  <c r="M1238" i="1"/>
  <c r="M728" i="1"/>
  <c r="M970" i="1"/>
  <c r="M1212" i="1"/>
  <c r="M31" i="1"/>
  <c r="M53" i="1"/>
  <c r="M141" i="1"/>
  <c r="M163" i="1"/>
  <c r="M229" i="1"/>
  <c r="M273" i="1"/>
  <c r="M383" i="1"/>
  <c r="M405" i="1"/>
  <c r="M471" i="1"/>
  <c r="M537" i="1"/>
  <c r="M581" i="1"/>
  <c r="M603" i="1"/>
  <c r="M625" i="1"/>
  <c r="M669" i="1"/>
  <c r="M713" i="1"/>
  <c r="M845" i="1"/>
  <c r="M867" i="1"/>
  <c r="M889" i="1"/>
  <c r="M1021" i="1"/>
  <c r="M1043" i="1"/>
  <c r="M1109" i="1"/>
  <c r="M1153" i="1"/>
  <c r="M1197" i="1"/>
  <c r="M1219" i="1"/>
  <c r="M155" i="1"/>
  <c r="M177" i="1"/>
  <c r="M309" i="1"/>
  <c r="M397" i="1"/>
  <c r="M639" i="1"/>
  <c r="M661" i="1"/>
  <c r="M793" i="1"/>
  <c r="M881" i="1"/>
  <c r="M1123" i="1"/>
  <c r="M1145" i="1"/>
  <c r="S31" i="1"/>
  <c r="T31" i="1" s="1"/>
  <c r="J9" i="2" l="1"/>
  <c r="C13" i="2" s="1"/>
  <c r="C14" i="2" s="1"/>
  <c r="H19" i="3"/>
  <c r="J19" i="3"/>
  <c r="D20" i="2"/>
  <c r="S35" i="1"/>
  <c r="S32" i="1"/>
  <c r="T32" i="1" s="1"/>
  <c r="S34" i="1"/>
  <c r="S33" i="1"/>
  <c r="T33" i="1" s="1"/>
  <c r="F20" i="2" l="1"/>
  <c r="F22" i="2" s="1"/>
  <c r="C29" i="3"/>
  <c r="C30" i="3" s="1"/>
  <c r="F38" i="3" s="1"/>
</calcChain>
</file>

<file path=xl/sharedStrings.xml><?xml version="1.0" encoding="utf-8"?>
<sst xmlns="http://schemas.openxmlformats.org/spreadsheetml/2006/main" count="93" uniqueCount="37">
  <si>
    <t xml:space="preserve">Date </t>
  </si>
  <si>
    <t>close price</t>
  </si>
  <si>
    <t xml:space="preserve">Outstanding Shares </t>
  </si>
  <si>
    <t xml:space="preserve">Market Value </t>
  </si>
  <si>
    <t>Total Value of Shares Held</t>
  </si>
  <si>
    <t xml:space="preserve">Discount to Holding Value </t>
  </si>
  <si>
    <t>5 Year Discount Trends</t>
  </si>
  <si>
    <t>Date</t>
  </si>
  <si>
    <t>Current Discount</t>
  </si>
  <si>
    <t xml:space="preserve">Maximum Discount </t>
  </si>
  <si>
    <t>Minimum Discount</t>
  </si>
  <si>
    <t>Median</t>
  </si>
  <si>
    <t>Average</t>
  </si>
  <si>
    <t>TVS Holdings</t>
  </si>
  <si>
    <t>TVS Motor</t>
  </si>
  <si>
    <t xml:space="preserve">Long </t>
  </si>
  <si>
    <t>Price</t>
  </si>
  <si>
    <t>Short</t>
  </si>
  <si>
    <t>Discount</t>
  </si>
  <si>
    <t>Number of KSB Shares Held in 1 InPru Share</t>
  </si>
  <si>
    <t>Net Position</t>
  </si>
  <si>
    <t>Gain/(Loss) in InPru</t>
  </si>
  <si>
    <t>Gain/(Loss) in KSB</t>
  </si>
  <si>
    <t>Total Gain/(Loss)</t>
  </si>
  <si>
    <t>InPru</t>
  </si>
  <si>
    <t>KSB</t>
  </si>
  <si>
    <t>Total Investment</t>
  </si>
  <si>
    <t>Rate of Return</t>
  </si>
  <si>
    <t>TVS Holdings @</t>
  </si>
  <si>
    <t>TVS Motors Shares @</t>
  </si>
  <si>
    <t>Shares Held in TVS Motors</t>
  </si>
  <si>
    <t>Gain/(Loss) in TVS Holdings</t>
  </si>
  <si>
    <t>Gain/(Loss) in TVS Motor</t>
  </si>
  <si>
    <t>TVS Motors</t>
  </si>
  <si>
    <t>`</t>
  </si>
  <si>
    <t>Long</t>
  </si>
  <si>
    <t>Number of TVS Motor Held in 1 TVS Holdings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</si>
</sst>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"/>
    <numFmt numFmtId="165" formatCode="0.0%"/>
    <numFmt numFmtId="166" formatCode="#,##0;\(#,##0\)"/>
    <numFmt numFmtId="167" formatCode="_-* #,##0_-;\-* #,##0_-;_-* &quot;-&quot;??_-;_-@_-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0" fillId="0" borderId="0" xfId="0" applyAlignment="1">
      <alignment horizontal="center"/>
    </xf>
    <xf numFmtId="15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10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5" fontId="0" fillId="0" borderId="15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9" fontId="0" fillId="0" borderId="10" xfId="0" applyNumberFormat="1" applyBorder="1" applyAlignment="1">
      <alignment horizontal="center"/>
    </xf>
    <xf numFmtId="0" fontId="0" fillId="0" borderId="17" xfId="0" applyBorder="1" applyAlignment="1">
      <alignment horizontal="center"/>
    </xf>
    <xf numFmtId="0" fontId="16" fillId="0" borderId="0" xfId="0" applyFont="1" applyAlignment="1">
      <alignment horizontal="center"/>
    </xf>
    <xf numFmtId="9" fontId="16" fillId="0" borderId="0" xfId="0" applyNumberFormat="1" applyFont="1" applyAlignment="1">
      <alignment horizontal="center"/>
    </xf>
    <xf numFmtId="15" fontId="16" fillId="0" borderId="15" xfId="0" applyNumberFormat="1" applyFont="1" applyBorder="1" applyAlignment="1">
      <alignment horizontal="center"/>
    </xf>
    <xf numFmtId="0" fontId="16" fillId="0" borderId="15" xfId="0" applyFont="1" applyBorder="1" applyAlignment="1">
      <alignment horizontal="center"/>
    </xf>
    <xf numFmtId="0" fontId="16" fillId="0" borderId="0" xfId="0" applyFont="1"/>
    <xf numFmtId="3" fontId="0" fillId="0" borderId="0" xfId="0" applyNumberFormat="1"/>
    <xf numFmtId="164" fontId="0" fillId="0" borderId="0" xfId="0" applyNumberFormat="1"/>
    <xf numFmtId="165" fontId="0" fillId="0" borderId="0" xfId="43" applyNumberFormat="1" applyFont="1"/>
    <xf numFmtId="2" fontId="0" fillId="0" borderId="0" xfId="0" applyNumberFormat="1"/>
    <xf numFmtId="15" fontId="0" fillId="0" borderId="10" xfId="0" applyNumberFormat="1" applyBorder="1" applyAlignment="1">
      <alignment horizontal="center"/>
    </xf>
    <xf numFmtId="0" fontId="0" fillId="0" borderId="10" xfId="0" applyBorder="1"/>
    <xf numFmtId="3" fontId="0" fillId="0" borderId="10" xfId="0" applyNumberFormat="1" applyBorder="1"/>
    <xf numFmtId="164" fontId="0" fillId="0" borderId="10" xfId="0" applyNumberFormat="1" applyBorder="1"/>
    <xf numFmtId="165" fontId="0" fillId="0" borderId="10" xfId="43" applyNumberFormat="1" applyFont="1" applyBorder="1"/>
    <xf numFmtId="2" fontId="0" fillId="0" borderId="10" xfId="0" applyNumberFormat="1" applyBorder="1"/>
    <xf numFmtId="3" fontId="16" fillId="0" borderId="0" xfId="0" applyNumberFormat="1" applyFont="1"/>
    <xf numFmtId="1" fontId="16" fillId="0" borderId="0" xfId="0" applyNumberFormat="1" applyFont="1"/>
    <xf numFmtId="166" fontId="16" fillId="0" borderId="0" xfId="0" applyNumberFormat="1" applyFont="1"/>
    <xf numFmtId="166" fontId="16" fillId="0" borderId="0" xfId="42" applyNumberFormat="1" applyFont="1"/>
    <xf numFmtId="167" fontId="0" fillId="0" borderId="0" xfId="42" applyNumberFormat="1" applyFont="1"/>
    <xf numFmtId="167" fontId="16" fillId="0" borderId="0" xfId="0" applyNumberFormat="1" applyFont="1"/>
    <xf numFmtId="9" fontId="0" fillId="0" borderId="0" xfId="43" applyFont="1"/>
    <xf numFmtId="165" fontId="0" fillId="0" borderId="0" xfId="43" applyNumberFormat="1" applyFont="1" applyAlignment="1">
      <alignment horizontal="center"/>
    </xf>
    <xf numFmtId="3" fontId="0" fillId="0" borderId="10" xfId="0" applyNumberFormat="1" applyBorder="1" applyAlignment="1">
      <alignment horizontal="center"/>
    </xf>
    <xf numFmtId="165" fontId="0" fillId="0" borderId="10" xfId="43" applyNumberFormat="1" applyFont="1" applyBorder="1" applyAlignment="1">
      <alignment horizontal="center"/>
    </xf>
    <xf numFmtId="3" fontId="16" fillId="0" borderId="0" xfId="0" applyNumberFormat="1" applyFont="1" applyAlignment="1">
      <alignment horizontal="center"/>
    </xf>
    <xf numFmtId="1" fontId="16" fillId="0" borderId="0" xfId="0" applyNumberFormat="1" applyFont="1" applyAlignment="1">
      <alignment horizontal="center"/>
    </xf>
    <xf numFmtId="166" fontId="1" fillId="0" borderId="0" xfId="42" applyNumberFormat="1" applyFont="1" applyAlignment="1">
      <alignment horizontal="center"/>
    </xf>
    <xf numFmtId="0" fontId="16" fillId="0" borderId="10" xfId="0" applyFont="1" applyBorder="1" applyAlignment="1">
      <alignment horizontal="center"/>
    </xf>
    <xf numFmtId="166" fontId="1" fillId="0" borderId="10" xfId="42" applyNumberFormat="1" applyFont="1" applyBorder="1" applyAlignment="1">
      <alignment horizontal="center"/>
    </xf>
    <xf numFmtId="166" fontId="16" fillId="0" borderId="0" xfId="0" applyNumberFormat="1" applyFont="1" applyAlignment="1">
      <alignment horizontal="center"/>
    </xf>
    <xf numFmtId="166" fontId="16" fillId="0" borderId="0" xfId="42" applyNumberFormat="1" applyFont="1" applyAlignment="1">
      <alignment horizontal="center"/>
    </xf>
    <xf numFmtId="167" fontId="0" fillId="0" borderId="0" xfId="42" applyNumberFormat="1" applyFont="1" applyAlignment="1">
      <alignment horizontal="center"/>
    </xf>
    <xf numFmtId="167" fontId="16" fillId="0" borderId="0" xfId="0" applyNumberFormat="1" applyFont="1" applyAlignment="1">
      <alignment horizontal="center"/>
    </xf>
    <xf numFmtId="9" fontId="0" fillId="0" borderId="0" xfId="43" applyFont="1" applyAlignment="1">
      <alignment horizontal="center"/>
    </xf>
    <xf numFmtId="9" fontId="16" fillId="0" borderId="0" xfId="43" applyFont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8" fillId="0" borderId="15" xfId="0" applyFont="1" applyBorder="1" applyAlignment="1">
      <alignment horizont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ysClr val="windowText" lastClr="000000"/>
                </a:solidFill>
              </a:rPr>
              <a:t>Discount to Holding Value (TVS Holdings)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1238"/>
              <c:layout>
                <c:manualLayout>
                  <c:x val="-5.4283769951225976E-2"/>
                  <c:y val="-5.837226534647347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F9F-45A5-BDAC-57FDF3458822}"/>
                </c:ext>
              </c:extLst>
            </c:dLbl>
            <c:dLbl>
              <c:idx val="1614"/>
              <c:layout>
                <c:manualLayout>
                  <c:x val="-6.4688101487313979E-2"/>
                  <c:y val="-7.172462817147856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0DB-495E-B280-B396BE8C5BE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'TVS Comparison'!$A$3:$A$1244</c:f>
              <c:numCache>
                <c:formatCode>d\-mmm\-yy</c:formatCode>
                <c:ptCount val="1242"/>
                <c:pt idx="0">
                  <c:v>45943</c:v>
                </c:pt>
                <c:pt idx="1">
                  <c:v>45940</c:v>
                </c:pt>
                <c:pt idx="2">
                  <c:v>45939</c:v>
                </c:pt>
                <c:pt idx="3">
                  <c:v>45938</c:v>
                </c:pt>
                <c:pt idx="4">
                  <c:v>45937</c:v>
                </c:pt>
                <c:pt idx="5">
                  <c:v>45936</c:v>
                </c:pt>
                <c:pt idx="6">
                  <c:v>45933</c:v>
                </c:pt>
                <c:pt idx="7">
                  <c:v>45931</c:v>
                </c:pt>
                <c:pt idx="8">
                  <c:v>45930</c:v>
                </c:pt>
                <c:pt idx="9">
                  <c:v>45929</c:v>
                </c:pt>
                <c:pt idx="10">
                  <c:v>45926</c:v>
                </c:pt>
                <c:pt idx="11">
                  <c:v>45925</c:v>
                </c:pt>
                <c:pt idx="12">
                  <c:v>45924</c:v>
                </c:pt>
                <c:pt idx="13">
                  <c:v>45923</c:v>
                </c:pt>
                <c:pt idx="14">
                  <c:v>45922</c:v>
                </c:pt>
                <c:pt idx="15">
                  <c:v>45919</c:v>
                </c:pt>
                <c:pt idx="16">
                  <c:v>45918</c:v>
                </c:pt>
                <c:pt idx="17">
                  <c:v>45917</c:v>
                </c:pt>
                <c:pt idx="18">
                  <c:v>45916</c:v>
                </c:pt>
                <c:pt idx="19">
                  <c:v>45915</c:v>
                </c:pt>
                <c:pt idx="20">
                  <c:v>45912</c:v>
                </c:pt>
                <c:pt idx="21">
                  <c:v>45911</c:v>
                </c:pt>
                <c:pt idx="22">
                  <c:v>45910</c:v>
                </c:pt>
                <c:pt idx="23">
                  <c:v>45909</c:v>
                </c:pt>
                <c:pt idx="24">
                  <c:v>45908</c:v>
                </c:pt>
                <c:pt idx="25">
                  <c:v>45905</c:v>
                </c:pt>
                <c:pt idx="26">
                  <c:v>45904</c:v>
                </c:pt>
                <c:pt idx="27">
                  <c:v>45903</c:v>
                </c:pt>
                <c:pt idx="28">
                  <c:v>45902</c:v>
                </c:pt>
                <c:pt idx="29">
                  <c:v>45901</c:v>
                </c:pt>
                <c:pt idx="30">
                  <c:v>45898</c:v>
                </c:pt>
                <c:pt idx="31">
                  <c:v>45897</c:v>
                </c:pt>
                <c:pt idx="32">
                  <c:v>45895</c:v>
                </c:pt>
                <c:pt idx="33">
                  <c:v>45894</c:v>
                </c:pt>
                <c:pt idx="34">
                  <c:v>45891</c:v>
                </c:pt>
                <c:pt idx="35">
                  <c:v>45890</c:v>
                </c:pt>
                <c:pt idx="36">
                  <c:v>45889</c:v>
                </c:pt>
                <c:pt idx="37">
                  <c:v>45888</c:v>
                </c:pt>
                <c:pt idx="38">
                  <c:v>45887</c:v>
                </c:pt>
                <c:pt idx="39">
                  <c:v>45883</c:v>
                </c:pt>
                <c:pt idx="40">
                  <c:v>45882</c:v>
                </c:pt>
                <c:pt idx="41">
                  <c:v>45881</c:v>
                </c:pt>
                <c:pt idx="42">
                  <c:v>45880</c:v>
                </c:pt>
                <c:pt idx="43">
                  <c:v>45877</c:v>
                </c:pt>
                <c:pt idx="44">
                  <c:v>45876</c:v>
                </c:pt>
                <c:pt idx="45">
                  <c:v>45875</c:v>
                </c:pt>
                <c:pt idx="46">
                  <c:v>45874</c:v>
                </c:pt>
                <c:pt idx="47">
                  <c:v>45873</c:v>
                </c:pt>
                <c:pt idx="48">
                  <c:v>45870</c:v>
                </c:pt>
                <c:pt idx="49">
                  <c:v>45869</c:v>
                </c:pt>
                <c:pt idx="50">
                  <c:v>45868</c:v>
                </c:pt>
                <c:pt idx="51">
                  <c:v>45867</c:v>
                </c:pt>
                <c:pt idx="52">
                  <c:v>45866</c:v>
                </c:pt>
                <c:pt idx="53">
                  <c:v>45863</c:v>
                </c:pt>
                <c:pt idx="54">
                  <c:v>45862</c:v>
                </c:pt>
                <c:pt idx="55">
                  <c:v>45861</c:v>
                </c:pt>
                <c:pt idx="56">
                  <c:v>45860</c:v>
                </c:pt>
                <c:pt idx="57">
                  <c:v>45859</c:v>
                </c:pt>
                <c:pt idx="58">
                  <c:v>45856</c:v>
                </c:pt>
                <c:pt idx="59">
                  <c:v>45855</c:v>
                </c:pt>
                <c:pt idx="60">
                  <c:v>45854</c:v>
                </c:pt>
                <c:pt idx="61">
                  <c:v>45853</c:v>
                </c:pt>
                <c:pt idx="62">
                  <c:v>45852</c:v>
                </c:pt>
                <c:pt idx="63">
                  <c:v>45849</c:v>
                </c:pt>
                <c:pt idx="64">
                  <c:v>45848</c:v>
                </c:pt>
                <c:pt idx="65">
                  <c:v>45847</c:v>
                </c:pt>
                <c:pt idx="66">
                  <c:v>45846</c:v>
                </c:pt>
                <c:pt idx="67">
                  <c:v>45845</c:v>
                </c:pt>
                <c:pt idx="68">
                  <c:v>45842</c:v>
                </c:pt>
                <c:pt idx="69">
                  <c:v>45841</c:v>
                </c:pt>
                <c:pt idx="70">
                  <c:v>45840</c:v>
                </c:pt>
                <c:pt idx="71">
                  <c:v>45839</c:v>
                </c:pt>
                <c:pt idx="72">
                  <c:v>45838</c:v>
                </c:pt>
                <c:pt idx="73">
                  <c:v>45835</c:v>
                </c:pt>
                <c:pt idx="74">
                  <c:v>45834</c:v>
                </c:pt>
                <c:pt idx="75">
                  <c:v>45833</c:v>
                </c:pt>
                <c:pt idx="76">
                  <c:v>45832</c:v>
                </c:pt>
                <c:pt idx="77">
                  <c:v>45831</c:v>
                </c:pt>
                <c:pt idx="78">
                  <c:v>45828</c:v>
                </c:pt>
                <c:pt idx="79">
                  <c:v>45827</c:v>
                </c:pt>
                <c:pt idx="80">
                  <c:v>45826</c:v>
                </c:pt>
                <c:pt idx="81">
                  <c:v>45825</c:v>
                </c:pt>
                <c:pt idx="82">
                  <c:v>45824</c:v>
                </c:pt>
                <c:pt idx="83">
                  <c:v>45821</c:v>
                </c:pt>
                <c:pt idx="84">
                  <c:v>45820</c:v>
                </c:pt>
                <c:pt idx="85">
                  <c:v>45819</c:v>
                </c:pt>
                <c:pt idx="86">
                  <c:v>45818</c:v>
                </c:pt>
                <c:pt idx="87">
                  <c:v>45817</c:v>
                </c:pt>
                <c:pt idx="88">
                  <c:v>45814</c:v>
                </c:pt>
                <c:pt idx="89">
                  <c:v>45813</c:v>
                </c:pt>
                <c:pt idx="90">
                  <c:v>45812</c:v>
                </c:pt>
                <c:pt idx="91">
                  <c:v>45811</c:v>
                </c:pt>
                <c:pt idx="92">
                  <c:v>45810</c:v>
                </c:pt>
                <c:pt idx="93">
                  <c:v>45807</c:v>
                </c:pt>
                <c:pt idx="94">
                  <c:v>45806</c:v>
                </c:pt>
                <c:pt idx="95">
                  <c:v>45805</c:v>
                </c:pt>
                <c:pt idx="96">
                  <c:v>45804</c:v>
                </c:pt>
                <c:pt idx="97">
                  <c:v>45803</c:v>
                </c:pt>
                <c:pt idx="98">
                  <c:v>45800</c:v>
                </c:pt>
                <c:pt idx="99">
                  <c:v>45799</c:v>
                </c:pt>
                <c:pt idx="100">
                  <c:v>45798</c:v>
                </c:pt>
                <c:pt idx="101">
                  <c:v>45797</c:v>
                </c:pt>
                <c:pt idx="102">
                  <c:v>45796</c:v>
                </c:pt>
                <c:pt idx="103">
                  <c:v>45793</c:v>
                </c:pt>
                <c:pt idx="104">
                  <c:v>45792</c:v>
                </c:pt>
                <c:pt idx="105">
                  <c:v>45791</c:v>
                </c:pt>
                <c:pt idx="106">
                  <c:v>45790</c:v>
                </c:pt>
                <c:pt idx="107">
                  <c:v>45789</c:v>
                </c:pt>
                <c:pt idx="108">
                  <c:v>45786</c:v>
                </c:pt>
                <c:pt idx="109">
                  <c:v>45785</c:v>
                </c:pt>
                <c:pt idx="110">
                  <c:v>45784</c:v>
                </c:pt>
                <c:pt idx="111">
                  <c:v>45783</c:v>
                </c:pt>
                <c:pt idx="112">
                  <c:v>45782</c:v>
                </c:pt>
                <c:pt idx="113">
                  <c:v>45779</c:v>
                </c:pt>
                <c:pt idx="114">
                  <c:v>45777</c:v>
                </c:pt>
                <c:pt idx="115">
                  <c:v>45776</c:v>
                </c:pt>
                <c:pt idx="116">
                  <c:v>45775</c:v>
                </c:pt>
                <c:pt idx="117">
                  <c:v>45772</c:v>
                </c:pt>
                <c:pt idx="118">
                  <c:v>45771</c:v>
                </c:pt>
                <c:pt idx="119">
                  <c:v>45770</c:v>
                </c:pt>
                <c:pt idx="120">
                  <c:v>45769</c:v>
                </c:pt>
                <c:pt idx="121">
                  <c:v>45768</c:v>
                </c:pt>
                <c:pt idx="122">
                  <c:v>45764</c:v>
                </c:pt>
                <c:pt idx="123">
                  <c:v>45763</c:v>
                </c:pt>
                <c:pt idx="124">
                  <c:v>45762</c:v>
                </c:pt>
                <c:pt idx="125">
                  <c:v>45758</c:v>
                </c:pt>
                <c:pt idx="126">
                  <c:v>45756</c:v>
                </c:pt>
                <c:pt idx="127">
                  <c:v>45755</c:v>
                </c:pt>
                <c:pt idx="128">
                  <c:v>45754</c:v>
                </c:pt>
                <c:pt idx="129">
                  <c:v>45751</c:v>
                </c:pt>
                <c:pt idx="130">
                  <c:v>45750</c:v>
                </c:pt>
                <c:pt idx="131">
                  <c:v>45749</c:v>
                </c:pt>
                <c:pt idx="132">
                  <c:v>45748</c:v>
                </c:pt>
                <c:pt idx="133">
                  <c:v>45744</c:v>
                </c:pt>
                <c:pt idx="134">
                  <c:v>45743</c:v>
                </c:pt>
                <c:pt idx="135">
                  <c:v>45742</c:v>
                </c:pt>
                <c:pt idx="136">
                  <c:v>45741</c:v>
                </c:pt>
                <c:pt idx="137">
                  <c:v>45740</c:v>
                </c:pt>
                <c:pt idx="138">
                  <c:v>45737</c:v>
                </c:pt>
                <c:pt idx="139">
                  <c:v>45736</c:v>
                </c:pt>
                <c:pt idx="140">
                  <c:v>45735</c:v>
                </c:pt>
                <c:pt idx="141">
                  <c:v>45734</c:v>
                </c:pt>
                <c:pt idx="142">
                  <c:v>45733</c:v>
                </c:pt>
                <c:pt idx="143">
                  <c:v>45729</c:v>
                </c:pt>
                <c:pt idx="144">
                  <c:v>45728</c:v>
                </c:pt>
                <c:pt idx="145">
                  <c:v>45727</c:v>
                </c:pt>
                <c:pt idx="146">
                  <c:v>45726</c:v>
                </c:pt>
                <c:pt idx="147">
                  <c:v>45723</c:v>
                </c:pt>
                <c:pt idx="148">
                  <c:v>45722</c:v>
                </c:pt>
                <c:pt idx="149">
                  <c:v>45721</c:v>
                </c:pt>
                <c:pt idx="150">
                  <c:v>45720</c:v>
                </c:pt>
                <c:pt idx="151">
                  <c:v>45719</c:v>
                </c:pt>
                <c:pt idx="152">
                  <c:v>45716</c:v>
                </c:pt>
                <c:pt idx="153">
                  <c:v>45715</c:v>
                </c:pt>
                <c:pt idx="154">
                  <c:v>45713</c:v>
                </c:pt>
                <c:pt idx="155">
                  <c:v>45712</c:v>
                </c:pt>
                <c:pt idx="156">
                  <c:v>45709</c:v>
                </c:pt>
                <c:pt idx="157">
                  <c:v>45708</c:v>
                </c:pt>
                <c:pt idx="158">
                  <c:v>45707</c:v>
                </c:pt>
                <c:pt idx="159">
                  <c:v>45706</c:v>
                </c:pt>
                <c:pt idx="160">
                  <c:v>45705</c:v>
                </c:pt>
                <c:pt idx="161">
                  <c:v>45702</c:v>
                </c:pt>
                <c:pt idx="162">
                  <c:v>45701</c:v>
                </c:pt>
                <c:pt idx="163">
                  <c:v>45700</c:v>
                </c:pt>
                <c:pt idx="164">
                  <c:v>45699</c:v>
                </c:pt>
                <c:pt idx="165">
                  <c:v>45698</c:v>
                </c:pt>
                <c:pt idx="166">
                  <c:v>45695</c:v>
                </c:pt>
                <c:pt idx="167">
                  <c:v>45694</c:v>
                </c:pt>
                <c:pt idx="168">
                  <c:v>45693</c:v>
                </c:pt>
                <c:pt idx="169">
                  <c:v>45692</c:v>
                </c:pt>
                <c:pt idx="170">
                  <c:v>45691</c:v>
                </c:pt>
                <c:pt idx="171">
                  <c:v>45689</c:v>
                </c:pt>
                <c:pt idx="172">
                  <c:v>45688</c:v>
                </c:pt>
                <c:pt idx="173">
                  <c:v>45687</c:v>
                </c:pt>
                <c:pt idx="174">
                  <c:v>45686</c:v>
                </c:pt>
                <c:pt idx="175">
                  <c:v>45685</c:v>
                </c:pt>
                <c:pt idx="176">
                  <c:v>45684</c:v>
                </c:pt>
                <c:pt idx="177">
                  <c:v>45681</c:v>
                </c:pt>
                <c:pt idx="178">
                  <c:v>45680</c:v>
                </c:pt>
                <c:pt idx="179">
                  <c:v>45679</c:v>
                </c:pt>
                <c:pt idx="180">
                  <c:v>45678</c:v>
                </c:pt>
                <c:pt idx="181">
                  <c:v>45677</c:v>
                </c:pt>
                <c:pt idx="182">
                  <c:v>45674</c:v>
                </c:pt>
                <c:pt idx="183">
                  <c:v>45673</c:v>
                </c:pt>
                <c:pt idx="184">
                  <c:v>45672</c:v>
                </c:pt>
                <c:pt idx="185">
                  <c:v>45671</c:v>
                </c:pt>
                <c:pt idx="186">
                  <c:v>45670</c:v>
                </c:pt>
                <c:pt idx="187">
                  <c:v>45667</c:v>
                </c:pt>
                <c:pt idx="188">
                  <c:v>45666</c:v>
                </c:pt>
                <c:pt idx="189">
                  <c:v>45665</c:v>
                </c:pt>
                <c:pt idx="190">
                  <c:v>45664</c:v>
                </c:pt>
                <c:pt idx="191">
                  <c:v>45663</c:v>
                </c:pt>
                <c:pt idx="192">
                  <c:v>45660</c:v>
                </c:pt>
                <c:pt idx="193">
                  <c:v>45659</c:v>
                </c:pt>
                <c:pt idx="194">
                  <c:v>45658</c:v>
                </c:pt>
                <c:pt idx="195">
                  <c:v>45657</c:v>
                </c:pt>
                <c:pt idx="196">
                  <c:v>45656</c:v>
                </c:pt>
                <c:pt idx="197">
                  <c:v>45653</c:v>
                </c:pt>
                <c:pt idx="198">
                  <c:v>45652</c:v>
                </c:pt>
                <c:pt idx="199">
                  <c:v>45650</c:v>
                </c:pt>
                <c:pt idx="200">
                  <c:v>45649</c:v>
                </c:pt>
                <c:pt idx="201">
                  <c:v>45646</c:v>
                </c:pt>
                <c:pt idx="202">
                  <c:v>45645</c:v>
                </c:pt>
                <c:pt idx="203">
                  <c:v>45644</c:v>
                </c:pt>
                <c:pt idx="204">
                  <c:v>45643</c:v>
                </c:pt>
                <c:pt idx="205">
                  <c:v>45642</c:v>
                </c:pt>
                <c:pt idx="206">
                  <c:v>45639</c:v>
                </c:pt>
                <c:pt idx="207">
                  <c:v>45638</c:v>
                </c:pt>
                <c:pt idx="208">
                  <c:v>45637</c:v>
                </c:pt>
                <c:pt idx="209">
                  <c:v>45636</c:v>
                </c:pt>
                <c:pt idx="210">
                  <c:v>45635</c:v>
                </c:pt>
                <c:pt idx="211">
                  <c:v>45632</c:v>
                </c:pt>
                <c:pt idx="212">
                  <c:v>45631</c:v>
                </c:pt>
                <c:pt idx="213">
                  <c:v>45630</c:v>
                </c:pt>
                <c:pt idx="214">
                  <c:v>45629</c:v>
                </c:pt>
                <c:pt idx="215">
                  <c:v>45628</c:v>
                </c:pt>
                <c:pt idx="216">
                  <c:v>45625</c:v>
                </c:pt>
                <c:pt idx="217">
                  <c:v>45624</c:v>
                </c:pt>
                <c:pt idx="218">
                  <c:v>45623</c:v>
                </c:pt>
                <c:pt idx="219">
                  <c:v>45622</c:v>
                </c:pt>
                <c:pt idx="220">
                  <c:v>45621</c:v>
                </c:pt>
                <c:pt idx="221">
                  <c:v>45618</c:v>
                </c:pt>
                <c:pt idx="222">
                  <c:v>45617</c:v>
                </c:pt>
                <c:pt idx="223">
                  <c:v>45615</c:v>
                </c:pt>
                <c:pt idx="224">
                  <c:v>45614</c:v>
                </c:pt>
                <c:pt idx="225">
                  <c:v>45610</c:v>
                </c:pt>
                <c:pt idx="226">
                  <c:v>45609</c:v>
                </c:pt>
                <c:pt idx="227">
                  <c:v>45608</c:v>
                </c:pt>
                <c:pt idx="228">
                  <c:v>45607</c:v>
                </c:pt>
                <c:pt idx="229">
                  <c:v>45604</c:v>
                </c:pt>
                <c:pt idx="230">
                  <c:v>45603</c:v>
                </c:pt>
                <c:pt idx="231">
                  <c:v>45602</c:v>
                </c:pt>
                <c:pt idx="232">
                  <c:v>45601</c:v>
                </c:pt>
                <c:pt idx="233">
                  <c:v>45600</c:v>
                </c:pt>
                <c:pt idx="234">
                  <c:v>45597</c:v>
                </c:pt>
                <c:pt idx="235">
                  <c:v>45596</c:v>
                </c:pt>
                <c:pt idx="236">
                  <c:v>45595</c:v>
                </c:pt>
                <c:pt idx="237">
                  <c:v>45594</c:v>
                </c:pt>
                <c:pt idx="238">
                  <c:v>45593</c:v>
                </c:pt>
                <c:pt idx="239">
                  <c:v>45590</c:v>
                </c:pt>
                <c:pt idx="240">
                  <c:v>45589</c:v>
                </c:pt>
                <c:pt idx="241">
                  <c:v>45588</c:v>
                </c:pt>
                <c:pt idx="242">
                  <c:v>45587</c:v>
                </c:pt>
                <c:pt idx="243">
                  <c:v>45586</c:v>
                </c:pt>
                <c:pt idx="244">
                  <c:v>45583</c:v>
                </c:pt>
                <c:pt idx="245">
                  <c:v>45582</c:v>
                </c:pt>
                <c:pt idx="246">
                  <c:v>45581</c:v>
                </c:pt>
                <c:pt idx="247">
                  <c:v>45580</c:v>
                </c:pt>
                <c:pt idx="248">
                  <c:v>45579</c:v>
                </c:pt>
                <c:pt idx="249">
                  <c:v>45576</c:v>
                </c:pt>
                <c:pt idx="250">
                  <c:v>45575</c:v>
                </c:pt>
                <c:pt idx="251">
                  <c:v>45574</c:v>
                </c:pt>
                <c:pt idx="252">
                  <c:v>45573</c:v>
                </c:pt>
                <c:pt idx="253">
                  <c:v>45572</c:v>
                </c:pt>
                <c:pt idx="254">
                  <c:v>45569</c:v>
                </c:pt>
                <c:pt idx="255">
                  <c:v>45568</c:v>
                </c:pt>
                <c:pt idx="256">
                  <c:v>45566</c:v>
                </c:pt>
                <c:pt idx="257">
                  <c:v>45565</c:v>
                </c:pt>
                <c:pt idx="258">
                  <c:v>45562</c:v>
                </c:pt>
                <c:pt idx="259">
                  <c:v>45561</c:v>
                </c:pt>
                <c:pt idx="260">
                  <c:v>45560</c:v>
                </c:pt>
                <c:pt idx="261">
                  <c:v>45559</c:v>
                </c:pt>
                <c:pt idx="262">
                  <c:v>45558</c:v>
                </c:pt>
                <c:pt idx="263">
                  <c:v>45555</c:v>
                </c:pt>
                <c:pt idx="264">
                  <c:v>45554</c:v>
                </c:pt>
                <c:pt idx="265">
                  <c:v>45553</c:v>
                </c:pt>
                <c:pt idx="266">
                  <c:v>45552</c:v>
                </c:pt>
                <c:pt idx="267">
                  <c:v>45551</c:v>
                </c:pt>
                <c:pt idx="268">
                  <c:v>45548</c:v>
                </c:pt>
                <c:pt idx="269">
                  <c:v>45547</c:v>
                </c:pt>
                <c:pt idx="270">
                  <c:v>45546</c:v>
                </c:pt>
                <c:pt idx="271">
                  <c:v>45545</c:v>
                </c:pt>
                <c:pt idx="272">
                  <c:v>45544</c:v>
                </c:pt>
                <c:pt idx="273">
                  <c:v>45541</c:v>
                </c:pt>
                <c:pt idx="274">
                  <c:v>45540</c:v>
                </c:pt>
                <c:pt idx="275">
                  <c:v>45539</c:v>
                </c:pt>
                <c:pt idx="276">
                  <c:v>45538</c:v>
                </c:pt>
                <c:pt idx="277">
                  <c:v>45537</c:v>
                </c:pt>
                <c:pt idx="278">
                  <c:v>45534</c:v>
                </c:pt>
                <c:pt idx="279">
                  <c:v>45533</c:v>
                </c:pt>
                <c:pt idx="280">
                  <c:v>45532</c:v>
                </c:pt>
                <c:pt idx="281">
                  <c:v>45531</c:v>
                </c:pt>
                <c:pt idx="282">
                  <c:v>45530</c:v>
                </c:pt>
                <c:pt idx="283">
                  <c:v>45527</c:v>
                </c:pt>
                <c:pt idx="284">
                  <c:v>45526</c:v>
                </c:pt>
                <c:pt idx="285">
                  <c:v>45525</c:v>
                </c:pt>
                <c:pt idx="286">
                  <c:v>45524</c:v>
                </c:pt>
                <c:pt idx="287">
                  <c:v>45523</c:v>
                </c:pt>
                <c:pt idx="288">
                  <c:v>45520</c:v>
                </c:pt>
                <c:pt idx="289">
                  <c:v>45518</c:v>
                </c:pt>
                <c:pt idx="290">
                  <c:v>45517</c:v>
                </c:pt>
                <c:pt idx="291">
                  <c:v>45516</c:v>
                </c:pt>
                <c:pt idx="292">
                  <c:v>45513</c:v>
                </c:pt>
                <c:pt idx="293">
                  <c:v>45512</c:v>
                </c:pt>
                <c:pt idx="294">
                  <c:v>45511</c:v>
                </c:pt>
                <c:pt idx="295">
                  <c:v>45510</c:v>
                </c:pt>
                <c:pt idx="296">
                  <c:v>45509</c:v>
                </c:pt>
                <c:pt idx="297">
                  <c:v>45506</c:v>
                </c:pt>
                <c:pt idx="298">
                  <c:v>45505</c:v>
                </c:pt>
                <c:pt idx="299">
                  <c:v>45504</c:v>
                </c:pt>
                <c:pt idx="300">
                  <c:v>45503</c:v>
                </c:pt>
                <c:pt idx="301">
                  <c:v>45502</c:v>
                </c:pt>
                <c:pt idx="302">
                  <c:v>45499</c:v>
                </c:pt>
                <c:pt idx="303">
                  <c:v>45498</c:v>
                </c:pt>
                <c:pt idx="304">
                  <c:v>45497</c:v>
                </c:pt>
                <c:pt idx="305">
                  <c:v>45496</c:v>
                </c:pt>
                <c:pt idx="306">
                  <c:v>45495</c:v>
                </c:pt>
                <c:pt idx="307">
                  <c:v>45492</c:v>
                </c:pt>
                <c:pt idx="308">
                  <c:v>45491</c:v>
                </c:pt>
                <c:pt idx="309">
                  <c:v>45489</c:v>
                </c:pt>
                <c:pt idx="310">
                  <c:v>45488</c:v>
                </c:pt>
                <c:pt idx="311">
                  <c:v>45485</c:v>
                </c:pt>
                <c:pt idx="312">
                  <c:v>45484</c:v>
                </c:pt>
                <c:pt idx="313">
                  <c:v>45483</c:v>
                </c:pt>
                <c:pt idx="314">
                  <c:v>45482</c:v>
                </c:pt>
                <c:pt idx="315">
                  <c:v>45481</c:v>
                </c:pt>
                <c:pt idx="316">
                  <c:v>45478</c:v>
                </c:pt>
                <c:pt idx="317">
                  <c:v>45477</c:v>
                </c:pt>
                <c:pt idx="318">
                  <c:v>45476</c:v>
                </c:pt>
                <c:pt idx="319">
                  <c:v>45475</c:v>
                </c:pt>
                <c:pt idx="320">
                  <c:v>45474</c:v>
                </c:pt>
                <c:pt idx="321">
                  <c:v>45471</c:v>
                </c:pt>
                <c:pt idx="322">
                  <c:v>45470</c:v>
                </c:pt>
                <c:pt idx="323">
                  <c:v>45469</c:v>
                </c:pt>
                <c:pt idx="324">
                  <c:v>45468</c:v>
                </c:pt>
                <c:pt idx="325">
                  <c:v>45467</c:v>
                </c:pt>
                <c:pt idx="326">
                  <c:v>45464</c:v>
                </c:pt>
                <c:pt idx="327">
                  <c:v>45463</c:v>
                </c:pt>
                <c:pt idx="328">
                  <c:v>45462</c:v>
                </c:pt>
                <c:pt idx="329">
                  <c:v>45461</c:v>
                </c:pt>
                <c:pt idx="330">
                  <c:v>45457</c:v>
                </c:pt>
                <c:pt idx="331">
                  <c:v>45456</c:v>
                </c:pt>
                <c:pt idx="332">
                  <c:v>45455</c:v>
                </c:pt>
                <c:pt idx="333">
                  <c:v>45454</c:v>
                </c:pt>
                <c:pt idx="334">
                  <c:v>45453</c:v>
                </c:pt>
                <c:pt idx="335">
                  <c:v>45450</c:v>
                </c:pt>
                <c:pt idx="336">
                  <c:v>45449</c:v>
                </c:pt>
                <c:pt idx="337">
                  <c:v>45448</c:v>
                </c:pt>
                <c:pt idx="338">
                  <c:v>45447</c:v>
                </c:pt>
                <c:pt idx="339">
                  <c:v>45446</c:v>
                </c:pt>
                <c:pt idx="340">
                  <c:v>45443</c:v>
                </c:pt>
                <c:pt idx="341">
                  <c:v>45442</c:v>
                </c:pt>
                <c:pt idx="342">
                  <c:v>45441</c:v>
                </c:pt>
                <c:pt idx="343">
                  <c:v>45440</c:v>
                </c:pt>
                <c:pt idx="344">
                  <c:v>45439</c:v>
                </c:pt>
                <c:pt idx="345">
                  <c:v>45436</c:v>
                </c:pt>
                <c:pt idx="346">
                  <c:v>45435</c:v>
                </c:pt>
                <c:pt idx="347">
                  <c:v>45434</c:v>
                </c:pt>
                <c:pt idx="348">
                  <c:v>45433</c:v>
                </c:pt>
                <c:pt idx="349">
                  <c:v>45430</c:v>
                </c:pt>
                <c:pt idx="350">
                  <c:v>45429</c:v>
                </c:pt>
                <c:pt idx="351">
                  <c:v>45428</c:v>
                </c:pt>
                <c:pt idx="352">
                  <c:v>45427</c:v>
                </c:pt>
                <c:pt idx="353">
                  <c:v>45426</c:v>
                </c:pt>
                <c:pt idx="354">
                  <c:v>45425</c:v>
                </c:pt>
                <c:pt idx="355">
                  <c:v>45422</c:v>
                </c:pt>
                <c:pt idx="356">
                  <c:v>45421</c:v>
                </c:pt>
                <c:pt idx="357">
                  <c:v>45420</c:v>
                </c:pt>
                <c:pt idx="358">
                  <c:v>45419</c:v>
                </c:pt>
                <c:pt idx="359">
                  <c:v>45418</c:v>
                </c:pt>
                <c:pt idx="360">
                  <c:v>45415</c:v>
                </c:pt>
                <c:pt idx="361">
                  <c:v>45414</c:v>
                </c:pt>
                <c:pt idx="362">
                  <c:v>45412</c:v>
                </c:pt>
                <c:pt idx="363">
                  <c:v>45411</c:v>
                </c:pt>
                <c:pt idx="364">
                  <c:v>45408</c:v>
                </c:pt>
                <c:pt idx="365">
                  <c:v>45407</c:v>
                </c:pt>
                <c:pt idx="366">
                  <c:v>45406</c:v>
                </c:pt>
                <c:pt idx="367">
                  <c:v>45405</c:v>
                </c:pt>
                <c:pt idx="368">
                  <c:v>45404</c:v>
                </c:pt>
                <c:pt idx="369">
                  <c:v>45401</c:v>
                </c:pt>
                <c:pt idx="370">
                  <c:v>45400</c:v>
                </c:pt>
                <c:pt idx="371">
                  <c:v>45398</c:v>
                </c:pt>
                <c:pt idx="372">
                  <c:v>45397</c:v>
                </c:pt>
                <c:pt idx="373">
                  <c:v>45394</c:v>
                </c:pt>
                <c:pt idx="374">
                  <c:v>45392</c:v>
                </c:pt>
                <c:pt idx="375">
                  <c:v>45391</c:v>
                </c:pt>
                <c:pt idx="376">
                  <c:v>45390</c:v>
                </c:pt>
                <c:pt idx="377">
                  <c:v>45387</c:v>
                </c:pt>
                <c:pt idx="378">
                  <c:v>45386</c:v>
                </c:pt>
                <c:pt idx="379">
                  <c:v>45385</c:v>
                </c:pt>
                <c:pt idx="380">
                  <c:v>45384</c:v>
                </c:pt>
                <c:pt idx="381">
                  <c:v>45383</c:v>
                </c:pt>
                <c:pt idx="382">
                  <c:v>45379</c:v>
                </c:pt>
                <c:pt idx="383">
                  <c:v>45378</c:v>
                </c:pt>
                <c:pt idx="384">
                  <c:v>45377</c:v>
                </c:pt>
                <c:pt idx="385">
                  <c:v>45373</c:v>
                </c:pt>
                <c:pt idx="386">
                  <c:v>45372</c:v>
                </c:pt>
                <c:pt idx="387">
                  <c:v>45371</c:v>
                </c:pt>
                <c:pt idx="388">
                  <c:v>45370</c:v>
                </c:pt>
                <c:pt idx="389">
                  <c:v>45369</c:v>
                </c:pt>
                <c:pt idx="390">
                  <c:v>45366</c:v>
                </c:pt>
                <c:pt idx="391">
                  <c:v>45365</c:v>
                </c:pt>
                <c:pt idx="392">
                  <c:v>45364</c:v>
                </c:pt>
                <c:pt idx="393">
                  <c:v>45363</c:v>
                </c:pt>
                <c:pt idx="394">
                  <c:v>45362</c:v>
                </c:pt>
                <c:pt idx="395">
                  <c:v>45358</c:v>
                </c:pt>
                <c:pt idx="396">
                  <c:v>45357</c:v>
                </c:pt>
                <c:pt idx="397">
                  <c:v>45356</c:v>
                </c:pt>
                <c:pt idx="398">
                  <c:v>45355</c:v>
                </c:pt>
                <c:pt idx="399">
                  <c:v>45353</c:v>
                </c:pt>
                <c:pt idx="400">
                  <c:v>45352</c:v>
                </c:pt>
                <c:pt idx="401">
                  <c:v>45351</c:v>
                </c:pt>
                <c:pt idx="402">
                  <c:v>45350</c:v>
                </c:pt>
                <c:pt idx="403">
                  <c:v>45349</c:v>
                </c:pt>
                <c:pt idx="404">
                  <c:v>45348</c:v>
                </c:pt>
                <c:pt idx="405">
                  <c:v>45345</c:v>
                </c:pt>
                <c:pt idx="406">
                  <c:v>45344</c:v>
                </c:pt>
                <c:pt idx="407">
                  <c:v>45343</c:v>
                </c:pt>
                <c:pt idx="408">
                  <c:v>45342</c:v>
                </c:pt>
                <c:pt idx="409">
                  <c:v>45341</c:v>
                </c:pt>
                <c:pt idx="410">
                  <c:v>45338</c:v>
                </c:pt>
                <c:pt idx="411">
                  <c:v>45337</c:v>
                </c:pt>
                <c:pt idx="412">
                  <c:v>45336</c:v>
                </c:pt>
                <c:pt idx="413">
                  <c:v>45335</c:v>
                </c:pt>
                <c:pt idx="414">
                  <c:v>45334</c:v>
                </c:pt>
                <c:pt idx="415">
                  <c:v>45331</c:v>
                </c:pt>
                <c:pt idx="416">
                  <c:v>45330</c:v>
                </c:pt>
                <c:pt idx="417">
                  <c:v>45329</c:v>
                </c:pt>
                <c:pt idx="418">
                  <c:v>45328</c:v>
                </c:pt>
                <c:pt idx="419">
                  <c:v>45327</c:v>
                </c:pt>
                <c:pt idx="420">
                  <c:v>45324</c:v>
                </c:pt>
                <c:pt idx="421">
                  <c:v>45323</c:v>
                </c:pt>
                <c:pt idx="422">
                  <c:v>45322</c:v>
                </c:pt>
                <c:pt idx="423">
                  <c:v>45321</c:v>
                </c:pt>
                <c:pt idx="424">
                  <c:v>45320</c:v>
                </c:pt>
                <c:pt idx="425">
                  <c:v>45316</c:v>
                </c:pt>
                <c:pt idx="426">
                  <c:v>45315</c:v>
                </c:pt>
                <c:pt idx="427">
                  <c:v>45314</c:v>
                </c:pt>
                <c:pt idx="428">
                  <c:v>45311</c:v>
                </c:pt>
                <c:pt idx="429">
                  <c:v>45310</c:v>
                </c:pt>
                <c:pt idx="430">
                  <c:v>45309</c:v>
                </c:pt>
                <c:pt idx="431">
                  <c:v>45308</c:v>
                </c:pt>
                <c:pt idx="432">
                  <c:v>45307</c:v>
                </c:pt>
                <c:pt idx="433">
                  <c:v>45306</c:v>
                </c:pt>
                <c:pt idx="434">
                  <c:v>45303</c:v>
                </c:pt>
                <c:pt idx="435">
                  <c:v>45302</c:v>
                </c:pt>
                <c:pt idx="436">
                  <c:v>45301</c:v>
                </c:pt>
                <c:pt idx="437">
                  <c:v>45300</c:v>
                </c:pt>
                <c:pt idx="438">
                  <c:v>45299</c:v>
                </c:pt>
                <c:pt idx="439">
                  <c:v>45296</c:v>
                </c:pt>
                <c:pt idx="440">
                  <c:v>45295</c:v>
                </c:pt>
                <c:pt idx="441">
                  <c:v>45294</c:v>
                </c:pt>
                <c:pt idx="442">
                  <c:v>45293</c:v>
                </c:pt>
                <c:pt idx="443">
                  <c:v>45292</c:v>
                </c:pt>
                <c:pt idx="444">
                  <c:v>45289</c:v>
                </c:pt>
                <c:pt idx="445">
                  <c:v>45288</c:v>
                </c:pt>
                <c:pt idx="446">
                  <c:v>45287</c:v>
                </c:pt>
                <c:pt idx="447">
                  <c:v>45286</c:v>
                </c:pt>
                <c:pt idx="448">
                  <c:v>45282</c:v>
                </c:pt>
                <c:pt idx="449">
                  <c:v>45281</c:v>
                </c:pt>
                <c:pt idx="450">
                  <c:v>45280</c:v>
                </c:pt>
                <c:pt idx="451">
                  <c:v>45279</c:v>
                </c:pt>
                <c:pt idx="452">
                  <c:v>45278</c:v>
                </c:pt>
                <c:pt idx="453">
                  <c:v>45275</c:v>
                </c:pt>
                <c:pt idx="454">
                  <c:v>45274</c:v>
                </c:pt>
                <c:pt idx="455">
                  <c:v>45273</c:v>
                </c:pt>
                <c:pt idx="456">
                  <c:v>45272</c:v>
                </c:pt>
                <c:pt idx="457">
                  <c:v>45271</c:v>
                </c:pt>
                <c:pt idx="458">
                  <c:v>45268</c:v>
                </c:pt>
                <c:pt idx="459">
                  <c:v>45267</c:v>
                </c:pt>
                <c:pt idx="460">
                  <c:v>45266</c:v>
                </c:pt>
                <c:pt idx="461">
                  <c:v>45265</c:v>
                </c:pt>
                <c:pt idx="462">
                  <c:v>45264</c:v>
                </c:pt>
                <c:pt idx="463">
                  <c:v>45261</c:v>
                </c:pt>
                <c:pt idx="464">
                  <c:v>45260</c:v>
                </c:pt>
                <c:pt idx="465">
                  <c:v>45259</c:v>
                </c:pt>
                <c:pt idx="466">
                  <c:v>45258</c:v>
                </c:pt>
                <c:pt idx="467">
                  <c:v>45254</c:v>
                </c:pt>
                <c:pt idx="468">
                  <c:v>45253</c:v>
                </c:pt>
                <c:pt idx="469">
                  <c:v>45252</c:v>
                </c:pt>
                <c:pt idx="470">
                  <c:v>45251</c:v>
                </c:pt>
                <c:pt idx="471">
                  <c:v>45250</c:v>
                </c:pt>
                <c:pt idx="472">
                  <c:v>45247</c:v>
                </c:pt>
                <c:pt idx="473">
                  <c:v>45246</c:v>
                </c:pt>
                <c:pt idx="474">
                  <c:v>45245</c:v>
                </c:pt>
                <c:pt idx="475">
                  <c:v>45243</c:v>
                </c:pt>
                <c:pt idx="476">
                  <c:v>45242</c:v>
                </c:pt>
                <c:pt idx="477">
                  <c:v>45240</c:v>
                </c:pt>
                <c:pt idx="478">
                  <c:v>45239</c:v>
                </c:pt>
                <c:pt idx="479">
                  <c:v>45238</c:v>
                </c:pt>
                <c:pt idx="480">
                  <c:v>45237</c:v>
                </c:pt>
                <c:pt idx="481">
                  <c:v>45236</c:v>
                </c:pt>
                <c:pt idx="482">
                  <c:v>45233</c:v>
                </c:pt>
                <c:pt idx="483">
                  <c:v>45232</c:v>
                </c:pt>
                <c:pt idx="484">
                  <c:v>45231</c:v>
                </c:pt>
                <c:pt idx="485">
                  <c:v>45230</c:v>
                </c:pt>
                <c:pt idx="486">
                  <c:v>45229</c:v>
                </c:pt>
                <c:pt idx="487">
                  <c:v>45226</c:v>
                </c:pt>
                <c:pt idx="488">
                  <c:v>45225</c:v>
                </c:pt>
                <c:pt idx="489">
                  <c:v>45224</c:v>
                </c:pt>
                <c:pt idx="490">
                  <c:v>45222</c:v>
                </c:pt>
                <c:pt idx="491">
                  <c:v>45219</c:v>
                </c:pt>
                <c:pt idx="492">
                  <c:v>45218</c:v>
                </c:pt>
                <c:pt idx="493">
                  <c:v>45217</c:v>
                </c:pt>
                <c:pt idx="494">
                  <c:v>45216</c:v>
                </c:pt>
                <c:pt idx="495">
                  <c:v>45215</c:v>
                </c:pt>
                <c:pt idx="496">
                  <c:v>45212</c:v>
                </c:pt>
                <c:pt idx="497">
                  <c:v>45211</c:v>
                </c:pt>
                <c:pt idx="498">
                  <c:v>45210</c:v>
                </c:pt>
                <c:pt idx="499">
                  <c:v>45209</c:v>
                </c:pt>
                <c:pt idx="500">
                  <c:v>45208</c:v>
                </c:pt>
                <c:pt idx="501">
                  <c:v>45205</c:v>
                </c:pt>
                <c:pt idx="502">
                  <c:v>45204</c:v>
                </c:pt>
                <c:pt idx="503">
                  <c:v>45203</c:v>
                </c:pt>
                <c:pt idx="504">
                  <c:v>45202</c:v>
                </c:pt>
                <c:pt idx="505">
                  <c:v>45198</c:v>
                </c:pt>
                <c:pt idx="506">
                  <c:v>45197</c:v>
                </c:pt>
                <c:pt idx="507">
                  <c:v>45196</c:v>
                </c:pt>
                <c:pt idx="508">
                  <c:v>45195</c:v>
                </c:pt>
                <c:pt idx="509">
                  <c:v>45194</c:v>
                </c:pt>
                <c:pt idx="510">
                  <c:v>45191</c:v>
                </c:pt>
                <c:pt idx="511">
                  <c:v>45190</c:v>
                </c:pt>
                <c:pt idx="512">
                  <c:v>45189</c:v>
                </c:pt>
                <c:pt idx="513">
                  <c:v>45187</c:v>
                </c:pt>
                <c:pt idx="514">
                  <c:v>45184</c:v>
                </c:pt>
                <c:pt idx="515">
                  <c:v>45183</c:v>
                </c:pt>
                <c:pt idx="516">
                  <c:v>45182</c:v>
                </c:pt>
                <c:pt idx="517">
                  <c:v>45181</c:v>
                </c:pt>
                <c:pt idx="518">
                  <c:v>45180</c:v>
                </c:pt>
                <c:pt idx="519">
                  <c:v>45177</c:v>
                </c:pt>
                <c:pt idx="520">
                  <c:v>45176</c:v>
                </c:pt>
                <c:pt idx="521">
                  <c:v>45175</c:v>
                </c:pt>
                <c:pt idx="522">
                  <c:v>45174</c:v>
                </c:pt>
                <c:pt idx="523">
                  <c:v>45173</c:v>
                </c:pt>
                <c:pt idx="524">
                  <c:v>45170</c:v>
                </c:pt>
                <c:pt idx="525">
                  <c:v>45169</c:v>
                </c:pt>
                <c:pt idx="526">
                  <c:v>45168</c:v>
                </c:pt>
                <c:pt idx="527">
                  <c:v>45167</c:v>
                </c:pt>
                <c:pt idx="528">
                  <c:v>45166</c:v>
                </c:pt>
                <c:pt idx="529">
                  <c:v>45163</c:v>
                </c:pt>
                <c:pt idx="530">
                  <c:v>45162</c:v>
                </c:pt>
                <c:pt idx="531">
                  <c:v>45161</c:v>
                </c:pt>
                <c:pt idx="532">
                  <c:v>45160</c:v>
                </c:pt>
                <c:pt idx="533">
                  <c:v>45159</c:v>
                </c:pt>
                <c:pt idx="534">
                  <c:v>45156</c:v>
                </c:pt>
                <c:pt idx="535">
                  <c:v>45155</c:v>
                </c:pt>
                <c:pt idx="536">
                  <c:v>45154</c:v>
                </c:pt>
                <c:pt idx="537">
                  <c:v>45152</c:v>
                </c:pt>
                <c:pt idx="538">
                  <c:v>45149</c:v>
                </c:pt>
                <c:pt idx="539">
                  <c:v>45148</c:v>
                </c:pt>
                <c:pt idx="540">
                  <c:v>45147</c:v>
                </c:pt>
                <c:pt idx="541">
                  <c:v>45146</c:v>
                </c:pt>
                <c:pt idx="542">
                  <c:v>45145</c:v>
                </c:pt>
                <c:pt idx="543">
                  <c:v>45142</c:v>
                </c:pt>
                <c:pt idx="544">
                  <c:v>45141</c:v>
                </c:pt>
                <c:pt idx="545">
                  <c:v>45140</c:v>
                </c:pt>
                <c:pt idx="546">
                  <c:v>45139</c:v>
                </c:pt>
                <c:pt idx="547">
                  <c:v>45138</c:v>
                </c:pt>
                <c:pt idx="548">
                  <c:v>45135</c:v>
                </c:pt>
                <c:pt idx="549">
                  <c:v>45134</c:v>
                </c:pt>
                <c:pt idx="550">
                  <c:v>45133</c:v>
                </c:pt>
                <c:pt idx="551">
                  <c:v>45132</c:v>
                </c:pt>
                <c:pt idx="552">
                  <c:v>45131</c:v>
                </c:pt>
                <c:pt idx="553">
                  <c:v>45128</c:v>
                </c:pt>
                <c:pt idx="554">
                  <c:v>45127</c:v>
                </c:pt>
                <c:pt idx="555">
                  <c:v>45126</c:v>
                </c:pt>
                <c:pt idx="556">
                  <c:v>45125</c:v>
                </c:pt>
                <c:pt idx="557">
                  <c:v>45124</c:v>
                </c:pt>
                <c:pt idx="558">
                  <c:v>45121</c:v>
                </c:pt>
                <c:pt idx="559">
                  <c:v>45120</c:v>
                </c:pt>
                <c:pt idx="560">
                  <c:v>45119</c:v>
                </c:pt>
                <c:pt idx="561">
                  <c:v>45118</c:v>
                </c:pt>
                <c:pt idx="562">
                  <c:v>45117</c:v>
                </c:pt>
                <c:pt idx="563">
                  <c:v>45114</c:v>
                </c:pt>
                <c:pt idx="564">
                  <c:v>45113</c:v>
                </c:pt>
                <c:pt idx="565">
                  <c:v>45112</c:v>
                </c:pt>
                <c:pt idx="566">
                  <c:v>45111</c:v>
                </c:pt>
                <c:pt idx="567">
                  <c:v>45110</c:v>
                </c:pt>
                <c:pt idx="568">
                  <c:v>45107</c:v>
                </c:pt>
                <c:pt idx="569">
                  <c:v>45105</c:v>
                </c:pt>
                <c:pt idx="570">
                  <c:v>45104</c:v>
                </c:pt>
                <c:pt idx="571">
                  <c:v>45103</c:v>
                </c:pt>
                <c:pt idx="572">
                  <c:v>45100</c:v>
                </c:pt>
                <c:pt idx="573">
                  <c:v>45099</c:v>
                </c:pt>
                <c:pt idx="574">
                  <c:v>45098</c:v>
                </c:pt>
                <c:pt idx="575">
                  <c:v>45097</c:v>
                </c:pt>
                <c:pt idx="576">
                  <c:v>45096</c:v>
                </c:pt>
                <c:pt idx="577">
                  <c:v>45093</c:v>
                </c:pt>
                <c:pt idx="578">
                  <c:v>45092</c:v>
                </c:pt>
                <c:pt idx="579">
                  <c:v>45091</c:v>
                </c:pt>
                <c:pt idx="580">
                  <c:v>45090</c:v>
                </c:pt>
                <c:pt idx="581">
                  <c:v>45089</c:v>
                </c:pt>
                <c:pt idx="582">
                  <c:v>45086</c:v>
                </c:pt>
                <c:pt idx="583">
                  <c:v>45085</c:v>
                </c:pt>
                <c:pt idx="584">
                  <c:v>45084</c:v>
                </c:pt>
                <c:pt idx="585">
                  <c:v>45083</c:v>
                </c:pt>
                <c:pt idx="586">
                  <c:v>45082</c:v>
                </c:pt>
                <c:pt idx="587">
                  <c:v>45079</c:v>
                </c:pt>
                <c:pt idx="588">
                  <c:v>45078</c:v>
                </c:pt>
                <c:pt idx="589">
                  <c:v>45077</c:v>
                </c:pt>
                <c:pt idx="590">
                  <c:v>45076</c:v>
                </c:pt>
                <c:pt idx="591">
                  <c:v>45075</c:v>
                </c:pt>
                <c:pt idx="592">
                  <c:v>45072</c:v>
                </c:pt>
                <c:pt idx="593">
                  <c:v>45071</c:v>
                </c:pt>
                <c:pt idx="594">
                  <c:v>45070</c:v>
                </c:pt>
                <c:pt idx="595">
                  <c:v>45069</c:v>
                </c:pt>
                <c:pt idx="596">
                  <c:v>45068</c:v>
                </c:pt>
                <c:pt idx="597">
                  <c:v>45065</c:v>
                </c:pt>
                <c:pt idx="598">
                  <c:v>45064</c:v>
                </c:pt>
                <c:pt idx="599">
                  <c:v>45063</c:v>
                </c:pt>
                <c:pt idx="600">
                  <c:v>45062</c:v>
                </c:pt>
                <c:pt idx="601">
                  <c:v>45061</c:v>
                </c:pt>
                <c:pt idx="602">
                  <c:v>45058</c:v>
                </c:pt>
                <c:pt idx="603">
                  <c:v>45057</c:v>
                </c:pt>
                <c:pt idx="604">
                  <c:v>45056</c:v>
                </c:pt>
                <c:pt idx="605">
                  <c:v>45055</c:v>
                </c:pt>
                <c:pt idx="606">
                  <c:v>45054</c:v>
                </c:pt>
                <c:pt idx="607">
                  <c:v>45051</c:v>
                </c:pt>
                <c:pt idx="608">
                  <c:v>45050</c:v>
                </c:pt>
                <c:pt idx="609">
                  <c:v>45049</c:v>
                </c:pt>
                <c:pt idx="610">
                  <c:v>45048</c:v>
                </c:pt>
                <c:pt idx="611">
                  <c:v>45044</c:v>
                </c:pt>
                <c:pt idx="612">
                  <c:v>45043</c:v>
                </c:pt>
                <c:pt idx="613">
                  <c:v>45042</c:v>
                </c:pt>
                <c:pt idx="614">
                  <c:v>45041</c:v>
                </c:pt>
                <c:pt idx="615">
                  <c:v>45040</c:v>
                </c:pt>
                <c:pt idx="616">
                  <c:v>45037</c:v>
                </c:pt>
                <c:pt idx="617">
                  <c:v>45036</c:v>
                </c:pt>
                <c:pt idx="618">
                  <c:v>45035</c:v>
                </c:pt>
                <c:pt idx="619">
                  <c:v>45034</c:v>
                </c:pt>
                <c:pt idx="620">
                  <c:v>45033</c:v>
                </c:pt>
                <c:pt idx="621">
                  <c:v>45029</c:v>
                </c:pt>
                <c:pt idx="622">
                  <c:v>45028</c:v>
                </c:pt>
                <c:pt idx="623">
                  <c:v>45027</c:v>
                </c:pt>
                <c:pt idx="624">
                  <c:v>45026</c:v>
                </c:pt>
                <c:pt idx="625">
                  <c:v>45022</c:v>
                </c:pt>
                <c:pt idx="626">
                  <c:v>45021</c:v>
                </c:pt>
                <c:pt idx="627">
                  <c:v>45019</c:v>
                </c:pt>
                <c:pt idx="628">
                  <c:v>45016</c:v>
                </c:pt>
                <c:pt idx="629">
                  <c:v>45014</c:v>
                </c:pt>
                <c:pt idx="630">
                  <c:v>45013</c:v>
                </c:pt>
                <c:pt idx="631">
                  <c:v>45012</c:v>
                </c:pt>
                <c:pt idx="632">
                  <c:v>45009</c:v>
                </c:pt>
                <c:pt idx="633">
                  <c:v>45008</c:v>
                </c:pt>
                <c:pt idx="634">
                  <c:v>45007</c:v>
                </c:pt>
                <c:pt idx="635">
                  <c:v>45006</c:v>
                </c:pt>
                <c:pt idx="636">
                  <c:v>45005</c:v>
                </c:pt>
                <c:pt idx="637">
                  <c:v>45002</c:v>
                </c:pt>
                <c:pt idx="638">
                  <c:v>45001</c:v>
                </c:pt>
                <c:pt idx="639">
                  <c:v>45000</c:v>
                </c:pt>
                <c:pt idx="640">
                  <c:v>44999</c:v>
                </c:pt>
                <c:pt idx="641">
                  <c:v>44998</c:v>
                </c:pt>
                <c:pt idx="642">
                  <c:v>44995</c:v>
                </c:pt>
                <c:pt idx="643">
                  <c:v>44994</c:v>
                </c:pt>
                <c:pt idx="644">
                  <c:v>44993</c:v>
                </c:pt>
                <c:pt idx="645">
                  <c:v>44991</c:v>
                </c:pt>
                <c:pt idx="646">
                  <c:v>44988</c:v>
                </c:pt>
                <c:pt idx="647">
                  <c:v>44987</c:v>
                </c:pt>
                <c:pt idx="648">
                  <c:v>44986</c:v>
                </c:pt>
                <c:pt idx="649">
                  <c:v>44985</c:v>
                </c:pt>
                <c:pt idx="650">
                  <c:v>44984</c:v>
                </c:pt>
                <c:pt idx="651">
                  <c:v>44981</c:v>
                </c:pt>
                <c:pt idx="652">
                  <c:v>44980</c:v>
                </c:pt>
                <c:pt idx="653">
                  <c:v>44979</c:v>
                </c:pt>
                <c:pt idx="654">
                  <c:v>44978</c:v>
                </c:pt>
                <c:pt idx="655">
                  <c:v>44977</c:v>
                </c:pt>
                <c:pt idx="656">
                  <c:v>44974</c:v>
                </c:pt>
                <c:pt idx="657">
                  <c:v>44973</c:v>
                </c:pt>
                <c:pt idx="658">
                  <c:v>44972</c:v>
                </c:pt>
                <c:pt idx="659">
                  <c:v>44971</c:v>
                </c:pt>
                <c:pt idx="660">
                  <c:v>44970</c:v>
                </c:pt>
                <c:pt idx="661">
                  <c:v>44967</c:v>
                </c:pt>
                <c:pt idx="662">
                  <c:v>44966</c:v>
                </c:pt>
                <c:pt idx="663">
                  <c:v>44965</c:v>
                </c:pt>
                <c:pt idx="664">
                  <c:v>44964</c:v>
                </c:pt>
                <c:pt idx="665">
                  <c:v>44963</c:v>
                </c:pt>
                <c:pt idx="666">
                  <c:v>44960</c:v>
                </c:pt>
                <c:pt idx="667">
                  <c:v>44959</c:v>
                </c:pt>
                <c:pt idx="668">
                  <c:v>44958</c:v>
                </c:pt>
                <c:pt idx="669">
                  <c:v>44957</c:v>
                </c:pt>
                <c:pt idx="670">
                  <c:v>44956</c:v>
                </c:pt>
                <c:pt idx="671">
                  <c:v>44953</c:v>
                </c:pt>
                <c:pt idx="672">
                  <c:v>44951</c:v>
                </c:pt>
                <c:pt idx="673">
                  <c:v>44950</c:v>
                </c:pt>
                <c:pt idx="674">
                  <c:v>44949</c:v>
                </c:pt>
                <c:pt idx="675">
                  <c:v>44946</c:v>
                </c:pt>
                <c:pt idx="676">
                  <c:v>44945</c:v>
                </c:pt>
                <c:pt idx="677">
                  <c:v>44944</c:v>
                </c:pt>
                <c:pt idx="678">
                  <c:v>44943</c:v>
                </c:pt>
                <c:pt idx="679">
                  <c:v>44942</c:v>
                </c:pt>
                <c:pt idx="680">
                  <c:v>44939</c:v>
                </c:pt>
                <c:pt idx="681">
                  <c:v>44938</c:v>
                </c:pt>
                <c:pt idx="682">
                  <c:v>44937</c:v>
                </c:pt>
                <c:pt idx="683">
                  <c:v>44936</c:v>
                </c:pt>
                <c:pt idx="684">
                  <c:v>44935</c:v>
                </c:pt>
                <c:pt idx="685">
                  <c:v>44932</c:v>
                </c:pt>
                <c:pt idx="686">
                  <c:v>44931</c:v>
                </c:pt>
                <c:pt idx="687">
                  <c:v>44930</c:v>
                </c:pt>
                <c:pt idx="688">
                  <c:v>44929</c:v>
                </c:pt>
                <c:pt idx="689">
                  <c:v>44928</c:v>
                </c:pt>
                <c:pt idx="690">
                  <c:v>44925</c:v>
                </c:pt>
                <c:pt idx="691">
                  <c:v>44924</c:v>
                </c:pt>
                <c:pt idx="692">
                  <c:v>44923</c:v>
                </c:pt>
                <c:pt idx="693">
                  <c:v>44922</c:v>
                </c:pt>
                <c:pt idx="694">
                  <c:v>44921</c:v>
                </c:pt>
                <c:pt idx="695">
                  <c:v>44918</c:v>
                </c:pt>
                <c:pt idx="696">
                  <c:v>44917</c:v>
                </c:pt>
                <c:pt idx="697">
                  <c:v>44916</c:v>
                </c:pt>
                <c:pt idx="698">
                  <c:v>44915</c:v>
                </c:pt>
                <c:pt idx="699">
                  <c:v>44914</c:v>
                </c:pt>
                <c:pt idx="700">
                  <c:v>44911</c:v>
                </c:pt>
                <c:pt idx="701">
                  <c:v>44910</c:v>
                </c:pt>
                <c:pt idx="702">
                  <c:v>44909</c:v>
                </c:pt>
                <c:pt idx="703">
                  <c:v>44908</c:v>
                </c:pt>
                <c:pt idx="704">
                  <c:v>44907</c:v>
                </c:pt>
                <c:pt idx="705">
                  <c:v>44904</c:v>
                </c:pt>
                <c:pt idx="706">
                  <c:v>44903</c:v>
                </c:pt>
                <c:pt idx="707">
                  <c:v>44902</c:v>
                </c:pt>
                <c:pt idx="708">
                  <c:v>44901</c:v>
                </c:pt>
                <c:pt idx="709">
                  <c:v>44900</c:v>
                </c:pt>
                <c:pt idx="710">
                  <c:v>44897</c:v>
                </c:pt>
                <c:pt idx="711">
                  <c:v>44896</c:v>
                </c:pt>
                <c:pt idx="712">
                  <c:v>44895</c:v>
                </c:pt>
                <c:pt idx="713">
                  <c:v>44894</c:v>
                </c:pt>
                <c:pt idx="714">
                  <c:v>44893</c:v>
                </c:pt>
                <c:pt idx="715">
                  <c:v>44890</c:v>
                </c:pt>
                <c:pt idx="716">
                  <c:v>44889</c:v>
                </c:pt>
                <c:pt idx="717">
                  <c:v>44888</c:v>
                </c:pt>
                <c:pt idx="718">
                  <c:v>44887</c:v>
                </c:pt>
                <c:pt idx="719">
                  <c:v>44886</c:v>
                </c:pt>
                <c:pt idx="720">
                  <c:v>44883</c:v>
                </c:pt>
                <c:pt idx="721">
                  <c:v>44882</c:v>
                </c:pt>
                <c:pt idx="722">
                  <c:v>44881</c:v>
                </c:pt>
                <c:pt idx="723">
                  <c:v>44880</c:v>
                </c:pt>
                <c:pt idx="724">
                  <c:v>44879</c:v>
                </c:pt>
                <c:pt idx="725">
                  <c:v>44876</c:v>
                </c:pt>
                <c:pt idx="726">
                  <c:v>44875</c:v>
                </c:pt>
                <c:pt idx="727">
                  <c:v>44874</c:v>
                </c:pt>
                <c:pt idx="728">
                  <c:v>44872</c:v>
                </c:pt>
                <c:pt idx="729">
                  <c:v>44869</c:v>
                </c:pt>
                <c:pt idx="730">
                  <c:v>44868</c:v>
                </c:pt>
                <c:pt idx="731">
                  <c:v>44867</c:v>
                </c:pt>
                <c:pt idx="732">
                  <c:v>44866</c:v>
                </c:pt>
                <c:pt idx="733">
                  <c:v>44865</c:v>
                </c:pt>
                <c:pt idx="734">
                  <c:v>44862</c:v>
                </c:pt>
                <c:pt idx="735">
                  <c:v>44861</c:v>
                </c:pt>
                <c:pt idx="736">
                  <c:v>44859</c:v>
                </c:pt>
                <c:pt idx="737">
                  <c:v>44858</c:v>
                </c:pt>
                <c:pt idx="738">
                  <c:v>44855</c:v>
                </c:pt>
                <c:pt idx="739">
                  <c:v>44854</c:v>
                </c:pt>
                <c:pt idx="740">
                  <c:v>44853</c:v>
                </c:pt>
                <c:pt idx="741">
                  <c:v>44852</c:v>
                </c:pt>
                <c:pt idx="742">
                  <c:v>44851</c:v>
                </c:pt>
                <c:pt idx="743">
                  <c:v>44848</c:v>
                </c:pt>
                <c:pt idx="744">
                  <c:v>44847</c:v>
                </c:pt>
                <c:pt idx="745">
                  <c:v>44846</c:v>
                </c:pt>
                <c:pt idx="746">
                  <c:v>44845</c:v>
                </c:pt>
                <c:pt idx="747">
                  <c:v>44844</c:v>
                </c:pt>
                <c:pt idx="748">
                  <c:v>44841</c:v>
                </c:pt>
                <c:pt idx="749">
                  <c:v>44840</c:v>
                </c:pt>
                <c:pt idx="750">
                  <c:v>44838</c:v>
                </c:pt>
                <c:pt idx="751">
                  <c:v>44837</c:v>
                </c:pt>
                <c:pt idx="752">
                  <c:v>44834</c:v>
                </c:pt>
                <c:pt idx="753">
                  <c:v>44833</c:v>
                </c:pt>
                <c:pt idx="754">
                  <c:v>44832</c:v>
                </c:pt>
                <c:pt idx="755">
                  <c:v>44831</c:v>
                </c:pt>
                <c:pt idx="756">
                  <c:v>44830</c:v>
                </c:pt>
                <c:pt idx="757">
                  <c:v>44827</c:v>
                </c:pt>
                <c:pt idx="758">
                  <c:v>44826</c:v>
                </c:pt>
                <c:pt idx="759">
                  <c:v>44825</c:v>
                </c:pt>
                <c:pt idx="760">
                  <c:v>44824</c:v>
                </c:pt>
                <c:pt idx="761">
                  <c:v>44823</c:v>
                </c:pt>
                <c:pt idx="762">
                  <c:v>44820</c:v>
                </c:pt>
                <c:pt idx="763">
                  <c:v>44819</c:v>
                </c:pt>
                <c:pt idx="764">
                  <c:v>44818</c:v>
                </c:pt>
                <c:pt idx="765">
                  <c:v>44817</c:v>
                </c:pt>
                <c:pt idx="766">
                  <c:v>44816</c:v>
                </c:pt>
                <c:pt idx="767">
                  <c:v>44813</c:v>
                </c:pt>
                <c:pt idx="768">
                  <c:v>44812</c:v>
                </c:pt>
                <c:pt idx="769">
                  <c:v>44811</c:v>
                </c:pt>
                <c:pt idx="770">
                  <c:v>44810</c:v>
                </c:pt>
                <c:pt idx="771">
                  <c:v>44809</c:v>
                </c:pt>
                <c:pt idx="772">
                  <c:v>44806</c:v>
                </c:pt>
                <c:pt idx="773">
                  <c:v>44805</c:v>
                </c:pt>
                <c:pt idx="774">
                  <c:v>44803</c:v>
                </c:pt>
                <c:pt idx="775">
                  <c:v>44802</c:v>
                </c:pt>
                <c:pt idx="776">
                  <c:v>44799</c:v>
                </c:pt>
                <c:pt idx="777">
                  <c:v>44798</c:v>
                </c:pt>
                <c:pt idx="778">
                  <c:v>44797</c:v>
                </c:pt>
                <c:pt idx="779">
                  <c:v>44796</c:v>
                </c:pt>
                <c:pt idx="780">
                  <c:v>44795</c:v>
                </c:pt>
                <c:pt idx="781">
                  <c:v>44792</c:v>
                </c:pt>
                <c:pt idx="782">
                  <c:v>44791</c:v>
                </c:pt>
                <c:pt idx="783">
                  <c:v>44790</c:v>
                </c:pt>
                <c:pt idx="784">
                  <c:v>44789</c:v>
                </c:pt>
                <c:pt idx="785">
                  <c:v>44785</c:v>
                </c:pt>
                <c:pt idx="786">
                  <c:v>44784</c:v>
                </c:pt>
                <c:pt idx="787">
                  <c:v>44783</c:v>
                </c:pt>
                <c:pt idx="788">
                  <c:v>44781</c:v>
                </c:pt>
                <c:pt idx="789">
                  <c:v>44778</c:v>
                </c:pt>
                <c:pt idx="790">
                  <c:v>44777</c:v>
                </c:pt>
                <c:pt idx="791">
                  <c:v>44776</c:v>
                </c:pt>
                <c:pt idx="792">
                  <c:v>44775</c:v>
                </c:pt>
                <c:pt idx="793">
                  <c:v>44774</c:v>
                </c:pt>
                <c:pt idx="794">
                  <c:v>44771</c:v>
                </c:pt>
                <c:pt idx="795">
                  <c:v>44770</c:v>
                </c:pt>
                <c:pt idx="796">
                  <c:v>44769</c:v>
                </c:pt>
                <c:pt idx="797">
                  <c:v>44768</c:v>
                </c:pt>
                <c:pt idx="798">
                  <c:v>44767</c:v>
                </c:pt>
                <c:pt idx="799">
                  <c:v>44764</c:v>
                </c:pt>
                <c:pt idx="800">
                  <c:v>44763</c:v>
                </c:pt>
                <c:pt idx="801">
                  <c:v>44762</c:v>
                </c:pt>
                <c:pt idx="802">
                  <c:v>44761</c:v>
                </c:pt>
                <c:pt idx="803">
                  <c:v>44760</c:v>
                </c:pt>
                <c:pt idx="804">
                  <c:v>44757</c:v>
                </c:pt>
                <c:pt idx="805">
                  <c:v>44756</c:v>
                </c:pt>
                <c:pt idx="806">
                  <c:v>44755</c:v>
                </c:pt>
                <c:pt idx="807">
                  <c:v>44754</c:v>
                </c:pt>
                <c:pt idx="808">
                  <c:v>44753</c:v>
                </c:pt>
                <c:pt idx="809">
                  <c:v>44750</c:v>
                </c:pt>
                <c:pt idx="810">
                  <c:v>44749</c:v>
                </c:pt>
                <c:pt idx="811">
                  <c:v>44748</c:v>
                </c:pt>
                <c:pt idx="812">
                  <c:v>44747</c:v>
                </c:pt>
                <c:pt idx="813">
                  <c:v>44746</c:v>
                </c:pt>
                <c:pt idx="814">
                  <c:v>44743</c:v>
                </c:pt>
                <c:pt idx="815">
                  <c:v>44742</c:v>
                </c:pt>
                <c:pt idx="816">
                  <c:v>44741</c:v>
                </c:pt>
                <c:pt idx="817">
                  <c:v>44740</c:v>
                </c:pt>
                <c:pt idx="818">
                  <c:v>44739</c:v>
                </c:pt>
                <c:pt idx="819">
                  <c:v>44736</c:v>
                </c:pt>
                <c:pt idx="820">
                  <c:v>44735</c:v>
                </c:pt>
                <c:pt idx="821">
                  <c:v>44734</c:v>
                </c:pt>
                <c:pt idx="822">
                  <c:v>44733</c:v>
                </c:pt>
                <c:pt idx="823">
                  <c:v>44732</c:v>
                </c:pt>
                <c:pt idx="824">
                  <c:v>44729</c:v>
                </c:pt>
                <c:pt idx="825">
                  <c:v>44728</c:v>
                </c:pt>
                <c:pt idx="826">
                  <c:v>44727</c:v>
                </c:pt>
                <c:pt idx="827">
                  <c:v>44726</c:v>
                </c:pt>
                <c:pt idx="828">
                  <c:v>44725</c:v>
                </c:pt>
                <c:pt idx="829">
                  <c:v>44722</c:v>
                </c:pt>
                <c:pt idx="830">
                  <c:v>44721</c:v>
                </c:pt>
                <c:pt idx="831">
                  <c:v>44720</c:v>
                </c:pt>
                <c:pt idx="832">
                  <c:v>44719</c:v>
                </c:pt>
                <c:pt idx="833">
                  <c:v>44718</c:v>
                </c:pt>
                <c:pt idx="834">
                  <c:v>44715</c:v>
                </c:pt>
                <c:pt idx="835">
                  <c:v>44714</c:v>
                </c:pt>
                <c:pt idx="836">
                  <c:v>44713</c:v>
                </c:pt>
                <c:pt idx="837">
                  <c:v>44712</c:v>
                </c:pt>
                <c:pt idx="838">
                  <c:v>44711</c:v>
                </c:pt>
                <c:pt idx="839">
                  <c:v>44708</c:v>
                </c:pt>
                <c:pt idx="840">
                  <c:v>44707</c:v>
                </c:pt>
                <c:pt idx="841">
                  <c:v>44706</c:v>
                </c:pt>
                <c:pt idx="842">
                  <c:v>44705</c:v>
                </c:pt>
                <c:pt idx="843">
                  <c:v>44704</c:v>
                </c:pt>
                <c:pt idx="844">
                  <c:v>44701</c:v>
                </c:pt>
                <c:pt idx="845">
                  <c:v>44700</c:v>
                </c:pt>
                <c:pt idx="846">
                  <c:v>44699</c:v>
                </c:pt>
                <c:pt idx="847">
                  <c:v>44698</c:v>
                </c:pt>
                <c:pt idx="848">
                  <c:v>44697</c:v>
                </c:pt>
                <c:pt idx="849">
                  <c:v>44694</c:v>
                </c:pt>
                <c:pt idx="850">
                  <c:v>44693</c:v>
                </c:pt>
                <c:pt idx="851">
                  <c:v>44692</c:v>
                </c:pt>
                <c:pt idx="852">
                  <c:v>44691</c:v>
                </c:pt>
                <c:pt idx="853">
                  <c:v>44690</c:v>
                </c:pt>
                <c:pt idx="854">
                  <c:v>44687</c:v>
                </c:pt>
                <c:pt idx="855">
                  <c:v>44686</c:v>
                </c:pt>
                <c:pt idx="856">
                  <c:v>44685</c:v>
                </c:pt>
                <c:pt idx="857">
                  <c:v>44683</c:v>
                </c:pt>
                <c:pt idx="858">
                  <c:v>44680</c:v>
                </c:pt>
                <c:pt idx="859">
                  <c:v>44679</c:v>
                </c:pt>
                <c:pt idx="860">
                  <c:v>44678</c:v>
                </c:pt>
                <c:pt idx="861">
                  <c:v>44677</c:v>
                </c:pt>
                <c:pt idx="862">
                  <c:v>44676</c:v>
                </c:pt>
                <c:pt idx="863">
                  <c:v>44673</c:v>
                </c:pt>
                <c:pt idx="864">
                  <c:v>44672</c:v>
                </c:pt>
                <c:pt idx="865">
                  <c:v>44671</c:v>
                </c:pt>
                <c:pt idx="866">
                  <c:v>44670</c:v>
                </c:pt>
                <c:pt idx="867">
                  <c:v>44669</c:v>
                </c:pt>
                <c:pt idx="868">
                  <c:v>44664</c:v>
                </c:pt>
                <c:pt idx="869">
                  <c:v>44663</c:v>
                </c:pt>
                <c:pt idx="870">
                  <c:v>44662</c:v>
                </c:pt>
                <c:pt idx="871">
                  <c:v>44659</c:v>
                </c:pt>
                <c:pt idx="872">
                  <c:v>44658</c:v>
                </c:pt>
                <c:pt idx="873">
                  <c:v>44657</c:v>
                </c:pt>
                <c:pt idx="874">
                  <c:v>44656</c:v>
                </c:pt>
                <c:pt idx="875">
                  <c:v>44655</c:v>
                </c:pt>
                <c:pt idx="876">
                  <c:v>44652</c:v>
                </c:pt>
                <c:pt idx="877">
                  <c:v>44651</c:v>
                </c:pt>
                <c:pt idx="878">
                  <c:v>44650</c:v>
                </c:pt>
                <c:pt idx="879">
                  <c:v>44649</c:v>
                </c:pt>
                <c:pt idx="880">
                  <c:v>44648</c:v>
                </c:pt>
                <c:pt idx="881">
                  <c:v>44645</c:v>
                </c:pt>
                <c:pt idx="882">
                  <c:v>44644</c:v>
                </c:pt>
                <c:pt idx="883">
                  <c:v>44643</c:v>
                </c:pt>
                <c:pt idx="884">
                  <c:v>44642</c:v>
                </c:pt>
                <c:pt idx="885">
                  <c:v>44641</c:v>
                </c:pt>
                <c:pt idx="886">
                  <c:v>44637</c:v>
                </c:pt>
                <c:pt idx="887">
                  <c:v>44636</c:v>
                </c:pt>
                <c:pt idx="888">
                  <c:v>44635</c:v>
                </c:pt>
                <c:pt idx="889">
                  <c:v>44634</c:v>
                </c:pt>
                <c:pt idx="890">
                  <c:v>44631</c:v>
                </c:pt>
                <c:pt idx="891">
                  <c:v>44630</c:v>
                </c:pt>
                <c:pt idx="892">
                  <c:v>44629</c:v>
                </c:pt>
                <c:pt idx="893">
                  <c:v>44628</c:v>
                </c:pt>
                <c:pt idx="894">
                  <c:v>44627</c:v>
                </c:pt>
                <c:pt idx="895">
                  <c:v>44624</c:v>
                </c:pt>
                <c:pt idx="896">
                  <c:v>44623</c:v>
                </c:pt>
                <c:pt idx="897">
                  <c:v>44622</c:v>
                </c:pt>
                <c:pt idx="898">
                  <c:v>44620</c:v>
                </c:pt>
                <c:pt idx="899">
                  <c:v>44617</c:v>
                </c:pt>
                <c:pt idx="900">
                  <c:v>44616</c:v>
                </c:pt>
                <c:pt idx="901">
                  <c:v>44615</c:v>
                </c:pt>
                <c:pt idx="902">
                  <c:v>44614</c:v>
                </c:pt>
                <c:pt idx="903">
                  <c:v>44613</c:v>
                </c:pt>
                <c:pt idx="904">
                  <c:v>44610</c:v>
                </c:pt>
                <c:pt idx="905">
                  <c:v>44609</c:v>
                </c:pt>
                <c:pt idx="906">
                  <c:v>44608</c:v>
                </c:pt>
                <c:pt idx="907">
                  <c:v>44607</c:v>
                </c:pt>
                <c:pt idx="908">
                  <c:v>44606</c:v>
                </c:pt>
                <c:pt idx="909">
                  <c:v>44603</c:v>
                </c:pt>
                <c:pt idx="910">
                  <c:v>44602</c:v>
                </c:pt>
                <c:pt idx="911">
                  <c:v>44601</c:v>
                </c:pt>
                <c:pt idx="912">
                  <c:v>44600</c:v>
                </c:pt>
                <c:pt idx="913">
                  <c:v>44599</c:v>
                </c:pt>
                <c:pt idx="914">
                  <c:v>44596</c:v>
                </c:pt>
                <c:pt idx="915">
                  <c:v>44595</c:v>
                </c:pt>
                <c:pt idx="916">
                  <c:v>44594</c:v>
                </c:pt>
                <c:pt idx="917">
                  <c:v>44593</c:v>
                </c:pt>
                <c:pt idx="918">
                  <c:v>44592</c:v>
                </c:pt>
                <c:pt idx="919">
                  <c:v>44589</c:v>
                </c:pt>
                <c:pt idx="920">
                  <c:v>44588</c:v>
                </c:pt>
                <c:pt idx="921">
                  <c:v>44586</c:v>
                </c:pt>
                <c:pt idx="922">
                  <c:v>44585</c:v>
                </c:pt>
                <c:pt idx="923">
                  <c:v>44582</c:v>
                </c:pt>
                <c:pt idx="924">
                  <c:v>44581</c:v>
                </c:pt>
                <c:pt idx="925">
                  <c:v>44580</c:v>
                </c:pt>
                <c:pt idx="926">
                  <c:v>44579</c:v>
                </c:pt>
                <c:pt idx="927">
                  <c:v>44578</c:v>
                </c:pt>
                <c:pt idx="928">
                  <c:v>44575</c:v>
                </c:pt>
                <c:pt idx="929">
                  <c:v>44574</c:v>
                </c:pt>
                <c:pt idx="930">
                  <c:v>44573</c:v>
                </c:pt>
                <c:pt idx="931">
                  <c:v>44572</c:v>
                </c:pt>
                <c:pt idx="932">
                  <c:v>44571</c:v>
                </c:pt>
                <c:pt idx="933">
                  <c:v>44568</c:v>
                </c:pt>
                <c:pt idx="934">
                  <c:v>44567</c:v>
                </c:pt>
                <c:pt idx="935">
                  <c:v>44566</c:v>
                </c:pt>
                <c:pt idx="936">
                  <c:v>44565</c:v>
                </c:pt>
                <c:pt idx="937">
                  <c:v>44564</c:v>
                </c:pt>
                <c:pt idx="938">
                  <c:v>44561</c:v>
                </c:pt>
                <c:pt idx="939">
                  <c:v>44560</c:v>
                </c:pt>
                <c:pt idx="940">
                  <c:v>44559</c:v>
                </c:pt>
                <c:pt idx="941">
                  <c:v>44558</c:v>
                </c:pt>
                <c:pt idx="942">
                  <c:v>44557</c:v>
                </c:pt>
                <c:pt idx="943">
                  <c:v>44554</c:v>
                </c:pt>
                <c:pt idx="944">
                  <c:v>44553</c:v>
                </c:pt>
                <c:pt idx="945">
                  <c:v>44552</c:v>
                </c:pt>
                <c:pt idx="946">
                  <c:v>44551</c:v>
                </c:pt>
                <c:pt idx="947">
                  <c:v>44550</c:v>
                </c:pt>
                <c:pt idx="948">
                  <c:v>44547</c:v>
                </c:pt>
                <c:pt idx="949">
                  <c:v>44546</c:v>
                </c:pt>
                <c:pt idx="950">
                  <c:v>44545</c:v>
                </c:pt>
                <c:pt idx="951">
                  <c:v>44544</c:v>
                </c:pt>
                <c:pt idx="952">
                  <c:v>44543</c:v>
                </c:pt>
                <c:pt idx="953">
                  <c:v>44540</c:v>
                </c:pt>
                <c:pt idx="954">
                  <c:v>44539</c:v>
                </c:pt>
                <c:pt idx="955">
                  <c:v>44538</c:v>
                </c:pt>
                <c:pt idx="956">
                  <c:v>44537</c:v>
                </c:pt>
                <c:pt idx="957">
                  <c:v>44536</c:v>
                </c:pt>
                <c:pt idx="958">
                  <c:v>44533</c:v>
                </c:pt>
                <c:pt idx="959">
                  <c:v>44532</c:v>
                </c:pt>
                <c:pt idx="960">
                  <c:v>44531</c:v>
                </c:pt>
                <c:pt idx="961">
                  <c:v>44530</c:v>
                </c:pt>
                <c:pt idx="962">
                  <c:v>44529</c:v>
                </c:pt>
                <c:pt idx="963">
                  <c:v>44526</c:v>
                </c:pt>
                <c:pt idx="964">
                  <c:v>44525</c:v>
                </c:pt>
                <c:pt idx="965">
                  <c:v>44524</c:v>
                </c:pt>
                <c:pt idx="966">
                  <c:v>44523</c:v>
                </c:pt>
                <c:pt idx="967">
                  <c:v>44522</c:v>
                </c:pt>
                <c:pt idx="968">
                  <c:v>44518</c:v>
                </c:pt>
                <c:pt idx="969">
                  <c:v>44517</c:v>
                </c:pt>
                <c:pt idx="970">
                  <c:v>44516</c:v>
                </c:pt>
                <c:pt idx="971">
                  <c:v>44515</c:v>
                </c:pt>
                <c:pt idx="972">
                  <c:v>44512</c:v>
                </c:pt>
                <c:pt idx="973">
                  <c:v>44511</c:v>
                </c:pt>
                <c:pt idx="974">
                  <c:v>44510</c:v>
                </c:pt>
                <c:pt idx="975">
                  <c:v>44509</c:v>
                </c:pt>
                <c:pt idx="976">
                  <c:v>44508</c:v>
                </c:pt>
                <c:pt idx="977">
                  <c:v>44504</c:v>
                </c:pt>
                <c:pt idx="978">
                  <c:v>44503</c:v>
                </c:pt>
                <c:pt idx="979">
                  <c:v>44502</c:v>
                </c:pt>
                <c:pt idx="980">
                  <c:v>44501</c:v>
                </c:pt>
                <c:pt idx="981">
                  <c:v>44498</c:v>
                </c:pt>
                <c:pt idx="982">
                  <c:v>44497</c:v>
                </c:pt>
                <c:pt idx="983">
                  <c:v>44496</c:v>
                </c:pt>
                <c:pt idx="984">
                  <c:v>44495</c:v>
                </c:pt>
                <c:pt idx="985">
                  <c:v>44494</c:v>
                </c:pt>
                <c:pt idx="986">
                  <c:v>44491</c:v>
                </c:pt>
                <c:pt idx="987">
                  <c:v>44490</c:v>
                </c:pt>
                <c:pt idx="988">
                  <c:v>44489</c:v>
                </c:pt>
                <c:pt idx="989">
                  <c:v>44488</c:v>
                </c:pt>
                <c:pt idx="990">
                  <c:v>44487</c:v>
                </c:pt>
                <c:pt idx="991">
                  <c:v>44483</c:v>
                </c:pt>
                <c:pt idx="992">
                  <c:v>44482</c:v>
                </c:pt>
                <c:pt idx="993">
                  <c:v>44481</c:v>
                </c:pt>
                <c:pt idx="994">
                  <c:v>44480</c:v>
                </c:pt>
                <c:pt idx="995">
                  <c:v>44477</c:v>
                </c:pt>
                <c:pt idx="996">
                  <c:v>44476</c:v>
                </c:pt>
                <c:pt idx="997">
                  <c:v>44475</c:v>
                </c:pt>
                <c:pt idx="998">
                  <c:v>44474</c:v>
                </c:pt>
                <c:pt idx="999">
                  <c:v>44473</c:v>
                </c:pt>
                <c:pt idx="1000">
                  <c:v>44470</c:v>
                </c:pt>
                <c:pt idx="1001">
                  <c:v>44469</c:v>
                </c:pt>
                <c:pt idx="1002">
                  <c:v>44468</c:v>
                </c:pt>
                <c:pt idx="1003">
                  <c:v>44467</c:v>
                </c:pt>
                <c:pt idx="1004">
                  <c:v>44466</c:v>
                </c:pt>
                <c:pt idx="1005">
                  <c:v>44463</c:v>
                </c:pt>
                <c:pt idx="1006">
                  <c:v>44462</c:v>
                </c:pt>
                <c:pt idx="1007">
                  <c:v>44461</c:v>
                </c:pt>
                <c:pt idx="1008">
                  <c:v>44460</c:v>
                </c:pt>
                <c:pt idx="1009">
                  <c:v>44459</c:v>
                </c:pt>
                <c:pt idx="1010">
                  <c:v>44456</c:v>
                </c:pt>
                <c:pt idx="1011">
                  <c:v>44455</c:v>
                </c:pt>
                <c:pt idx="1012">
                  <c:v>44454</c:v>
                </c:pt>
                <c:pt idx="1013">
                  <c:v>44453</c:v>
                </c:pt>
                <c:pt idx="1014">
                  <c:v>44452</c:v>
                </c:pt>
                <c:pt idx="1015">
                  <c:v>44448</c:v>
                </c:pt>
                <c:pt idx="1016">
                  <c:v>44447</c:v>
                </c:pt>
                <c:pt idx="1017">
                  <c:v>44446</c:v>
                </c:pt>
                <c:pt idx="1018">
                  <c:v>44445</c:v>
                </c:pt>
                <c:pt idx="1019">
                  <c:v>44442</c:v>
                </c:pt>
                <c:pt idx="1020">
                  <c:v>44441</c:v>
                </c:pt>
                <c:pt idx="1021">
                  <c:v>44440</c:v>
                </c:pt>
                <c:pt idx="1022">
                  <c:v>44439</c:v>
                </c:pt>
                <c:pt idx="1023">
                  <c:v>44438</c:v>
                </c:pt>
                <c:pt idx="1024">
                  <c:v>44435</c:v>
                </c:pt>
                <c:pt idx="1025">
                  <c:v>44434</c:v>
                </c:pt>
                <c:pt idx="1026">
                  <c:v>44433</c:v>
                </c:pt>
                <c:pt idx="1027">
                  <c:v>44432</c:v>
                </c:pt>
                <c:pt idx="1028">
                  <c:v>44431</c:v>
                </c:pt>
                <c:pt idx="1029">
                  <c:v>44428</c:v>
                </c:pt>
                <c:pt idx="1030">
                  <c:v>44426</c:v>
                </c:pt>
                <c:pt idx="1031">
                  <c:v>44425</c:v>
                </c:pt>
                <c:pt idx="1032">
                  <c:v>44424</c:v>
                </c:pt>
                <c:pt idx="1033">
                  <c:v>44421</c:v>
                </c:pt>
                <c:pt idx="1034">
                  <c:v>44420</c:v>
                </c:pt>
                <c:pt idx="1035">
                  <c:v>44419</c:v>
                </c:pt>
                <c:pt idx="1036">
                  <c:v>44418</c:v>
                </c:pt>
                <c:pt idx="1037">
                  <c:v>44417</c:v>
                </c:pt>
                <c:pt idx="1038">
                  <c:v>44414</c:v>
                </c:pt>
                <c:pt idx="1039">
                  <c:v>44413</c:v>
                </c:pt>
                <c:pt idx="1040">
                  <c:v>44412</c:v>
                </c:pt>
                <c:pt idx="1041">
                  <c:v>44411</c:v>
                </c:pt>
                <c:pt idx="1042">
                  <c:v>44410</c:v>
                </c:pt>
                <c:pt idx="1043">
                  <c:v>44407</c:v>
                </c:pt>
                <c:pt idx="1044">
                  <c:v>44406</c:v>
                </c:pt>
                <c:pt idx="1045">
                  <c:v>44405</c:v>
                </c:pt>
                <c:pt idx="1046">
                  <c:v>44404</c:v>
                </c:pt>
                <c:pt idx="1047">
                  <c:v>44403</c:v>
                </c:pt>
                <c:pt idx="1048">
                  <c:v>44400</c:v>
                </c:pt>
                <c:pt idx="1049">
                  <c:v>44399</c:v>
                </c:pt>
                <c:pt idx="1050">
                  <c:v>44397</c:v>
                </c:pt>
                <c:pt idx="1051">
                  <c:v>44396</c:v>
                </c:pt>
                <c:pt idx="1052">
                  <c:v>44393</c:v>
                </c:pt>
                <c:pt idx="1053">
                  <c:v>44392</c:v>
                </c:pt>
                <c:pt idx="1054">
                  <c:v>44391</c:v>
                </c:pt>
                <c:pt idx="1055">
                  <c:v>44390</c:v>
                </c:pt>
                <c:pt idx="1056">
                  <c:v>44389</c:v>
                </c:pt>
                <c:pt idx="1057">
                  <c:v>44386</c:v>
                </c:pt>
                <c:pt idx="1058">
                  <c:v>44385</c:v>
                </c:pt>
                <c:pt idx="1059">
                  <c:v>44384</c:v>
                </c:pt>
                <c:pt idx="1060">
                  <c:v>44383</c:v>
                </c:pt>
                <c:pt idx="1061">
                  <c:v>44382</c:v>
                </c:pt>
                <c:pt idx="1062">
                  <c:v>44379</c:v>
                </c:pt>
                <c:pt idx="1063">
                  <c:v>44378</c:v>
                </c:pt>
                <c:pt idx="1064">
                  <c:v>44377</c:v>
                </c:pt>
                <c:pt idx="1065">
                  <c:v>44376</c:v>
                </c:pt>
                <c:pt idx="1066">
                  <c:v>44375</c:v>
                </c:pt>
                <c:pt idx="1067">
                  <c:v>44372</c:v>
                </c:pt>
                <c:pt idx="1068">
                  <c:v>44371</c:v>
                </c:pt>
                <c:pt idx="1069">
                  <c:v>44370</c:v>
                </c:pt>
                <c:pt idx="1070">
                  <c:v>44369</c:v>
                </c:pt>
                <c:pt idx="1071">
                  <c:v>44368</c:v>
                </c:pt>
                <c:pt idx="1072">
                  <c:v>44365</c:v>
                </c:pt>
                <c:pt idx="1073">
                  <c:v>44364</c:v>
                </c:pt>
                <c:pt idx="1074">
                  <c:v>44363</c:v>
                </c:pt>
                <c:pt idx="1075">
                  <c:v>44362</c:v>
                </c:pt>
                <c:pt idx="1076">
                  <c:v>44361</c:v>
                </c:pt>
                <c:pt idx="1077">
                  <c:v>44358</c:v>
                </c:pt>
                <c:pt idx="1078">
                  <c:v>44357</c:v>
                </c:pt>
                <c:pt idx="1079">
                  <c:v>44356</c:v>
                </c:pt>
                <c:pt idx="1080">
                  <c:v>44355</c:v>
                </c:pt>
                <c:pt idx="1081">
                  <c:v>44354</c:v>
                </c:pt>
                <c:pt idx="1082">
                  <c:v>44351</c:v>
                </c:pt>
                <c:pt idx="1083">
                  <c:v>44350</c:v>
                </c:pt>
                <c:pt idx="1084">
                  <c:v>44349</c:v>
                </c:pt>
                <c:pt idx="1085">
                  <c:v>44348</c:v>
                </c:pt>
                <c:pt idx="1086">
                  <c:v>44347</c:v>
                </c:pt>
                <c:pt idx="1087">
                  <c:v>44344</c:v>
                </c:pt>
                <c:pt idx="1088">
                  <c:v>44343</c:v>
                </c:pt>
                <c:pt idx="1089">
                  <c:v>44342</c:v>
                </c:pt>
                <c:pt idx="1090">
                  <c:v>44341</c:v>
                </c:pt>
                <c:pt idx="1091">
                  <c:v>44340</c:v>
                </c:pt>
                <c:pt idx="1092">
                  <c:v>44337</c:v>
                </c:pt>
                <c:pt idx="1093">
                  <c:v>44336</c:v>
                </c:pt>
                <c:pt idx="1094">
                  <c:v>44335</c:v>
                </c:pt>
                <c:pt idx="1095">
                  <c:v>44334</c:v>
                </c:pt>
                <c:pt idx="1096">
                  <c:v>44333</c:v>
                </c:pt>
                <c:pt idx="1097">
                  <c:v>44330</c:v>
                </c:pt>
                <c:pt idx="1098">
                  <c:v>44328</c:v>
                </c:pt>
                <c:pt idx="1099">
                  <c:v>44327</c:v>
                </c:pt>
                <c:pt idx="1100">
                  <c:v>44326</c:v>
                </c:pt>
                <c:pt idx="1101">
                  <c:v>44323</c:v>
                </c:pt>
                <c:pt idx="1102">
                  <c:v>44322</c:v>
                </c:pt>
                <c:pt idx="1103">
                  <c:v>44321</c:v>
                </c:pt>
                <c:pt idx="1104">
                  <c:v>44320</c:v>
                </c:pt>
                <c:pt idx="1105">
                  <c:v>44319</c:v>
                </c:pt>
                <c:pt idx="1106">
                  <c:v>44316</c:v>
                </c:pt>
                <c:pt idx="1107">
                  <c:v>44315</c:v>
                </c:pt>
                <c:pt idx="1108">
                  <c:v>44314</c:v>
                </c:pt>
                <c:pt idx="1109">
                  <c:v>44313</c:v>
                </c:pt>
                <c:pt idx="1110">
                  <c:v>44312</c:v>
                </c:pt>
                <c:pt idx="1111">
                  <c:v>44309</c:v>
                </c:pt>
                <c:pt idx="1112">
                  <c:v>44308</c:v>
                </c:pt>
                <c:pt idx="1113">
                  <c:v>44306</c:v>
                </c:pt>
                <c:pt idx="1114">
                  <c:v>44305</c:v>
                </c:pt>
                <c:pt idx="1115">
                  <c:v>44302</c:v>
                </c:pt>
                <c:pt idx="1116">
                  <c:v>44301</c:v>
                </c:pt>
                <c:pt idx="1117">
                  <c:v>44299</c:v>
                </c:pt>
                <c:pt idx="1118">
                  <c:v>44298</c:v>
                </c:pt>
                <c:pt idx="1119">
                  <c:v>44295</c:v>
                </c:pt>
                <c:pt idx="1120">
                  <c:v>44294</c:v>
                </c:pt>
                <c:pt idx="1121">
                  <c:v>44293</c:v>
                </c:pt>
                <c:pt idx="1122">
                  <c:v>44292</c:v>
                </c:pt>
                <c:pt idx="1123">
                  <c:v>44291</c:v>
                </c:pt>
                <c:pt idx="1124">
                  <c:v>44287</c:v>
                </c:pt>
                <c:pt idx="1125">
                  <c:v>44286</c:v>
                </c:pt>
                <c:pt idx="1126">
                  <c:v>44285</c:v>
                </c:pt>
                <c:pt idx="1127">
                  <c:v>44281</c:v>
                </c:pt>
                <c:pt idx="1128">
                  <c:v>44280</c:v>
                </c:pt>
                <c:pt idx="1129">
                  <c:v>44279</c:v>
                </c:pt>
                <c:pt idx="1130">
                  <c:v>44278</c:v>
                </c:pt>
                <c:pt idx="1131">
                  <c:v>44277</c:v>
                </c:pt>
                <c:pt idx="1132">
                  <c:v>44274</c:v>
                </c:pt>
                <c:pt idx="1133">
                  <c:v>44273</c:v>
                </c:pt>
                <c:pt idx="1134">
                  <c:v>44272</c:v>
                </c:pt>
                <c:pt idx="1135">
                  <c:v>44271</c:v>
                </c:pt>
                <c:pt idx="1136">
                  <c:v>44270</c:v>
                </c:pt>
                <c:pt idx="1137">
                  <c:v>44267</c:v>
                </c:pt>
                <c:pt idx="1138">
                  <c:v>44265</c:v>
                </c:pt>
                <c:pt idx="1139">
                  <c:v>44264</c:v>
                </c:pt>
                <c:pt idx="1140">
                  <c:v>44263</c:v>
                </c:pt>
                <c:pt idx="1141">
                  <c:v>44260</c:v>
                </c:pt>
                <c:pt idx="1142">
                  <c:v>44259</c:v>
                </c:pt>
                <c:pt idx="1143">
                  <c:v>44258</c:v>
                </c:pt>
                <c:pt idx="1144">
                  <c:v>44257</c:v>
                </c:pt>
                <c:pt idx="1145">
                  <c:v>44256</c:v>
                </c:pt>
                <c:pt idx="1146">
                  <c:v>44253</c:v>
                </c:pt>
                <c:pt idx="1147">
                  <c:v>44252</c:v>
                </c:pt>
                <c:pt idx="1148">
                  <c:v>44251</c:v>
                </c:pt>
                <c:pt idx="1149">
                  <c:v>44250</c:v>
                </c:pt>
                <c:pt idx="1150">
                  <c:v>44249</c:v>
                </c:pt>
                <c:pt idx="1151">
                  <c:v>44246</c:v>
                </c:pt>
                <c:pt idx="1152">
                  <c:v>44245</c:v>
                </c:pt>
                <c:pt idx="1153">
                  <c:v>44244</c:v>
                </c:pt>
                <c:pt idx="1154">
                  <c:v>44243</c:v>
                </c:pt>
                <c:pt idx="1155">
                  <c:v>44242</c:v>
                </c:pt>
                <c:pt idx="1156">
                  <c:v>44239</c:v>
                </c:pt>
                <c:pt idx="1157">
                  <c:v>44238</c:v>
                </c:pt>
                <c:pt idx="1158">
                  <c:v>44237</c:v>
                </c:pt>
                <c:pt idx="1159">
                  <c:v>44236</c:v>
                </c:pt>
                <c:pt idx="1160">
                  <c:v>44235</c:v>
                </c:pt>
                <c:pt idx="1161">
                  <c:v>44232</c:v>
                </c:pt>
                <c:pt idx="1162">
                  <c:v>44231</c:v>
                </c:pt>
                <c:pt idx="1163">
                  <c:v>44230</c:v>
                </c:pt>
                <c:pt idx="1164">
                  <c:v>44229</c:v>
                </c:pt>
                <c:pt idx="1165">
                  <c:v>44228</c:v>
                </c:pt>
                <c:pt idx="1166">
                  <c:v>44225</c:v>
                </c:pt>
                <c:pt idx="1167">
                  <c:v>44224</c:v>
                </c:pt>
                <c:pt idx="1168">
                  <c:v>44223</c:v>
                </c:pt>
                <c:pt idx="1169">
                  <c:v>44221</c:v>
                </c:pt>
                <c:pt idx="1170">
                  <c:v>44218</c:v>
                </c:pt>
                <c:pt idx="1171">
                  <c:v>44217</c:v>
                </c:pt>
                <c:pt idx="1172">
                  <c:v>44216</c:v>
                </c:pt>
                <c:pt idx="1173">
                  <c:v>44215</c:v>
                </c:pt>
                <c:pt idx="1174">
                  <c:v>44214</c:v>
                </c:pt>
                <c:pt idx="1175">
                  <c:v>44211</c:v>
                </c:pt>
                <c:pt idx="1176">
                  <c:v>44210</c:v>
                </c:pt>
                <c:pt idx="1177">
                  <c:v>44209</c:v>
                </c:pt>
                <c:pt idx="1178">
                  <c:v>44208</c:v>
                </c:pt>
                <c:pt idx="1179">
                  <c:v>44207</c:v>
                </c:pt>
                <c:pt idx="1180">
                  <c:v>44204</c:v>
                </c:pt>
                <c:pt idx="1181">
                  <c:v>44203</c:v>
                </c:pt>
                <c:pt idx="1182">
                  <c:v>44202</c:v>
                </c:pt>
                <c:pt idx="1183">
                  <c:v>44201</c:v>
                </c:pt>
                <c:pt idx="1184">
                  <c:v>44200</c:v>
                </c:pt>
                <c:pt idx="1185">
                  <c:v>44197</c:v>
                </c:pt>
                <c:pt idx="1186">
                  <c:v>44196</c:v>
                </c:pt>
                <c:pt idx="1187">
                  <c:v>44195</c:v>
                </c:pt>
                <c:pt idx="1188">
                  <c:v>44194</c:v>
                </c:pt>
                <c:pt idx="1189">
                  <c:v>44193</c:v>
                </c:pt>
                <c:pt idx="1190">
                  <c:v>44189</c:v>
                </c:pt>
                <c:pt idx="1191">
                  <c:v>44188</c:v>
                </c:pt>
                <c:pt idx="1192">
                  <c:v>44187</c:v>
                </c:pt>
                <c:pt idx="1193">
                  <c:v>44186</c:v>
                </c:pt>
                <c:pt idx="1194">
                  <c:v>44183</c:v>
                </c:pt>
                <c:pt idx="1195">
                  <c:v>44182</c:v>
                </c:pt>
                <c:pt idx="1196">
                  <c:v>44181</c:v>
                </c:pt>
                <c:pt idx="1197">
                  <c:v>44180</c:v>
                </c:pt>
                <c:pt idx="1198">
                  <c:v>44179</c:v>
                </c:pt>
                <c:pt idx="1199">
                  <c:v>44176</c:v>
                </c:pt>
                <c:pt idx="1200">
                  <c:v>44175</c:v>
                </c:pt>
                <c:pt idx="1201">
                  <c:v>44174</c:v>
                </c:pt>
                <c:pt idx="1202">
                  <c:v>44173</c:v>
                </c:pt>
                <c:pt idx="1203">
                  <c:v>44172</c:v>
                </c:pt>
                <c:pt idx="1204">
                  <c:v>44169</c:v>
                </c:pt>
                <c:pt idx="1205">
                  <c:v>44168</c:v>
                </c:pt>
                <c:pt idx="1206">
                  <c:v>44167</c:v>
                </c:pt>
                <c:pt idx="1207">
                  <c:v>44166</c:v>
                </c:pt>
                <c:pt idx="1208">
                  <c:v>44162</c:v>
                </c:pt>
                <c:pt idx="1209">
                  <c:v>44161</c:v>
                </c:pt>
                <c:pt idx="1210">
                  <c:v>44160</c:v>
                </c:pt>
                <c:pt idx="1211">
                  <c:v>44159</c:v>
                </c:pt>
                <c:pt idx="1212">
                  <c:v>44158</c:v>
                </c:pt>
                <c:pt idx="1213">
                  <c:v>44155</c:v>
                </c:pt>
                <c:pt idx="1214">
                  <c:v>44154</c:v>
                </c:pt>
                <c:pt idx="1215">
                  <c:v>44153</c:v>
                </c:pt>
                <c:pt idx="1216">
                  <c:v>44152</c:v>
                </c:pt>
                <c:pt idx="1217">
                  <c:v>44149</c:v>
                </c:pt>
                <c:pt idx="1218">
                  <c:v>44148</c:v>
                </c:pt>
                <c:pt idx="1219">
                  <c:v>44147</c:v>
                </c:pt>
                <c:pt idx="1220">
                  <c:v>44146</c:v>
                </c:pt>
                <c:pt idx="1221">
                  <c:v>44145</c:v>
                </c:pt>
                <c:pt idx="1222">
                  <c:v>44144</c:v>
                </c:pt>
                <c:pt idx="1223">
                  <c:v>44141</c:v>
                </c:pt>
                <c:pt idx="1224">
                  <c:v>44140</c:v>
                </c:pt>
                <c:pt idx="1225">
                  <c:v>44139</c:v>
                </c:pt>
                <c:pt idx="1226">
                  <c:v>44138</c:v>
                </c:pt>
                <c:pt idx="1227">
                  <c:v>44137</c:v>
                </c:pt>
                <c:pt idx="1228">
                  <c:v>44134</c:v>
                </c:pt>
                <c:pt idx="1229">
                  <c:v>44133</c:v>
                </c:pt>
                <c:pt idx="1230">
                  <c:v>44132</c:v>
                </c:pt>
                <c:pt idx="1231">
                  <c:v>44131</c:v>
                </c:pt>
                <c:pt idx="1232">
                  <c:v>44130</c:v>
                </c:pt>
                <c:pt idx="1233">
                  <c:v>44127</c:v>
                </c:pt>
                <c:pt idx="1234">
                  <c:v>44126</c:v>
                </c:pt>
                <c:pt idx="1235">
                  <c:v>44125</c:v>
                </c:pt>
                <c:pt idx="1236">
                  <c:v>44124</c:v>
                </c:pt>
                <c:pt idx="1237">
                  <c:v>44123</c:v>
                </c:pt>
                <c:pt idx="1238">
                  <c:v>44120</c:v>
                </c:pt>
                <c:pt idx="1239">
                  <c:v>44119</c:v>
                </c:pt>
                <c:pt idx="1240">
                  <c:v>44118</c:v>
                </c:pt>
                <c:pt idx="1241">
                  <c:v>44117</c:v>
                </c:pt>
              </c:numCache>
            </c:numRef>
          </c:cat>
          <c:val>
            <c:numRef>
              <c:f>'TVS Comparison'!$M$3:$M$1244</c:f>
              <c:numCache>
                <c:formatCode>0%</c:formatCode>
                <c:ptCount val="1242"/>
                <c:pt idx="0">
                  <c:v>0.67408214140097011</c:v>
                </c:pt>
                <c:pt idx="1">
                  <c:v>0.67838379918535119</c:v>
                </c:pt>
                <c:pt idx="2">
                  <c:v>0.6764347758511432</c:v>
                </c:pt>
                <c:pt idx="3">
                  <c:v>0.68015954643990628</c:v>
                </c:pt>
                <c:pt idx="4">
                  <c:v>0.6850449176911102</c:v>
                </c:pt>
                <c:pt idx="5">
                  <c:v>0.6818786455694662</c:v>
                </c:pt>
                <c:pt idx="6">
                  <c:v>0.67673678141588334</c:v>
                </c:pt>
                <c:pt idx="7">
                  <c:v>0.68651986004002186</c:v>
                </c:pt>
                <c:pt idx="8">
                  <c:v>0.68595457763032419</c:v>
                </c:pt>
                <c:pt idx="9">
                  <c:v>0.68367603503514363</c:v>
                </c:pt>
                <c:pt idx="10">
                  <c:v>0.68455547556946739</c:v>
                </c:pt>
                <c:pt idx="11">
                  <c:v>0.67738931585936468</c:v>
                </c:pt>
                <c:pt idx="12">
                  <c:v>0.68171339324253211</c:v>
                </c:pt>
                <c:pt idx="13">
                  <c:v>0.68452807634284829</c:v>
                </c:pt>
                <c:pt idx="14">
                  <c:v>0.67701231863995681</c:v>
                </c:pt>
                <c:pt idx="15">
                  <c:v>0.67725707625356057</c:v>
                </c:pt>
                <c:pt idx="16">
                  <c:v>0.68185379327217999</c:v>
                </c:pt>
                <c:pt idx="17">
                  <c:v>0.67754283408171911</c:v>
                </c:pt>
                <c:pt idx="18">
                  <c:v>0.67784062797102251</c:v>
                </c:pt>
                <c:pt idx="19">
                  <c:v>0.67592953458455063</c:v>
                </c:pt>
                <c:pt idx="20">
                  <c:v>0.67758292546542442</c:v>
                </c:pt>
                <c:pt idx="21">
                  <c:v>0.68541809222016736</c:v>
                </c:pt>
                <c:pt idx="22">
                  <c:v>0.67844291238268872</c:v>
                </c:pt>
                <c:pt idx="23">
                  <c:v>0.69328090734862169</c:v>
                </c:pt>
                <c:pt idx="24">
                  <c:v>0.69421041193025024</c:v>
                </c:pt>
                <c:pt idx="25">
                  <c:v>0.70316109508913982</c:v>
                </c:pt>
                <c:pt idx="26">
                  <c:v>0.69836942324307361</c:v>
                </c:pt>
                <c:pt idx="27">
                  <c:v>0.6965004728881421</c:v>
                </c:pt>
                <c:pt idx="28">
                  <c:v>0.69035832969865529</c:v>
                </c:pt>
                <c:pt idx="29">
                  <c:v>0.69046140752750362</c:v>
                </c:pt>
                <c:pt idx="30">
                  <c:v>0.69054749544069738</c:v>
                </c:pt>
                <c:pt idx="31">
                  <c:v>0.69504088833402466</c:v>
                </c:pt>
                <c:pt idx="32">
                  <c:v>0.69246380996908963</c:v>
                </c:pt>
                <c:pt idx="33">
                  <c:v>0.68973001895925479</c:v>
                </c:pt>
                <c:pt idx="34">
                  <c:v>0.68963364369720459</c:v>
                </c:pt>
                <c:pt idx="35">
                  <c:v>0.68566909975773704</c:v>
                </c:pt>
                <c:pt idx="36">
                  <c:v>0.67952958456632495</c:v>
                </c:pt>
                <c:pt idx="37">
                  <c:v>0.67688384240195343</c:v>
                </c:pt>
                <c:pt idx="38">
                  <c:v>0.67680868490147117</c:v>
                </c:pt>
                <c:pt idx="39">
                  <c:v>0.67523139758629835</c:v>
                </c:pt>
                <c:pt idx="40">
                  <c:v>0.67285522463167657</c:v>
                </c:pt>
                <c:pt idx="41">
                  <c:v>0.68144207324169781</c:v>
                </c:pt>
                <c:pt idx="42">
                  <c:v>0.68221217217421937</c:v>
                </c:pt>
                <c:pt idx="43">
                  <c:v>0.67841051287657217</c:v>
                </c:pt>
                <c:pt idx="44">
                  <c:v>0.68016945728173872</c:v>
                </c:pt>
                <c:pt idx="45">
                  <c:v>0.66912696122630111</c:v>
                </c:pt>
                <c:pt idx="46">
                  <c:v>0.66510738146988047</c:v>
                </c:pt>
                <c:pt idx="47">
                  <c:v>0.65406788677956662</c:v>
                </c:pt>
                <c:pt idx="48">
                  <c:v>0.65441816821627552</c:v>
                </c:pt>
                <c:pt idx="49">
                  <c:v>0.65386860822225412</c:v>
                </c:pt>
                <c:pt idx="50">
                  <c:v>0.64676320183448988</c:v>
                </c:pt>
                <c:pt idx="51">
                  <c:v>0.65035281286989721</c:v>
                </c:pt>
                <c:pt idx="52">
                  <c:v>0.64894597403951115</c:v>
                </c:pt>
                <c:pt idx="53">
                  <c:v>0.63519905179080505</c:v>
                </c:pt>
                <c:pt idx="54">
                  <c:v>0.6271651201969739</c:v>
                </c:pt>
                <c:pt idx="55">
                  <c:v>0.6255556037649781</c:v>
                </c:pt>
                <c:pt idx="56">
                  <c:v>0.63229820305257189</c:v>
                </c:pt>
                <c:pt idx="57">
                  <c:v>0.63982914567492266</c:v>
                </c:pt>
                <c:pt idx="58">
                  <c:v>0.63461678968788737</c:v>
                </c:pt>
                <c:pt idx="59">
                  <c:v>0.64524446342380015</c:v>
                </c:pt>
                <c:pt idx="60">
                  <c:v>0.64857709555876386</c:v>
                </c:pt>
                <c:pt idx="61">
                  <c:v>0.64369358485636674</c:v>
                </c:pt>
                <c:pt idx="62">
                  <c:v>0.65183516495446214</c:v>
                </c:pt>
                <c:pt idx="63">
                  <c:v>0.65361599328192543</c:v>
                </c:pt>
                <c:pt idx="64">
                  <c:v>0.67220602180349864</c:v>
                </c:pt>
                <c:pt idx="65">
                  <c:v>0.67190151421640598</c:v>
                </c:pt>
                <c:pt idx="66">
                  <c:v>0.67034792750485983</c:v>
                </c:pt>
                <c:pt idx="67">
                  <c:v>0.67717182444549451</c:v>
                </c:pt>
                <c:pt idx="68">
                  <c:v>0.67741340827777141</c:v>
                </c:pt>
                <c:pt idx="69">
                  <c:v>0.67944117128582038</c:v>
                </c:pt>
                <c:pt idx="70">
                  <c:v>0.6775711930890973</c:v>
                </c:pt>
                <c:pt idx="71">
                  <c:v>0.67669016588392639</c:v>
                </c:pt>
                <c:pt idx="72">
                  <c:v>0.68159883690633205</c:v>
                </c:pt>
                <c:pt idx="73">
                  <c:v>0.68136335611480026</c:v>
                </c:pt>
                <c:pt idx="74">
                  <c:v>0.68262756923264978</c:v>
                </c:pt>
                <c:pt idx="75">
                  <c:v>0.6811829768856138</c:v>
                </c:pt>
                <c:pt idx="76">
                  <c:v>0.6770286329706503</c:v>
                </c:pt>
                <c:pt idx="77">
                  <c:v>0.67313624650826287</c:v>
                </c:pt>
                <c:pt idx="78">
                  <c:v>0.66902659233352224</c:v>
                </c:pt>
                <c:pt idx="79">
                  <c:v>0.67864855561885185</c:v>
                </c:pt>
                <c:pt idx="80">
                  <c:v>0.67811868790738328</c:v>
                </c:pt>
                <c:pt idx="81">
                  <c:v>0.66805319329547652</c:v>
                </c:pt>
                <c:pt idx="82">
                  <c:v>0.66614276253800586</c:v>
                </c:pt>
                <c:pt idx="83">
                  <c:v>0.6584059024011244</c:v>
                </c:pt>
                <c:pt idx="84">
                  <c:v>0.65223076394532198</c:v>
                </c:pt>
                <c:pt idx="85">
                  <c:v>0.65277779725919249</c:v>
                </c:pt>
                <c:pt idx="86">
                  <c:v>0.64923254362190419</c:v>
                </c:pt>
                <c:pt idx="87">
                  <c:v>0.64945635619835262</c:v>
                </c:pt>
                <c:pt idx="88">
                  <c:v>0.64883628783356473</c:v>
                </c:pt>
                <c:pt idx="89">
                  <c:v>0.65342539984018799</c:v>
                </c:pt>
                <c:pt idx="90">
                  <c:v>0.65402663369255742</c:v>
                </c:pt>
                <c:pt idx="91">
                  <c:v>0.64271231520424621</c:v>
                </c:pt>
                <c:pt idx="92">
                  <c:v>0.63967997721137926</c:v>
                </c:pt>
                <c:pt idx="93">
                  <c:v>0.63887243701130592</c:v>
                </c:pt>
                <c:pt idx="94">
                  <c:v>0.64681459689799281</c:v>
                </c:pt>
                <c:pt idx="95">
                  <c:v>0.64874531840488803</c:v>
                </c:pt>
                <c:pt idx="96">
                  <c:v>0.64676616305240064</c:v>
                </c:pt>
                <c:pt idx="97">
                  <c:v>0.64893579048385663</c:v>
                </c:pt>
                <c:pt idx="98">
                  <c:v>0.6599988159457939</c:v>
                </c:pt>
                <c:pt idx="99">
                  <c:v>0.66277852776265656</c:v>
                </c:pt>
                <c:pt idx="100">
                  <c:v>0.64799239963070243</c:v>
                </c:pt>
                <c:pt idx="101">
                  <c:v>0.64572582156530833</c:v>
                </c:pt>
                <c:pt idx="102">
                  <c:v>0.65468954645338795</c:v>
                </c:pt>
                <c:pt idx="103">
                  <c:v>0.66711632286785572</c:v>
                </c:pt>
                <c:pt idx="104">
                  <c:v>0.6675439994637159</c:v>
                </c:pt>
                <c:pt idx="105">
                  <c:v>0.66762411805733679</c:v>
                </c:pt>
                <c:pt idx="106">
                  <c:v>0.70562436886328417</c:v>
                </c:pt>
                <c:pt idx="107">
                  <c:v>0.71107290302855519</c:v>
                </c:pt>
                <c:pt idx="108">
                  <c:v>0.71608775452493434</c:v>
                </c:pt>
                <c:pt idx="109">
                  <c:v>0.71646023137925829</c:v>
                </c:pt>
                <c:pt idx="110">
                  <c:v>0.72110687301981646</c:v>
                </c:pt>
                <c:pt idx="111">
                  <c:v>0.72019031579433301</c:v>
                </c:pt>
                <c:pt idx="112">
                  <c:v>0.72046907106916447</c:v>
                </c:pt>
                <c:pt idx="113">
                  <c:v>0.71619797616274217</c:v>
                </c:pt>
                <c:pt idx="114">
                  <c:v>0.71110562191405235</c:v>
                </c:pt>
                <c:pt idx="115">
                  <c:v>0.7059669614236217</c:v>
                </c:pt>
                <c:pt idx="116">
                  <c:v>0.71622436118066224</c:v>
                </c:pt>
                <c:pt idx="117">
                  <c:v>0.71012351334904134</c:v>
                </c:pt>
                <c:pt idx="118">
                  <c:v>0.70765755577390421</c:v>
                </c:pt>
                <c:pt idx="119">
                  <c:v>0.715981584554503</c:v>
                </c:pt>
                <c:pt idx="120">
                  <c:v>0.71635215432337496</c:v>
                </c:pt>
                <c:pt idx="121">
                  <c:v>0.72136959378898591</c:v>
                </c:pt>
                <c:pt idx="122">
                  <c:v>0.71505473956098475</c:v>
                </c:pt>
                <c:pt idx="123">
                  <c:v>0.71147633071907679</c:v>
                </c:pt>
                <c:pt idx="124">
                  <c:v>0.70501431649030633</c:v>
                </c:pt>
                <c:pt idx="125">
                  <c:v>0.69729875928145391</c:v>
                </c:pt>
                <c:pt idx="126">
                  <c:v>0.72376992244657823</c:v>
                </c:pt>
                <c:pt idx="127">
                  <c:v>0.72173557494331952</c:v>
                </c:pt>
                <c:pt idx="128">
                  <c:v>0.70994183280425038</c:v>
                </c:pt>
                <c:pt idx="129">
                  <c:v>0.7099539154697504</c:v>
                </c:pt>
                <c:pt idx="130">
                  <c:v>0.70199042137009249</c:v>
                </c:pt>
                <c:pt idx="131">
                  <c:v>0.70234513340943117</c:v>
                </c:pt>
                <c:pt idx="132">
                  <c:v>0.69977570156888669</c:v>
                </c:pt>
                <c:pt idx="133">
                  <c:v>0.69916749222427166</c:v>
                </c:pt>
                <c:pt idx="134">
                  <c:v>0.69503026050470917</c:v>
                </c:pt>
                <c:pt idx="135">
                  <c:v>0.69033366893393899</c:v>
                </c:pt>
                <c:pt idx="136">
                  <c:v>0.68698047714585053</c:v>
                </c:pt>
                <c:pt idx="137">
                  <c:v>0.68965983842386824</c:v>
                </c:pt>
                <c:pt idx="138">
                  <c:v>0.69112901912412306</c:v>
                </c:pt>
                <c:pt idx="139">
                  <c:v>0.69137046388626533</c:v>
                </c:pt>
                <c:pt idx="140">
                  <c:v>0.68735045138549888</c:v>
                </c:pt>
                <c:pt idx="141">
                  <c:v>0.68806501119046271</c:v>
                </c:pt>
                <c:pt idx="142">
                  <c:v>0.69025748814749188</c:v>
                </c:pt>
                <c:pt idx="143">
                  <c:v>0.68590892456871422</c:v>
                </c:pt>
                <c:pt idx="144">
                  <c:v>0.68397885625133137</c:v>
                </c:pt>
                <c:pt idx="145">
                  <c:v>0.68842185704673753</c:v>
                </c:pt>
                <c:pt idx="146">
                  <c:v>0.68388328133975784</c:v>
                </c:pt>
                <c:pt idx="147">
                  <c:v>0.69000554206577469</c:v>
                </c:pt>
                <c:pt idx="148">
                  <c:v>0.68678835070962507</c:v>
                </c:pt>
                <c:pt idx="149">
                  <c:v>0.69177272150174196</c:v>
                </c:pt>
                <c:pt idx="150">
                  <c:v>0.69956873318527457</c:v>
                </c:pt>
                <c:pt idx="151">
                  <c:v>0.70368783340098962</c:v>
                </c:pt>
                <c:pt idx="152">
                  <c:v>0.68928084349201679</c:v>
                </c:pt>
                <c:pt idx="153">
                  <c:v>0.7018043358592756</c:v>
                </c:pt>
                <c:pt idx="154">
                  <c:v>0.69865575436820948</c:v>
                </c:pt>
                <c:pt idx="155">
                  <c:v>0.6973530328912565</c:v>
                </c:pt>
                <c:pt idx="156">
                  <c:v>0.68985594402973804</c:v>
                </c:pt>
                <c:pt idx="157">
                  <c:v>0.70042467208202419</c:v>
                </c:pt>
                <c:pt idx="158">
                  <c:v>0.69794353288557198</c:v>
                </c:pt>
                <c:pt idx="159">
                  <c:v>0.69119094409487569</c:v>
                </c:pt>
                <c:pt idx="160">
                  <c:v>0.68590240961579541</c:v>
                </c:pt>
                <c:pt idx="161">
                  <c:v>0.68545123083542459</c:v>
                </c:pt>
                <c:pt idx="162">
                  <c:v>0.69788255657801823</c:v>
                </c:pt>
                <c:pt idx="163">
                  <c:v>0.69492174590737399</c:v>
                </c:pt>
                <c:pt idx="164">
                  <c:v>0.69649113888170444</c:v>
                </c:pt>
                <c:pt idx="165">
                  <c:v>0.69977576819702714</c:v>
                </c:pt>
                <c:pt idx="166">
                  <c:v>0.70466555741996606</c:v>
                </c:pt>
                <c:pt idx="167">
                  <c:v>0.6989841290012393</c:v>
                </c:pt>
                <c:pt idx="168">
                  <c:v>0.70004060926780032</c:v>
                </c:pt>
                <c:pt idx="169">
                  <c:v>0.70041334844835101</c:v>
                </c:pt>
                <c:pt idx="170">
                  <c:v>0.70704397207553815</c:v>
                </c:pt>
                <c:pt idx="171">
                  <c:v>0.68616577223197694</c:v>
                </c:pt>
                <c:pt idx="172">
                  <c:v>0.67695325921375593</c:v>
                </c:pt>
                <c:pt idx="173">
                  <c:v>0.67894294785162712</c:v>
                </c:pt>
                <c:pt idx="174">
                  <c:v>0.67334446160577177</c:v>
                </c:pt>
                <c:pt idx="175">
                  <c:v>0.67677654712477819</c:v>
                </c:pt>
                <c:pt idx="176">
                  <c:v>0.64760267932430127</c:v>
                </c:pt>
                <c:pt idx="177">
                  <c:v>0.64383055203366135</c:v>
                </c:pt>
                <c:pt idx="178">
                  <c:v>0.64573156293331757</c:v>
                </c:pt>
                <c:pt idx="179">
                  <c:v>0.64128428027579076</c:v>
                </c:pt>
                <c:pt idx="180">
                  <c:v>0.64535523464954003</c:v>
                </c:pt>
                <c:pt idx="181">
                  <c:v>0.63700986771435453</c:v>
                </c:pt>
                <c:pt idx="182">
                  <c:v>0.63459513329961581</c:v>
                </c:pt>
                <c:pt idx="183">
                  <c:v>0.64265905648248522</c:v>
                </c:pt>
                <c:pt idx="184">
                  <c:v>0.63987302999253381</c:v>
                </c:pt>
                <c:pt idx="185">
                  <c:v>0.63485719623806602</c:v>
                </c:pt>
                <c:pt idx="186">
                  <c:v>0.62831978989593251</c:v>
                </c:pt>
                <c:pt idx="187">
                  <c:v>0.63430047217660634</c:v>
                </c:pt>
                <c:pt idx="188">
                  <c:v>0.62699807600617319</c:v>
                </c:pt>
                <c:pt idx="189">
                  <c:v>0.64242151549132454</c:v>
                </c:pt>
                <c:pt idx="190">
                  <c:v>0.63945630975071943</c:v>
                </c:pt>
                <c:pt idx="191">
                  <c:v>0.65212695486972438</c:v>
                </c:pt>
                <c:pt idx="192">
                  <c:v>0.66715501770962626</c:v>
                </c:pt>
                <c:pt idx="193">
                  <c:v>0.67722391463222542</c:v>
                </c:pt>
                <c:pt idx="194">
                  <c:v>0.67241446981409259</c:v>
                </c:pt>
                <c:pt idx="195">
                  <c:v>0.62154096711719042</c:v>
                </c:pt>
                <c:pt idx="196">
                  <c:v>0.62280022107476807</c:v>
                </c:pt>
                <c:pt idx="197">
                  <c:v>0.62361852018764585</c:v>
                </c:pt>
                <c:pt idx="198">
                  <c:v>0.63320917283308598</c:v>
                </c:pt>
                <c:pt idx="199">
                  <c:v>0.61973448437898271</c:v>
                </c:pt>
                <c:pt idx="200">
                  <c:v>0.61590791110260767</c:v>
                </c:pt>
                <c:pt idx="201">
                  <c:v>0.60876192416124209</c:v>
                </c:pt>
                <c:pt idx="202">
                  <c:v>0.62465396418212504</c:v>
                </c:pt>
                <c:pt idx="203">
                  <c:v>0.61343488301930715</c:v>
                </c:pt>
                <c:pt idx="204">
                  <c:v>0.61282160510292472</c:v>
                </c:pt>
                <c:pt idx="205">
                  <c:v>0.61147810782232914</c:v>
                </c:pt>
                <c:pt idx="206">
                  <c:v>0.61061460880657492</c:v>
                </c:pt>
                <c:pt idx="207">
                  <c:v>0.60994781244563856</c:v>
                </c:pt>
                <c:pt idx="208">
                  <c:v>0.60614207285556843</c:v>
                </c:pt>
                <c:pt idx="209">
                  <c:v>0.60359240429957639</c:v>
                </c:pt>
                <c:pt idx="210">
                  <c:v>0.6032828223543234</c:v>
                </c:pt>
                <c:pt idx="211">
                  <c:v>0.6054461289670765</c:v>
                </c:pt>
                <c:pt idx="212">
                  <c:v>0.60651158016791262</c:v>
                </c:pt>
                <c:pt idx="213">
                  <c:v>0.60288827840762438</c:v>
                </c:pt>
                <c:pt idx="214">
                  <c:v>0.61405699838563899</c:v>
                </c:pt>
                <c:pt idx="215">
                  <c:v>0.59463578320668076</c:v>
                </c:pt>
                <c:pt idx="216">
                  <c:v>0.5892001262697949</c:v>
                </c:pt>
                <c:pt idx="217">
                  <c:v>0.58378822575315448</c:v>
                </c:pt>
                <c:pt idx="218">
                  <c:v>0.58227482283481957</c:v>
                </c:pt>
                <c:pt idx="219">
                  <c:v>0.58513023859400537</c:v>
                </c:pt>
                <c:pt idx="220">
                  <c:v>0.59234319227361243</c:v>
                </c:pt>
                <c:pt idx="221">
                  <c:v>0.5948904038183096</c:v>
                </c:pt>
                <c:pt idx="222">
                  <c:v>0.59881328085097363</c:v>
                </c:pt>
                <c:pt idx="223">
                  <c:v>0.59337865096373232</c:v>
                </c:pt>
                <c:pt idx="224">
                  <c:v>0.59921409574151796</c:v>
                </c:pt>
                <c:pt idx="225">
                  <c:v>0.60151057513966788</c:v>
                </c:pt>
                <c:pt idx="226">
                  <c:v>0.59919915331703</c:v>
                </c:pt>
                <c:pt idx="227">
                  <c:v>0.58729103569198782</c:v>
                </c:pt>
                <c:pt idx="228">
                  <c:v>0.5916893231339978</c:v>
                </c:pt>
                <c:pt idx="229">
                  <c:v>0.58838253817759356</c:v>
                </c:pt>
                <c:pt idx="230">
                  <c:v>0.57788999175386002</c:v>
                </c:pt>
                <c:pt idx="231">
                  <c:v>0.57250642800311247</c:v>
                </c:pt>
                <c:pt idx="232">
                  <c:v>0.57060211254529702</c:v>
                </c:pt>
                <c:pt idx="233">
                  <c:v>0.56086212893175236</c:v>
                </c:pt>
                <c:pt idx="234">
                  <c:v>0.57579558204758619</c:v>
                </c:pt>
                <c:pt idx="235">
                  <c:v>0.58059113438246901</c:v>
                </c:pt>
                <c:pt idx="236">
                  <c:v>0.58298710773287332</c:v>
                </c:pt>
                <c:pt idx="237">
                  <c:v>0.57645725067284548</c:v>
                </c:pt>
                <c:pt idx="238">
                  <c:v>0.57842801750401307</c:v>
                </c:pt>
                <c:pt idx="239">
                  <c:v>0.57660418507968914</c:v>
                </c:pt>
                <c:pt idx="240">
                  <c:v>0.56664184489417768</c:v>
                </c:pt>
                <c:pt idx="241">
                  <c:v>0.57203516000158738</c:v>
                </c:pt>
                <c:pt idx="242">
                  <c:v>0.57924950429472122</c:v>
                </c:pt>
                <c:pt idx="243">
                  <c:v>0.56466605105620427</c:v>
                </c:pt>
                <c:pt idx="244">
                  <c:v>0.57892973405899983</c:v>
                </c:pt>
                <c:pt idx="245">
                  <c:v>0.57986543049245731</c:v>
                </c:pt>
                <c:pt idx="246">
                  <c:v>0.58780352058151464</c:v>
                </c:pt>
                <c:pt idx="247">
                  <c:v>0.59363519543412857</c:v>
                </c:pt>
                <c:pt idx="248">
                  <c:v>0.59857897418083317</c:v>
                </c:pt>
                <c:pt idx="249">
                  <c:v>0.59573444524201402</c:v>
                </c:pt>
                <c:pt idx="250">
                  <c:v>0.59476134765796007</c:v>
                </c:pt>
                <c:pt idx="251">
                  <c:v>0.6126528893292732</c:v>
                </c:pt>
                <c:pt idx="252">
                  <c:v>0.59825419842532201</c:v>
                </c:pt>
                <c:pt idx="253">
                  <c:v>0.59195016279507384</c:v>
                </c:pt>
                <c:pt idx="254">
                  <c:v>0.59062673775867414</c:v>
                </c:pt>
                <c:pt idx="255">
                  <c:v>0.58528617569095487</c:v>
                </c:pt>
                <c:pt idx="256">
                  <c:v>0.58767157725183417</c:v>
                </c:pt>
                <c:pt idx="257">
                  <c:v>0.57340495220217158</c:v>
                </c:pt>
                <c:pt idx="258">
                  <c:v>0.59672798202482036</c:v>
                </c:pt>
                <c:pt idx="259">
                  <c:v>0.57836859471009727</c:v>
                </c:pt>
                <c:pt idx="260">
                  <c:v>0.56444218381696687</c:v>
                </c:pt>
                <c:pt idx="261">
                  <c:v>0.56621327380235709</c:v>
                </c:pt>
                <c:pt idx="262">
                  <c:v>0.5827337809053339</c:v>
                </c:pt>
                <c:pt idx="263">
                  <c:v>0.57973207559212547</c:v>
                </c:pt>
                <c:pt idx="264">
                  <c:v>0.5703315195296168</c:v>
                </c:pt>
                <c:pt idx="265">
                  <c:v>0.57516251897455661</c:v>
                </c:pt>
                <c:pt idx="266">
                  <c:v>0.57060884945082602</c:v>
                </c:pt>
                <c:pt idx="267">
                  <c:v>0.57594966886147125</c:v>
                </c:pt>
                <c:pt idx="268">
                  <c:v>0.57280339468184538</c:v>
                </c:pt>
                <c:pt idx="269">
                  <c:v>0.56702139873515112</c:v>
                </c:pt>
                <c:pt idx="270">
                  <c:v>0.5573347786107582</c:v>
                </c:pt>
                <c:pt idx="271">
                  <c:v>0.55912203506648728</c:v>
                </c:pt>
                <c:pt idx="272">
                  <c:v>0.57017742190732745</c:v>
                </c:pt>
                <c:pt idx="273">
                  <c:v>0.56347291325085447</c:v>
                </c:pt>
                <c:pt idx="274">
                  <c:v>0.56514674364496253</c:v>
                </c:pt>
                <c:pt idx="275">
                  <c:v>0.57260499641079543</c:v>
                </c:pt>
                <c:pt idx="276">
                  <c:v>0.57576489060900538</c:v>
                </c:pt>
                <c:pt idx="277">
                  <c:v>0.58408261551709961</c:v>
                </c:pt>
                <c:pt idx="278">
                  <c:v>0.58030114942745592</c:v>
                </c:pt>
                <c:pt idx="279">
                  <c:v>0.55971592159641126</c:v>
                </c:pt>
                <c:pt idx="280">
                  <c:v>0.55176508795017398</c:v>
                </c:pt>
                <c:pt idx="281">
                  <c:v>0.55692679429354142</c:v>
                </c:pt>
                <c:pt idx="282">
                  <c:v>0.57373217053868564</c:v>
                </c:pt>
                <c:pt idx="283">
                  <c:v>0.5874457909694919</c:v>
                </c:pt>
                <c:pt idx="284">
                  <c:v>0.5841027532344053</c:v>
                </c:pt>
                <c:pt idx="285">
                  <c:v>0.57032189017698243</c:v>
                </c:pt>
                <c:pt idx="286">
                  <c:v>0.56710420415463991</c:v>
                </c:pt>
                <c:pt idx="287">
                  <c:v>0.56587731658234885</c:v>
                </c:pt>
                <c:pt idx="288">
                  <c:v>0.56046348236565158</c:v>
                </c:pt>
                <c:pt idx="289">
                  <c:v>0.56365942502596489</c:v>
                </c:pt>
                <c:pt idx="290">
                  <c:v>0.57211334020051297</c:v>
                </c:pt>
                <c:pt idx="291">
                  <c:v>0.54527367055627529</c:v>
                </c:pt>
                <c:pt idx="292">
                  <c:v>0.54085297993933568</c:v>
                </c:pt>
                <c:pt idx="293">
                  <c:v>0.54986929467505163</c:v>
                </c:pt>
                <c:pt idx="294">
                  <c:v>0.56284698267732169</c:v>
                </c:pt>
                <c:pt idx="295">
                  <c:v>0.5617568297037937</c:v>
                </c:pt>
                <c:pt idx="296">
                  <c:v>0.55114789982578638</c:v>
                </c:pt>
                <c:pt idx="297">
                  <c:v>0.55261016001272045</c:v>
                </c:pt>
                <c:pt idx="298">
                  <c:v>0.55514470865957799</c:v>
                </c:pt>
                <c:pt idx="299">
                  <c:v>0.53904435048767996</c:v>
                </c:pt>
                <c:pt idx="300">
                  <c:v>0.52808417308200539</c:v>
                </c:pt>
                <c:pt idx="301">
                  <c:v>0.52992038398453767</c:v>
                </c:pt>
                <c:pt idx="302">
                  <c:v>0.5456144517639876</c:v>
                </c:pt>
                <c:pt idx="303">
                  <c:v>0.54657927274596863</c:v>
                </c:pt>
                <c:pt idx="304">
                  <c:v>0.55690406256992153</c:v>
                </c:pt>
                <c:pt idx="305">
                  <c:v>0.56118662394254037</c:v>
                </c:pt>
                <c:pt idx="306">
                  <c:v>0.5552868780480722</c:v>
                </c:pt>
                <c:pt idx="307">
                  <c:v>0.5558291206207433</c:v>
                </c:pt>
                <c:pt idx="308">
                  <c:v>0.54149597573049923</c:v>
                </c:pt>
                <c:pt idx="309">
                  <c:v>0.55417052167669834</c:v>
                </c:pt>
                <c:pt idx="310">
                  <c:v>0.55080315569625071</c:v>
                </c:pt>
                <c:pt idx="311">
                  <c:v>0.52882874519413481</c:v>
                </c:pt>
                <c:pt idx="312">
                  <c:v>0.52496235984524309</c:v>
                </c:pt>
                <c:pt idx="313">
                  <c:v>0.51551003769421033</c:v>
                </c:pt>
                <c:pt idx="314">
                  <c:v>0.51010934773132743</c:v>
                </c:pt>
                <c:pt idx="315">
                  <c:v>0.50564683193530524</c:v>
                </c:pt>
                <c:pt idx="316">
                  <c:v>0.50828993572505254</c:v>
                </c:pt>
                <c:pt idx="317">
                  <c:v>0.50391361292503911</c:v>
                </c:pt>
                <c:pt idx="318">
                  <c:v>0.48883296591628445</c:v>
                </c:pt>
                <c:pt idx="319">
                  <c:v>0.49148948101166634</c:v>
                </c:pt>
                <c:pt idx="320">
                  <c:v>0.48957735939925617</c:v>
                </c:pt>
                <c:pt idx="321">
                  <c:v>0.52478830658662612</c:v>
                </c:pt>
                <c:pt idx="322">
                  <c:v>0.54269964762561407</c:v>
                </c:pt>
                <c:pt idx="323">
                  <c:v>0.55262187315233824</c:v>
                </c:pt>
                <c:pt idx="324">
                  <c:v>0.57311004035832713</c:v>
                </c:pt>
                <c:pt idx="325">
                  <c:v>0.57613865846187151</c:v>
                </c:pt>
                <c:pt idx="326">
                  <c:v>0.58755688835938447</c:v>
                </c:pt>
                <c:pt idx="327">
                  <c:v>0.58366532669093729</c:v>
                </c:pt>
                <c:pt idx="328">
                  <c:v>0.58318979830627216</c:v>
                </c:pt>
                <c:pt idx="329">
                  <c:v>0.59127587746527599</c:v>
                </c:pt>
                <c:pt idx="330">
                  <c:v>0.59443281126934289</c:v>
                </c:pt>
                <c:pt idx="331">
                  <c:v>0.58788850062161124</c:v>
                </c:pt>
                <c:pt idx="332">
                  <c:v>0.5799879498275371</c:v>
                </c:pt>
                <c:pt idx="333">
                  <c:v>0.58238938931512962</c:v>
                </c:pt>
                <c:pt idx="334">
                  <c:v>0.5843005188083179</c:v>
                </c:pt>
                <c:pt idx="335">
                  <c:v>0.57808732048308131</c:v>
                </c:pt>
                <c:pt idx="336">
                  <c:v>0.5767054797044493</c:v>
                </c:pt>
                <c:pt idx="337">
                  <c:v>0.57500888999503919</c:v>
                </c:pt>
                <c:pt idx="338">
                  <c:v>0.57948245961380895</c:v>
                </c:pt>
                <c:pt idx="339">
                  <c:v>0.56091592014719094</c:v>
                </c:pt>
                <c:pt idx="340">
                  <c:v>0.55227562855387724</c:v>
                </c:pt>
                <c:pt idx="341">
                  <c:v>0.5825544002221934</c:v>
                </c:pt>
                <c:pt idx="342">
                  <c:v>0.57181688229181671</c:v>
                </c:pt>
                <c:pt idx="343">
                  <c:v>0.57682371891048634</c:v>
                </c:pt>
                <c:pt idx="344">
                  <c:v>0.56571351264400249</c:v>
                </c:pt>
                <c:pt idx="345">
                  <c:v>0.57929120234647358</c:v>
                </c:pt>
                <c:pt idx="346">
                  <c:v>0.56322531394127262</c:v>
                </c:pt>
                <c:pt idx="347">
                  <c:v>0.56492351694124188</c:v>
                </c:pt>
                <c:pt idx="348">
                  <c:v>0.56958753240062898</c:v>
                </c:pt>
                <c:pt idx="349">
                  <c:v>0.59691471741328317</c:v>
                </c:pt>
                <c:pt idx="350">
                  <c:v>0.59174564126055107</c:v>
                </c:pt>
                <c:pt idx="351">
                  <c:v>0.58050029744123322</c:v>
                </c:pt>
                <c:pt idx="352">
                  <c:v>0.5750246541658337</c:v>
                </c:pt>
                <c:pt idx="353">
                  <c:v>0.58334890208502199</c:v>
                </c:pt>
                <c:pt idx="354">
                  <c:v>0.57307886159474741</c:v>
                </c:pt>
                <c:pt idx="355">
                  <c:v>0.58194735167712164</c:v>
                </c:pt>
                <c:pt idx="356">
                  <c:v>0.60040632346044265</c:v>
                </c:pt>
                <c:pt idx="357">
                  <c:v>0.57957032739481407</c:v>
                </c:pt>
                <c:pt idx="358">
                  <c:v>0.58189493556573979</c:v>
                </c:pt>
                <c:pt idx="359">
                  <c:v>0.6042278567262771</c:v>
                </c:pt>
                <c:pt idx="360">
                  <c:v>0.6270083506223828</c:v>
                </c:pt>
                <c:pt idx="361">
                  <c:v>0.63279345837764889</c:v>
                </c:pt>
                <c:pt idx="362">
                  <c:v>0.64190002133462021</c:v>
                </c:pt>
                <c:pt idx="363">
                  <c:v>0.64432537331700024</c:v>
                </c:pt>
                <c:pt idx="364">
                  <c:v>0.64608725316309168</c:v>
                </c:pt>
                <c:pt idx="365">
                  <c:v>0.64009054274911226</c:v>
                </c:pt>
                <c:pt idx="366">
                  <c:v>0.63817426086564844</c:v>
                </c:pt>
                <c:pt idx="367">
                  <c:v>0.6409216919262074</c:v>
                </c:pt>
                <c:pt idx="368">
                  <c:v>0.63992520978936962</c:v>
                </c:pt>
                <c:pt idx="369">
                  <c:v>0.63286527433987527</c:v>
                </c:pt>
                <c:pt idx="370">
                  <c:v>0.64252267020140441</c:v>
                </c:pt>
                <c:pt idx="371">
                  <c:v>0.64657734232650266</c:v>
                </c:pt>
                <c:pt idx="372">
                  <c:v>0.65316328934733825</c:v>
                </c:pt>
                <c:pt idx="373">
                  <c:v>0.65576785651138414</c:v>
                </c:pt>
                <c:pt idx="374">
                  <c:v>0.66355620892320732</c:v>
                </c:pt>
                <c:pt idx="375">
                  <c:v>0.66398645880751872</c:v>
                </c:pt>
                <c:pt idx="376">
                  <c:v>0.66946473302024867</c:v>
                </c:pt>
                <c:pt idx="377">
                  <c:v>0.65796394891224463</c:v>
                </c:pt>
                <c:pt idx="378">
                  <c:v>0.66230761639462665</c:v>
                </c:pt>
                <c:pt idx="379">
                  <c:v>0.66269264109315473</c:v>
                </c:pt>
                <c:pt idx="380">
                  <c:v>0.67145601316888248</c:v>
                </c:pt>
                <c:pt idx="381">
                  <c:v>0.66895762652105895</c:v>
                </c:pt>
                <c:pt idx="382">
                  <c:v>0.67853049430975121</c:v>
                </c:pt>
                <c:pt idx="383">
                  <c:v>0.67644873194593091</c:v>
                </c:pt>
                <c:pt idx="384">
                  <c:v>0.66981244885257341</c:v>
                </c:pt>
                <c:pt idx="385">
                  <c:v>0.66715526930634339</c:v>
                </c:pt>
                <c:pt idx="386">
                  <c:v>0.67101728895240564</c:v>
                </c:pt>
                <c:pt idx="387">
                  <c:v>0.66916691436566067</c:v>
                </c:pt>
                <c:pt idx="388">
                  <c:v>0.65957939907153285</c:v>
                </c:pt>
                <c:pt idx="389">
                  <c:v>0.65002899574798434</c:v>
                </c:pt>
                <c:pt idx="390">
                  <c:v>0.65920023354980373</c:v>
                </c:pt>
                <c:pt idx="391">
                  <c:v>0.66927134366981011</c:v>
                </c:pt>
                <c:pt idx="392">
                  <c:v>0.66510756939033067</c:v>
                </c:pt>
                <c:pt idx="393">
                  <c:v>0.6748792369587342</c:v>
                </c:pt>
                <c:pt idx="394">
                  <c:v>0.67075189697233939</c:v>
                </c:pt>
                <c:pt idx="395">
                  <c:v>0.66483260398325605</c:v>
                </c:pt>
                <c:pt idx="396">
                  <c:v>0.66829855988902787</c:v>
                </c:pt>
                <c:pt idx="397">
                  <c:v>0.66501197658267297</c:v>
                </c:pt>
                <c:pt idx="398">
                  <c:v>0.65056190801946645</c:v>
                </c:pt>
                <c:pt idx="399">
                  <c:v>0.64441314693659946</c:v>
                </c:pt>
                <c:pt idx="400">
                  <c:v>0.65076392940764638</c:v>
                </c:pt>
                <c:pt idx="401">
                  <c:v>0.64126015274224646</c:v>
                </c:pt>
                <c:pt idx="402">
                  <c:v>0.63448362683654014</c:v>
                </c:pt>
                <c:pt idx="403">
                  <c:v>0.62986928548688204</c:v>
                </c:pt>
                <c:pt idx="404">
                  <c:v>0.63047969165796203</c:v>
                </c:pt>
                <c:pt idx="405">
                  <c:v>0.62880594033803894</c:v>
                </c:pt>
                <c:pt idx="406">
                  <c:v>0.62945631632271537</c:v>
                </c:pt>
                <c:pt idx="407">
                  <c:v>0.626206893594629</c:v>
                </c:pt>
                <c:pt idx="408">
                  <c:v>0.63702612315444573</c:v>
                </c:pt>
                <c:pt idx="409">
                  <c:v>0.63988426902936868</c:v>
                </c:pt>
                <c:pt idx="410">
                  <c:v>0.65055634297184373</c:v>
                </c:pt>
                <c:pt idx="411">
                  <c:v>0.656416900420698</c:v>
                </c:pt>
                <c:pt idx="412">
                  <c:v>0.66671868939583478</c:v>
                </c:pt>
                <c:pt idx="413">
                  <c:v>0.66170810083619735</c:v>
                </c:pt>
                <c:pt idx="414">
                  <c:v>0.65060289150262807</c:v>
                </c:pt>
                <c:pt idx="415">
                  <c:v>0.6392861552512431</c:v>
                </c:pt>
                <c:pt idx="416">
                  <c:v>0.63753660441695437</c:v>
                </c:pt>
                <c:pt idx="417">
                  <c:v>0.6341821268014336</c:v>
                </c:pt>
                <c:pt idx="418">
                  <c:v>0.63126235900019512</c:v>
                </c:pt>
                <c:pt idx="419">
                  <c:v>0.65223361528570933</c:v>
                </c:pt>
                <c:pt idx="420">
                  <c:v>0.66749141010555246</c:v>
                </c:pt>
                <c:pt idx="421">
                  <c:v>0.66168564992092904</c:v>
                </c:pt>
                <c:pt idx="422">
                  <c:v>0.66131372114351439</c:v>
                </c:pt>
                <c:pt idx="423">
                  <c:v>0.6588386639422199</c:v>
                </c:pt>
                <c:pt idx="424">
                  <c:v>0.65650617067292494</c:v>
                </c:pt>
                <c:pt idx="425">
                  <c:v>0.65722566454502918</c:v>
                </c:pt>
                <c:pt idx="426">
                  <c:v>0.65956272750926837</c:v>
                </c:pt>
                <c:pt idx="427">
                  <c:v>0.66174687746293848</c:v>
                </c:pt>
                <c:pt idx="428">
                  <c:v>0.66159374516088487</c:v>
                </c:pt>
                <c:pt idx="429">
                  <c:v>0.66721066323463862</c:v>
                </c:pt>
                <c:pt idx="430">
                  <c:v>0.65706605273970431</c:v>
                </c:pt>
                <c:pt idx="431">
                  <c:v>0.66490295310678671</c:v>
                </c:pt>
                <c:pt idx="432">
                  <c:v>0.66629285034266583</c:v>
                </c:pt>
                <c:pt idx="433">
                  <c:v>0.66448674365290716</c:v>
                </c:pt>
                <c:pt idx="434">
                  <c:v>0.66831656197720501</c:v>
                </c:pt>
                <c:pt idx="435">
                  <c:v>0.66971898352420012</c:v>
                </c:pt>
                <c:pt idx="436">
                  <c:v>0.66185768133648826</c:v>
                </c:pt>
                <c:pt idx="437">
                  <c:v>0.66204286116063327</c:v>
                </c:pt>
                <c:pt idx="438">
                  <c:v>0.66549454290516163</c:v>
                </c:pt>
                <c:pt idx="439">
                  <c:v>0.6521720497146315</c:v>
                </c:pt>
                <c:pt idx="440">
                  <c:v>0.65058143396161916</c:v>
                </c:pt>
                <c:pt idx="441">
                  <c:v>0.64531773653792324</c:v>
                </c:pt>
                <c:pt idx="442">
                  <c:v>0.65535588691455771</c:v>
                </c:pt>
                <c:pt idx="443">
                  <c:v>0.66608081447084788</c:v>
                </c:pt>
                <c:pt idx="444">
                  <c:v>0.67521766395557981</c:v>
                </c:pt>
                <c:pt idx="445">
                  <c:v>0.6942159637888714</c:v>
                </c:pt>
                <c:pt idx="446">
                  <c:v>0.69304167362049263</c:v>
                </c:pt>
                <c:pt idx="447">
                  <c:v>0.68909606631909148</c:v>
                </c:pt>
                <c:pt idx="448">
                  <c:v>0.67547447721960019</c:v>
                </c:pt>
                <c:pt idx="449">
                  <c:v>0.65705410527122932</c:v>
                </c:pt>
                <c:pt idx="450">
                  <c:v>0.65034406588885374</c:v>
                </c:pt>
                <c:pt idx="451">
                  <c:v>0.63275209799082832</c:v>
                </c:pt>
                <c:pt idx="452">
                  <c:v>0.63310093982023585</c:v>
                </c:pt>
                <c:pt idx="453">
                  <c:v>0.65850942619078912</c:v>
                </c:pt>
                <c:pt idx="454">
                  <c:v>0.67208114006646169</c:v>
                </c:pt>
                <c:pt idx="455">
                  <c:v>0.67772420835660907</c:v>
                </c:pt>
                <c:pt idx="456">
                  <c:v>0.69702189067842202</c:v>
                </c:pt>
                <c:pt idx="457">
                  <c:v>0.70385848196734857</c:v>
                </c:pt>
                <c:pt idx="458">
                  <c:v>0.70441123681828388</c:v>
                </c:pt>
                <c:pt idx="459">
                  <c:v>0.70353494269223682</c:v>
                </c:pt>
                <c:pt idx="460">
                  <c:v>0.70246051657790931</c:v>
                </c:pt>
                <c:pt idx="461">
                  <c:v>0.71246480782261223</c:v>
                </c:pt>
                <c:pt idx="462">
                  <c:v>0.72861077503942384</c:v>
                </c:pt>
                <c:pt idx="463">
                  <c:v>0.73392438614773814</c:v>
                </c:pt>
                <c:pt idx="464">
                  <c:v>0.72604256099810749</c:v>
                </c:pt>
                <c:pt idx="465">
                  <c:v>0.73659667221100344</c:v>
                </c:pt>
                <c:pt idx="466">
                  <c:v>0.73543774132877959</c:v>
                </c:pt>
                <c:pt idx="467">
                  <c:v>0.7322983943932877</c:v>
                </c:pt>
                <c:pt idx="468">
                  <c:v>0.73142279286733325</c:v>
                </c:pt>
                <c:pt idx="469">
                  <c:v>0.73107149694008844</c:v>
                </c:pt>
                <c:pt idx="470">
                  <c:v>0.7284185155898526</c:v>
                </c:pt>
                <c:pt idx="471">
                  <c:v>0.725656993876033</c:v>
                </c:pt>
                <c:pt idx="472">
                  <c:v>0.72804564792599569</c:v>
                </c:pt>
                <c:pt idx="473">
                  <c:v>0.72433957034866325</c:v>
                </c:pt>
                <c:pt idx="474">
                  <c:v>0.71710120266283317</c:v>
                </c:pt>
                <c:pt idx="475">
                  <c:v>0.71187243429465596</c:v>
                </c:pt>
                <c:pt idx="476">
                  <c:v>0.7079064673282609</c:v>
                </c:pt>
                <c:pt idx="477">
                  <c:v>0.70459151574316037</c:v>
                </c:pt>
                <c:pt idx="478">
                  <c:v>0.71128481808727462</c:v>
                </c:pt>
                <c:pt idx="479">
                  <c:v>0.71300790941554437</c:v>
                </c:pt>
                <c:pt idx="480">
                  <c:v>0.71396194126691437</c:v>
                </c:pt>
                <c:pt idx="481">
                  <c:v>0.71415768876554397</c:v>
                </c:pt>
                <c:pt idx="482">
                  <c:v>0.7111176727847196</c:v>
                </c:pt>
                <c:pt idx="483">
                  <c:v>0.7058701905103193</c:v>
                </c:pt>
                <c:pt idx="484">
                  <c:v>0.70468725733091531</c:v>
                </c:pt>
                <c:pt idx="485">
                  <c:v>0.71108567250762267</c:v>
                </c:pt>
                <c:pt idx="486">
                  <c:v>0.71520302755641041</c:v>
                </c:pt>
                <c:pt idx="487">
                  <c:v>0.71614360020208434</c:v>
                </c:pt>
                <c:pt idx="488">
                  <c:v>0.71513190448885999</c:v>
                </c:pt>
                <c:pt idx="489">
                  <c:v>0.71324144889640717</c:v>
                </c:pt>
                <c:pt idx="490">
                  <c:v>0.71093627139781534</c:v>
                </c:pt>
                <c:pt idx="491">
                  <c:v>0.7075850308485101</c:v>
                </c:pt>
                <c:pt idx="492">
                  <c:v>0.7054098670618274</c:v>
                </c:pt>
                <c:pt idx="493">
                  <c:v>0.70516169594609424</c:v>
                </c:pt>
                <c:pt idx="494">
                  <c:v>0.70046815300731158</c:v>
                </c:pt>
                <c:pt idx="495">
                  <c:v>0.70350731131609856</c:v>
                </c:pt>
                <c:pt idx="496">
                  <c:v>0.70671504558327203</c:v>
                </c:pt>
                <c:pt idx="497">
                  <c:v>0.70679668288174391</c:v>
                </c:pt>
                <c:pt idx="498">
                  <c:v>0.69868280818222628</c:v>
                </c:pt>
                <c:pt idx="499">
                  <c:v>0.6974810450117328</c:v>
                </c:pt>
                <c:pt idx="500">
                  <c:v>0.69373036559316503</c:v>
                </c:pt>
                <c:pt idx="501">
                  <c:v>0.69059882889937896</c:v>
                </c:pt>
                <c:pt idx="502">
                  <c:v>0.6923926482985856</c:v>
                </c:pt>
                <c:pt idx="503">
                  <c:v>0.69777381938953598</c:v>
                </c:pt>
                <c:pt idx="504">
                  <c:v>0.69978985611232913</c:v>
                </c:pt>
                <c:pt idx="505">
                  <c:v>0.6965220382442634</c:v>
                </c:pt>
                <c:pt idx="506">
                  <c:v>0.69925704724517368</c:v>
                </c:pt>
                <c:pt idx="507">
                  <c:v>0.70314160419387495</c:v>
                </c:pt>
                <c:pt idx="508">
                  <c:v>0.70152189636924711</c:v>
                </c:pt>
                <c:pt idx="509">
                  <c:v>0.68610749548473204</c:v>
                </c:pt>
                <c:pt idx="510">
                  <c:v>0.67863374271215393</c:v>
                </c:pt>
                <c:pt idx="511">
                  <c:v>0.67808579220427689</c:v>
                </c:pt>
                <c:pt idx="512">
                  <c:v>0.68959478488858927</c:v>
                </c:pt>
                <c:pt idx="513">
                  <c:v>0.68277936327247013</c:v>
                </c:pt>
                <c:pt idx="514">
                  <c:v>0.68780264829890703</c:v>
                </c:pt>
                <c:pt idx="515">
                  <c:v>0.67189230296607638</c:v>
                </c:pt>
                <c:pt idx="516">
                  <c:v>0.67615202186453327</c:v>
                </c:pt>
                <c:pt idx="517">
                  <c:v>0.67806736058398631</c:v>
                </c:pt>
                <c:pt idx="518">
                  <c:v>0.6806541001779538</c:v>
                </c:pt>
                <c:pt idx="519">
                  <c:v>0.68212572245357794</c:v>
                </c:pt>
                <c:pt idx="520">
                  <c:v>0.69445479689119627</c:v>
                </c:pt>
                <c:pt idx="521">
                  <c:v>0.69108735081070904</c:v>
                </c:pt>
                <c:pt idx="522">
                  <c:v>0.68143814291464855</c:v>
                </c:pt>
                <c:pt idx="523">
                  <c:v>0.68037065247612816</c:v>
                </c:pt>
                <c:pt idx="524">
                  <c:v>0.69295327325325573</c:v>
                </c:pt>
                <c:pt idx="525">
                  <c:v>0.69008136422465283</c:v>
                </c:pt>
                <c:pt idx="526">
                  <c:v>0.6950397997727491</c:v>
                </c:pt>
                <c:pt idx="527">
                  <c:v>0.68764329293203796</c:v>
                </c:pt>
                <c:pt idx="528">
                  <c:v>0.68446954757894285</c:v>
                </c:pt>
                <c:pt idx="529">
                  <c:v>0.67787694522515329</c:v>
                </c:pt>
                <c:pt idx="530">
                  <c:v>0.68308167390514241</c:v>
                </c:pt>
                <c:pt idx="531">
                  <c:v>0.63272185686286453</c:v>
                </c:pt>
                <c:pt idx="532">
                  <c:v>0.65345076012300596</c:v>
                </c:pt>
                <c:pt idx="533">
                  <c:v>0.65503110364334804</c:v>
                </c:pt>
                <c:pt idx="534">
                  <c:v>0.65373789679487948</c:v>
                </c:pt>
                <c:pt idx="535">
                  <c:v>0.6514933576079589</c:v>
                </c:pt>
                <c:pt idx="536">
                  <c:v>0.65544359388092266</c:v>
                </c:pt>
                <c:pt idx="537">
                  <c:v>0.65801975380427002</c:v>
                </c:pt>
                <c:pt idx="538">
                  <c:v>0.6580284340605429</c:v>
                </c:pt>
                <c:pt idx="539">
                  <c:v>0.66136183482951572</c:v>
                </c:pt>
                <c:pt idx="540">
                  <c:v>0.65755668097461717</c:v>
                </c:pt>
                <c:pt idx="541">
                  <c:v>0.66227145922514585</c:v>
                </c:pt>
                <c:pt idx="542">
                  <c:v>0.66348204677425049</c:v>
                </c:pt>
                <c:pt idx="543">
                  <c:v>0.66964506465503892</c:v>
                </c:pt>
                <c:pt idx="544">
                  <c:v>0.67479988809687463</c:v>
                </c:pt>
                <c:pt idx="545">
                  <c:v>0.68025501431022273</c:v>
                </c:pt>
                <c:pt idx="546">
                  <c:v>0.68362340481767547</c:v>
                </c:pt>
                <c:pt idx="547">
                  <c:v>0.68610659602690016</c:v>
                </c:pt>
                <c:pt idx="548">
                  <c:v>0.68015512976390258</c:v>
                </c:pt>
                <c:pt idx="549">
                  <c:v>0.68117083135693524</c:v>
                </c:pt>
                <c:pt idx="550">
                  <c:v>0.68580111924230125</c:v>
                </c:pt>
                <c:pt idx="551">
                  <c:v>0.68067199490349917</c:v>
                </c:pt>
                <c:pt idx="552">
                  <c:v>0.67451633676353062</c:v>
                </c:pt>
                <c:pt idx="553">
                  <c:v>0.68898369026379536</c:v>
                </c:pt>
                <c:pt idx="554">
                  <c:v>0.68304978060580801</c:v>
                </c:pt>
                <c:pt idx="555">
                  <c:v>0.67897038931614517</c:v>
                </c:pt>
                <c:pt idx="556">
                  <c:v>0.69004744620107272</c:v>
                </c:pt>
                <c:pt idx="557">
                  <c:v>0.68848905568618712</c:v>
                </c:pt>
                <c:pt idx="558">
                  <c:v>0.69358482301875091</c:v>
                </c:pt>
                <c:pt idx="559">
                  <c:v>0.68899966842139126</c:v>
                </c:pt>
                <c:pt idx="560">
                  <c:v>0.69356268565590895</c:v>
                </c:pt>
                <c:pt idx="561">
                  <c:v>0.69541128833545951</c:v>
                </c:pt>
                <c:pt idx="562">
                  <c:v>0.69242455687557081</c:v>
                </c:pt>
                <c:pt idx="563">
                  <c:v>0.69986488547044434</c:v>
                </c:pt>
                <c:pt idx="564">
                  <c:v>0.69492717003978322</c:v>
                </c:pt>
                <c:pt idx="565">
                  <c:v>0.69923108134273804</c:v>
                </c:pt>
                <c:pt idx="566">
                  <c:v>0.69614691718814492</c:v>
                </c:pt>
                <c:pt idx="567">
                  <c:v>0.69976367907063908</c:v>
                </c:pt>
                <c:pt idx="568">
                  <c:v>0.70208918898802142</c:v>
                </c:pt>
                <c:pt idx="569">
                  <c:v>0.7002869706662207</c:v>
                </c:pt>
                <c:pt idx="570">
                  <c:v>0.69430687726958706</c:v>
                </c:pt>
                <c:pt idx="571">
                  <c:v>0.68494690478251852</c:v>
                </c:pt>
                <c:pt idx="572">
                  <c:v>0.68691587492017248</c:v>
                </c:pt>
                <c:pt idx="573">
                  <c:v>0.69529102615199045</c:v>
                </c:pt>
                <c:pt idx="574">
                  <c:v>0.69613851154030915</c:v>
                </c:pt>
                <c:pt idx="575">
                  <c:v>0.68869339984861089</c:v>
                </c:pt>
                <c:pt idx="576">
                  <c:v>0.69732396283520282</c:v>
                </c:pt>
                <c:pt idx="577">
                  <c:v>0.69670681569155446</c:v>
                </c:pt>
                <c:pt idx="578">
                  <c:v>0.69928190874545271</c:v>
                </c:pt>
                <c:pt idx="579">
                  <c:v>0.69348650724521066</c:v>
                </c:pt>
                <c:pt idx="580">
                  <c:v>0.70129208899697448</c:v>
                </c:pt>
                <c:pt idx="581">
                  <c:v>0.7115082167874025</c:v>
                </c:pt>
                <c:pt idx="582">
                  <c:v>0.718175336579713</c:v>
                </c:pt>
                <c:pt idx="583">
                  <c:v>0.72065260473191128</c:v>
                </c:pt>
                <c:pt idx="584">
                  <c:v>0.72123000304554741</c:v>
                </c:pt>
                <c:pt idx="585">
                  <c:v>0.72714546471510122</c:v>
                </c:pt>
                <c:pt idx="586">
                  <c:v>0.7198619962122339</c:v>
                </c:pt>
                <c:pt idx="587">
                  <c:v>0.71993751174796916</c:v>
                </c:pt>
                <c:pt idx="588">
                  <c:v>0.71202496881932431</c:v>
                </c:pt>
                <c:pt idx="589">
                  <c:v>0.71931468849449265</c:v>
                </c:pt>
                <c:pt idx="590">
                  <c:v>0.71635317896852557</c:v>
                </c:pt>
                <c:pt idx="591">
                  <c:v>0.72488721164111802</c:v>
                </c:pt>
                <c:pt idx="592">
                  <c:v>0.72440879915230627</c:v>
                </c:pt>
                <c:pt idx="593">
                  <c:v>0.72475311520500196</c:v>
                </c:pt>
                <c:pt idx="594">
                  <c:v>0.72010884703126177</c:v>
                </c:pt>
                <c:pt idx="595">
                  <c:v>0.71879414582516343</c:v>
                </c:pt>
                <c:pt idx="596">
                  <c:v>0.71777052477433778</c:v>
                </c:pt>
                <c:pt idx="597">
                  <c:v>0.72015455617964164</c:v>
                </c:pt>
                <c:pt idx="598">
                  <c:v>0.71999984744234768</c:v>
                </c:pt>
                <c:pt idx="599">
                  <c:v>0.71830652480555657</c:v>
                </c:pt>
                <c:pt idx="600">
                  <c:v>0.71610910296382824</c:v>
                </c:pt>
                <c:pt idx="601">
                  <c:v>0.71224220310041364</c:v>
                </c:pt>
                <c:pt idx="602">
                  <c:v>0.71249544055904634</c:v>
                </c:pt>
                <c:pt idx="603">
                  <c:v>0.71101253453852453</c:v>
                </c:pt>
                <c:pt idx="604">
                  <c:v>0.71493570602303458</c:v>
                </c:pt>
                <c:pt idx="605">
                  <c:v>0.71927116569122385</c:v>
                </c:pt>
                <c:pt idx="606">
                  <c:v>0.72398269110148927</c:v>
                </c:pt>
                <c:pt idx="607">
                  <c:v>0.72252297282296851</c:v>
                </c:pt>
                <c:pt idx="608">
                  <c:v>0.7115362073952094</c:v>
                </c:pt>
                <c:pt idx="609">
                  <c:v>0.70860029832982285</c:v>
                </c:pt>
                <c:pt idx="610">
                  <c:v>0.70735615859860568</c:v>
                </c:pt>
                <c:pt idx="611">
                  <c:v>0.70129366495961798</c:v>
                </c:pt>
                <c:pt idx="612">
                  <c:v>0.70154282968716486</c:v>
                </c:pt>
                <c:pt idx="613">
                  <c:v>0.69831160683791083</c:v>
                </c:pt>
                <c:pt idx="614">
                  <c:v>0.69539608603789782</c:v>
                </c:pt>
                <c:pt idx="615">
                  <c:v>0.69244178373766174</c:v>
                </c:pt>
                <c:pt idx="616">
                  <c:v>0.6913965002376975</c:v>
                </c:pt>
                <c:pt idx="617">
                  <c:v>0.70659692267776264</c:v>
                </c:pt>
                <c:pt idx="618">
                  <c:v>0.71784458665208373</c:v>
                </c:pt>
                <c:pt idx="619">
                  <c:v>0.70936048985577793</c:v>
                </c:pt>
                <c:pt idx="620">
                  <c:v>0.71915317282592228</c:v>
                </c:pt>
                <c:pt idx="621">
                  <c:v>0.72216578088743721</c:v>
                </c:pt>
                <c:pt idx="622">
                  <c:v>0.71708387243219907</c:v>
                </c:pt>
                <c:pt idx="623">
                  <c:v>0.71341526698386515</c:v>
                </c:pt>
                <c:pt idx="624">
                  <c:v>0.71229591443399087</c:v>
                </c:pt>
                <c:pt idx="625">
                  <c:v>0.70807077785381756</c:v>
                </c:pt>
                <c:pt idx="626">
                  <c:v>0.70641120934181345</c:v>
                </c:pt>
                <c:pt idx="627">
                  <c:v>0.7015465128809466</c:v>
                </c:pt>
                <c:pt idx="628">
                  <c:v>0.70420591174146385</c:v>
                </c:pt>
                <c:pt idx="629">
                  <c:v>0.70125909921676166</c:v>
                </c:pt>
                <c:pt idx="630">
                  <c:v>0.69566729584862652</c:v>
                </c:pt>
                <c:pt idx="631">
                  <c:v>0.69705556326424745</c:v>
                </c:pt>
                <c:pt idx="632">
                  <c:v>0.68602414347565488</c:v>
                </c:pt>
                <c:pt idx="633">
                  <c:v>0.6096513294764756</c:v>
                </c:pt>
                <c:pt idx="634">
                  <c:v>0.61245010894529917</c:v>
                </c:pt>
                <c:pt idx="635">
                  <c:v>0.61298465698302862</c:v>
                </c:pt>
                <c:pt idx="636">
                  <c:v>0.60837654380270167</c:v>
                </c:pt>
                <c:pt idx="637">
                  <c:v>0.61287615939638251</c:v>
                </c:pt>
                <c:pt idx="638">
                  <c:v>0.61860979275604611</c:v>
                </c:pt>
                <c:pt idx="639">
                  <c:v>0.60929141309445178</c:v>
                </c:pt>
                <c:pt idx="640">
                  <c:v>0.61545111315089129</c:v>
                </c:pt>
                <c:pt idx="641">
                  <c:v>0.61767216072050968</c:v>
                </c:pt>
                <c:pt idx="642">
                  <c:v>0.62598442309497626</c:v>
                </c:pt>
                <c:pt idx="643">
                  <c:v>0.6280215242148488</c:v>
                </c:pt>
                <c:pt idx="644">
                  <c:v>0.6354898629128416</c:v>
                </c:pt>
                <c:pt idx="645">
                  <c:v>0.6409887151320357</c:v>
                </c:pt>
                <c:pt idx="646">
                  <c:v>0.63349820991464267</c:v>
                </c:pt>
                <c:pt idx="647">
                  <c:v>0.6276133186785009</c:v>
                </c:pt>
                <c:pt idx="648">
                  <c:v>0.61787160360361149</c:v>
                </c:pt>
                <c:pt idx="649">
                  <c:v>0.62012891013816529</c:v>
                </c:pt>
                <c:pt idx="650">
                  <c:v>0.62893192791193631</c:v>
                </c:pt>
                <c:pt idx="651">
                  <c:v>0.62210989001788053</c:v>
                </c:pt>
                <c:pt idx="652">
                  <c:v>0.62612358678696167</c:v>
                </c:pt>
                <c:pt idx="653">
                  <c:v>0.63255189638146714</c:v>
                </c:pt>
                <c:pt idx="654">
                  <c:v>0.63875964857831125</c:v>
                </c:pt>
                <c:pt idx="655">
                  <c:v>0.6515093891124264</c:v>
                </c:pt>
                <c:pt idx="656">
                  <c:v>0.64194108348618406</c:v>
                </c:pt>
                <c:pt idx="657">
                  <c:v>0.64859175258211677</c:v>
                </c:pt>
                <c:pt idx="658">
                  <c:v>0.64699686006061818</c:v>
                </c:pt>
                <c:pt idx="659">
                  <c:v>0.63934955420216233</c:v>
                </c:pt>
                <c:pt idx="660">
                  <c:v>0.63382935305759636</c:v>
                </c:pt>
                <c:pt idx="661">
                  <c:v>0.63379919534026619</c:v>
                </c:pt>
                <c:pt idx="662">
                  <c:v>0.62040288054189219</c:v>
                </c:pt>
                <c:pt idx="663">
                  <c:v>0.61237059007994632</c:v>
                </c:pt>
                <c:pt idx="664">
                  <c:v>0.61375768276648968</c:v>
                </c:pt>
                <c:pt idx="665">
                  <c:v>0.62871989854841392</c:v>
                </c:pt>
                <c:pt idx="666">
                  <c:v>0.62129706048677924</c:v>
                </c:pt>
                <c:pt idx="667">
                  <c:v>0.60351454868350185</c:v>
                </c:pt>
                <c:pt idx="668">
                  <c:v>0.61242230056887259</c:v>
                </c:pt>
                <c:pt idx="669">
                  <c:v>0.61436714560174144</c:v>
                </c:pt>
                <c:pt idx="670">
                  <c:v>0.61481553713225634</c:v>
                </c:pt>
                <c:pt idx="671">
                  <c:v>0.62116931725635993</c:v>
                </c:pt>
                <c:pt idx="672">
                  <c:v>0.61199964859255473</c:v>
                </c:pt>
                <c:pt idx="673">
                  <c:v>0.59003458890141514</c:v>
                </c:pt>
                <c:pt idx="674">
                  <c:v>0.58388881767492984</c:v>
                </c:pt>
                <c:pt idx="675">
                  <c:v>0.57560268574222684</c:v>
                </c:pt>
                <c:pt idx="676">
                  <c:v>0.58768851046556436</c:v>
                </c:pt>
                <c:pt idx="677">
                  <c:v>0.58580921534024499</c:v>
                </c:pt>
                <c:pt idx="678">
                  <c:v>0.57896861268016231</c:v>
                </c:pt>
                <c:pt idx="679">
                  <c:v>0.57996054001689479</c:v>
                </c:pt>
                <c:pt idx="680">
                  <c:v>0.57864989374440734</c:v>
                </c:pt>
                <c:pt idx="681">
                  <c:v>0.57567790594942436</c:v>
                </c:pt>
                <c:pt idx="682">
                  <c:v>0.58406462958698691</c:v>
                </c:pt>
                <c:pt idx="683">
                  <c:v>0.59082981370809651</c:v>
                </c:pt>
                <c:pt idx="684">
                  <c:v>0.58773983604016133</c:v>
                </c:pt>
                <c:pt idx="685">
                  <c:v>0.59369910632493228</c:v>
                </c:pt>
                <c:pt idx="686">
                  <c:v>0.59008276986765806</c:v>
                </c:pt>
                <c:pt idx="687">
                  <c:v>0.5891167836305351</c:v>
                </c:pt>
                <c:pt idx="688">
                  <c:v>0.59759738024030185</c:v>
                </c:pt>
                <c:pt idx="689">
                  <c:v>0.60329845328253273</c:v>
                </c:pt>
                <c:pt idx="690">
                  <c:v>0.61052454953760127</c:v>
                </c:pt>
                <c:pt idx="691">
                  <c:v>0.61625598588897235</c:v>
                </c:pt>
                <c:pt idx="692">
                  <c:v>0.60675342912578722</c:v>
                </c:pt>
                <c:pt idx="693">
                  <c:v>0.59655170784874367</c:v>
                </c:pt>
                <c:pt idx="694">
                  <c:v>0.58246570189272107</c:v>
                </c:pt>
                <c:pt idx="695">
                  <c:v>0.58103453478069844</c:v>
                </c:pt>
                <c:pt idx="696">
                  <c:v>0.57856562432563552</c:v>
                </c:pt>
                <c:pt idx="697">
                  <c:v>0.57157488202487083</c:v>
                </c:pt>
                <c:pt idx="698">
                  <c:v>0.58455716434803262</c:v>
                </c:pt>
                <c:pt idx="699">
                  <c:v>0.58144192003053252</c:v>
                </c:pt>
                <c:pt idx="700">
                  <c:v>0.57734588817452237</c:v>
                </c:pt>
                <c:pt idx="701">
                  <c:v>0.57756158805145175</c:v>
                </c:pt>
                <c:pt idx="702">
                  <c:v>0.56948118599270348</c:v>
                </c:pt>
                <c:pt idx="703">
                  <c:v>0.56659187106884257</c:v>
                </c:pt>
                <c:pt idx="704">
                  <c:v>0.57884189206846126</c:v>
                </c:pt>
                <c:pt idx="705">
                  <c:v>0.57746039672395533</c:v>
                </c:pt>
                <c:pt idx="706">
                  <c:v>0.57168870946710726</c:v>
                </c:pt>
                <c:pt idx="707">
                  <c:v>0.57708906467057619</c:v>
                </c:pt>
                <c:pt idx="708">
                  <c:v>0.57541750414338821</c:v>
                </c:pt>
                <c:pt idx="709">
                  <c:v>0.55571242062356807</c:v>
                </c:pt>
                <c:pt idx="710">
                  <c:v>0.57076776394330631</c:v>
                </c:pt>
                <c:pt idx="711">
                  <c:v>0.56689583976721214</c:v>
                </c:pt>
                <c:pt idx="712">
                  <c:v>0.56159688244163197</c:v>
                </c:pt>
                <c:pt idx="713">
                  <c:v>0.56588037585114981</c:v>
                </c:pt>
                <c:pt idx="714">
                  <c:v>0.56811268804806636</c:v>
                </c:pt>
                <c:pt idx="715">
                  <c:v>0.55983485149287904</c:v>
                </c:pt>
                <c:pt idx="716">
                  <c:v>0.57483763858023962</c:v>
                </c:pt>
                <c:pt idx="717">
                  <c:v>0.57316105843194642</c:v>
                </c:pt>
                <c:pt idx="718">
                  <c:v>0.55652814200492329</c:v>
                </c:pt>
                <c:pt idx="719">
                  <c:v>0.55843237163016157</c:v>
                </c:pt>
                <c:pt idx="720">
                  <c:v>0.55878135332763046</c:v>
                </c:pt>
                <c:pt idx="721">
                  <c:v>0.5641348348888271</c:v>
                </c:pt>
                <c:pt idx="722">
                  <c:v>0.56944115252285199</c:v>
                </c:pt>
                <c:pt idx="723">
                  <c:v>0.56405122907304039</c:v>
                </c:pt>
                <c:pt idx="724">
                  <c:v>0.58014907039711949</c:v>
                </c:pt>
                <c:pt idx="725">
                  <c:v>0.6045059164018729</c:v>
                </c:pt>
                <c:pt idx="726">
                  <c:v>0.6070364294110201</c:v>
                </c:pt>
                <c:pt idx="727">
                  <c:v>0.62149625029696476</c:v>
                </c:pt>
                <c:pt idx="728">
                  <c:v>0.62566337921675697</c:v>
                </c:pt>
                <c:pt idx="729">
                  <c:v>0.63476919659958941</c:v>
                </c:pt>
                <c:pt idx="730">
                  <c:v>0.64585615077754732</c:v>
                </c:pt>
                <c:pt idx="731">
                  <c:v>0.63666385149171534</c:v>
                </c:pt>
                <c:pt idx="732">
                  <c:v>0.6508663084565165</c:v>
                </c:pt>
                <c:pt idx="733">
                  <c:v>0.64649687249286103</c:v>
                </c:pt>
                <c:pt idx="734">
                  <c:v>0.64439911083943657</c:v>
                </c:pt>
                <c:pt idx="735">
                  <c:v>0.63792371564649608</c:v>
                </c:pt>
                <c:pt idx="736">
                  <c:v>0.65318936633554114</c:v>
                </c:pt>
                <c:pt idx="737">
                  <c:v>0.65562695242057956</c:v>
                </c:pt>
                <c:pt idx="738">
                  <c:v>0.65954637616836265</c:v>
                </c:pt>
                <c:pt idx="739">
                  <c:v>0.65889181263961749</c:v>
                </c:pt>
                <c:pt idx="740">
                  <c:v>0.66589184653822997</c:v>
                </c:pt>
                <c:pt idx="741">
                  <c:v>0.66113092727384659</c:v>
                </c:pt>
                <c:pt idx="742">
                  <c:v>0.65249559473378849</c:v>
                </c:pt>
                <c:pt idx="743">
                  <c:v>0.65159530874515204</c:v>
                </c:pt>
                <c:pt idx="744">
                  <c:v>0.64926848927453751</c:v>
                </c:pt>
                <c:pt idx="745">
                  <c:v>0.65452243905611374</c:v>
                </c:pt>
                <c:pt idx="746">
                  <c:v>0.643355851883742</c:v>
                </c:pt>
                <c:pt idx="747">
                  <c:v>0.6468834610167935</c:v>
                </c:pt>
                <c:pt idx="748">
                  <c:v>0.65041074662506815</c:v>
                </c:pt>
                <c:pt idx="749">
                  <c:v>0.64344918176579879</c:v>
                </c:pt>
                <c:pt idx="750">
                  <c:v>0.62827724047496392</c:v>
                </c:pt>
                <c:pt idx="751">
                  <c:v>0.61517979776821496</c:v>
                </c:pt>
                <c:pt idx="752">
                  <c:v>0.62330695060141494</c:v>
                </c:pt>
                <c:pt idx="753">
                  <c:v>0.61963370180001576</c:v>
                </c:pt>
                <c:pt idx="754">
                  <c:v>0.63060544101432581</c:v>
                </c:pt>
                <c:pt idx="755">
                  <c:v>0.63547716635747031</c:v>
                </c:pt>
                <c:pt idx="756">
                  <c:v>0.62986888659122287</c:v>
                </c:pt>
                <c:pt idx="757">
                  <c:v>0.62222046462000336</c:v>
                </c:pt>
                <c:pt idx="758">
                  <c:v>0.62769950616883552</c:v>
                </c:pt>
                <c:pt idx="759">
                  <c:v>0.63030451133780607</c:v>
                </c:pt>
                <c:pt idx="760">
                  <c:v>0.62981883546759332</c:v>
                </c:pt>
                <c:pt idx="761">
                  <c:v>0.60023683420140428</c:v>
                </c:pt>
                <c:pt idx="762">
                  <c:v>0.58873186026670354</c:v>
                </c:pt>
                <c:pt idx="763">
                  <c:v>0.59698005458755521</c:v>
                </c:pt>
                <c:pt idx="764">
                  <c:v>0.60330433062062871</c:v>
                </c:pt>
                <c:pt idx="765">
                  <c:v>0.6161926861227085</c:v>
                </c:pt>
                <c:pt idx="766">
                  <c:v>0.62163999201998221</c:v>
                </c:pt>
                <c:pt idx="767">
                  <c:v>0.62134989740360558</c:v>
                </c:pt>
                <c:pt idx="768">
                  <c:v>0.62071062848904734</c:v>
                </c:pt>
                <c:pt idx="769">
                  <c:v>0.62059197342266248</c:v>
                </c:pt>
                <c:pt idx="770">
                  <c:v>0.6280490309574972</c:v>
                </c:pt>
                <c:pt idx="771">
                  <c:v>0.61969161948915497</c:v>
                </c:pt>
                <c:pt idx="772">
                  <c:v>0.61202408909465189</c:v>
                </c:pt>
                <c:pt idx="773">
                  <c:v>0.60362407614422486</c:v>
                </c:pt>
                <c:pt idx="774">
                  <c:v>0.59612561439355694</c:v>
                </c:pt>
                <c:pt idx="775">
                  <c:v>0.58447783368286199</c:v>
                </c:pt>
                <c:pt idx="776">
                  <c:v>0.59010431966261923</c:v>
                </c:pt>
                <c:pt idx="777">
                  <c:v>0.58617492346530231</c:v>
                </c:pt>
                <c:pt idx="778">
                  <c:v>0.59150570680532255</c:v>
                </c:pt>
                <c:pt idx="779">
                  <c:v>0.58857242873698035</c:v>
                </c:pt>
                <c:pt idx="780">
                  <c:v>0.58918607047334248</c:v>
                </c:pt>
                <c:pt idx="781">
                  <c:v>0.59301015936014667</c:v>
                </c:pt>
                <c:pt idx="782">
                  <c:v>0.59977029559970541</c:v>
                </c:pt>
                <c:pt idx="783">
                  <c:v>0.5924413116082381</c:v>
                </c:pt>
                <c:pt idx="784">
                  <c:v>0.60201616903671784</c:v>
                </c:pt>
                <c:pt idx="785">
                  <c:v>0.59321388924934049</c:v>
                </c:pt>
                <c:pt idx="786">
                  <c:v>0.59252839309034422</c:v>
                </c:pt>
                <c:pt idx="787">
                  <c:v>0.59196344942124446</c:v>
                </c:pt>
                <c:pt idx="788">
                  <c:v>0.59593713330167863</c:v>
                </c:pt>
                <c:pt idx="789">
                  <c:v>0.58094829426799954</c:v>
                </c:pt>
                <c:pt idx="790">
                  <c:v>0.57465119663570652</c:v>
                </c:pt>
                <c:pt idx="791">
                  <c:v>0.57601488507607734</c:v>
                </c:pt>
                <c:pt idx="792">
                  <c:v>0.57964016643734362</c:v>
                </c:pt>
                <c:pt idx="793">
                  <c:v>0.57111524546872028</c:v>
                </c:pt>
                <c:pt idx="794">
                  <c:v>0.56390210222688042</c:v>
                </c:pt>
                <c:pt idx="795">
                  <c:v>0.55893767736723232</c:v>
                </c:pt>
                <c:pt idx="796">
                  <c:v>0.55974023708547982</c:v>
                </c:pt>
                <c:pt idx="797">
                  <c:v>0.56214328942031178</c:v>
                </c:pt>
                <c:pt idx="798">
                  <c:v>0.56439794229759255</c:v>
                </c:pt>
                <c:pt idx="799">
                  <c:v>0.5699511936187569</c:v>
                </c:pt>
                <c:pt idx="800">
                  <c:v>0.57014654617889815</c:v>
                </c:pt>
                <c:pt idx="801">
                  <c:v>0.57310568456439448</c:v>
                </c:pt>
                <c:pt idx="802">
                  <c:v>0.57053425681513981</c:v>
                </c:pt>
                <c:pt idx="803">
                  <c:v>0.56637989136354894</c:v>
                </c:pt>
                <c:pt idx="804">
                  <c:v>0.57656779425238514</c:v>
                </c:pt>
                <c:pt idx="805">
                  <c:v>0.56849513200865864</c:v>
                </c:pt>
                <c:pt idx="806">
                  <c:v>0.58593165050697127</c:v>
                </c:pt>
                <c:pt idx="807">
                  <c:v>0.57819953186385642</c:v>
                </c:pt>
                <c:pt idx="808">
                  <c:v>0.58665591873297696</c:v>
                </c:pt>
                <c:pt idx="809">
                  <c:v>0.58985224709846107</c:v>
                </c:pt>
                <c:pt idx="810">
                  <c:v>0.57351992585197697</c:v>
                </c:pt>
                <c:pt idx="811">
                  <c:v>0.57841243871640136</c:v>
                </c:pt>
                <c:pt idx="812">
                  <c:v>0.57485265876337888</c:v>
                </c:pt>
                <c:pt idx="813">
                  <c:v>0.58149321613545424</c:v>
                </c:pt>
                <c:pt idx="814">
                  <c:v>0.58174901776787835</c:v>
                </c:pt>
                <c:pt idx="815">
                  <c:v>0.55970351407415464</c:v>
                </c:pt>
                <c:pt idx="816">
                  <c:v>0.56307147900480603</c:v>
                </c:pt>
                <c:pt idx="817">
                  <c:v>0.56347918656280482</c:v>
                </c:pt>
                <c:pt idx="818">
                  <c:v>0.56400532069289788</c:v>
                </c:pt>
                <c:pt idx="819">
                  <c:v>0.57950894409209353</c:v>
                </c:pt>
                <c:pt idx="820">
                  <c:v>0.58063063001326487</c:v>
                </c:pt>
                <c:pt idx="821">
                  <c:v>0.57062411570793414</c:v>
                </c:pt>
                <c:pt idx="822">
                  <c:v>0.56351291570280293</c:v>
                </c:pt>
                <c:pt idx="823">
                  <c:v>0.5567207791418376</c:v>
                </c:pt>
                <c:pt idx="824">
                  <c:v>0.56301947729338675</c:v>
                </c:pt>
                <c:pt idx="825">
                  <c:v>0.56175752083765851</c:v>
                </c:pt>
                <c:pt idx="826">
                  <c:v>0.56866095628170843</c:v>
                </c:pt>
                <c:pt idx="827">
                  <c:v>0.56950780243901167</c:v>
                </c:pt>
                <c:pt idx="828">
                  <c:v>0.56516559468033511</c:v>
                </c:pt>
                <c:pt idx="829">
                  <c:v>0.56649742120187074</c:v>
                </c:pt>
                <c:pt idx="830">
                  <c:v>0.56470567381417069</c:v>
                </c:pt>
                <c:pt idx="831">
                  <c:v>0.57356411561170073</c:v>
                </c:pt>
                <c:pt idx="832">
                  <c:v>0.5610410549946292</c:v>
                </c:pt>
                <c:pt idx="833">
                  <c:v>0.55615123734773197</c:v>
                </c:pt>
                <c:pt idx="834">
                  <c:v>0.55042242395213314</c:v>
                </c:pt>
                <c:pt idx="835">
                  <c:v>0.55359257122442718</c:v>
                </c:pt>
                <c:pt idx="836">
                  <c:v>0.57828024811967771</c:v>
                </c:pt>
                <c:pt idx="837">
                  <c:v>0.57221381447276476</c:v>
                </c:pt>
                <c:pt idx="838">
                  <c:v>0.56901374149543171</c:v>
                </c:pt>
                <c:pt idx="839">
                  <c:v>0.55485973473975725</c:v>
                </c:pt>
                <c:pt idx="840">
                  <c:v>0.55771856249128349</c:v>
                </c:pt>
                <c:pt idx="841">
                  <c:v>0.5520614886536368</c:v>
                </c:pt>
                <c:pt idx="842">
                  <c:v>0.55491979493854848</c:v>
                </c:pt>
                <c:pt idx="843">
                  <c:v>0.55730967313597535</c:v>
                </c:pt>
                <c:pt idx="844">
                  <c:v>0.5545352019326667</c:v>
                </c:pt>
                <c:pt idx="845">
                  <c:v>0.5502630257765706</c:v>
                </c:pt>
                <c:pt idx="846">
                  <c:v>0.53528925933463811</c:v>
                </c:pt>
                <c:pt idx="847">
                  <c:v>0.54598468234310493</c:v>
                </c:pt>
                <c:pt idx="848">
                  <c:v>0.5388976340669529</c:v>
                </c:pt>
                <c:pt idx="849">
                  <c:v>0.52395870345755102</c:v>
                </c:pt>
                <c:pt idx="850">
                  <c:v>0.49257329273139205</c:v>
                </c:pt>
                <c:pt idx="851">
                  <c:v>0.50579747571962363</c:v>
                </c:pt>
                <c:pt idx="852">
                  <c:v>0.49164082524893526</c:v>
                </c:pt>
                <c:pt idx="853">
                  <c:v>0.48416248541416407</c:v>
                </c:pt>
                <c:pt idx="854">
                  <c:v>0.49338888474612785</c:v>
                </c:pt>
                <c:pt idx="855">
                  <c:v>0.50136033112928968</c:v>
                </c:pt>
                <c:pt idx="856">
                  <c:v>0.49095452208219392</c:v>
                </c:pt>
                <c:pt idx="857">
                  <c:v>0.49322340335789749</c:v>
                </c:pt>
                <c:pt idx="858">
                  <c:v>0.50518769530357077</c:v>
                </c:pt>
                <c:pt idx="859">
                  <c:v>0.52182881901813227</c:v>
                </c:pt>
                <c:pt idx="860">
                  <c:v>0.52868237537678098</c:v>
                </c:pt>
                <c:pt idx="861">
                  <c:v>0.52499538816543501</c:v>
                </c:pt>
                <c:pt idx="862">
                  <c:v>0.51442927941004046</c:v>
                </c:pt>
                <c:pt idx="863">
                  <c:v>0.51511306804353318</c:v>
                </c:pt>
                <c:pt idx="864">
                  <c:v>0.528012683306611</c:v>
                </c:pt>
                <c:pt idx="865">
                  <c:v>0.52751360682851922</c:v>
                </c:pt>
                <c:pt idx="866">
                  <c:v>0.52188292821123461</c:v>
                </c:pt>
                <c:pt idx="867">
                  <c:v>0.5222841618770302</c:v>
                </c:pt>
                <c:pt idx="868">
                  <c:v>0.51966199347790409</c:v>
                </c:pt>
                <c:pt idx="869">
                  <c:v>0.52509511787994678</c:v>
                </c:pt>
                <c:pt idx="870">
                  <c:v>0.52174953034732852</c:v>
                </c:pt>
                <c:pt idx="871">
                  <c:v>0.52311763564020142</c:v>
                </c:pt>
                <c:pt idx="872">
                  <c:v>0.50767777111335788</c:v>
                </c:pt>
                <c:pt idx="873">
                  <c:v>0.51560598129928559</c:v>
                </c:pt>
                <c:pt idx="874">
                  <c:v>0.51899950681815299</c:v>
                </c:pt>
                <c:pt idx="875">
                  <c:v>0.51438807787107987</c:v>
                </c:pt>
                <c:pt idx="876">
                  <c:v>0.51242104046850256</c:v>
                </c:pt>
                <c:pt idx="877">
                  <c:v>0.53381899020855583</c:v>
                </c:pt>
                <c:pt idx="878">
                  <c:v>0.52727600287008025</c:v>
                </c:pt>
                <c:pt idx="879">
                  <c:v>0.5125836297328219</c:v>
                </c:pt>
                <c:pt idx="880">
                  <c:v>0.50791350468129515</c:v>
                </c:pt>
                <c:pt idx="881">
                  <c:v>0.50171886323881776</c:v>
                </c:pt>
                <c:pt idx="882">
                  <c:v>0.5110343079884434</c:v>
                </c:pt>
                <c:pt idx="883">
                  <c:v>0.5194887497931594</c:v>
                </c:pt>
                <c:pt idx="884">
                  <c:v>0.52278928533719726</c:v>
                </c:pt>
                <c:pt idx="885">
                  <c:v>0.51161653011825048</c:v>
                </c:pt>
                <c:pt idx="886">
                  <c:v>0.51679933543430967</c:v>
                </c:pt>
                <c:pt idx="887">
                  <c:v>0.51949688897678614</c:v>
                </c:pt>
                <c:pt idx="888">
                  <c:v>0.50641195866268229</c:v>
                </c:pt>
                <c:pt idx="889">
                  <c:v>0.50566622227671298</c:v>
                </c:pt>
                <c:pt idx="890">
                  <c:v>0.49631466207171637</c:v>
                </c:pt>
                <c:pt idx="891">
                  <c:v>0.48217498561054517</c:v>
                </c:pt>
                <c:pt idx="892">
                  <c:v>0.4722443563750921</c:v>
                </c:pt>
                <c:pt idx="893">
                  <c:v>0.45051012080529207</c:v>
                </c:pt>
                <c:pt idx="894">
                  <c:v>0.44516846793555942</c:v>
                </c:pt>
                <c:pt idx="895">
                  <c:v>0.46261897013711406</c:v>
                </c:pt>
                <c:pt idx="896">
                  <c:v>0.479979595551567</c:v>
                </c:pt>
                <c:pt idx="897">
                  <c:v>0.47572887807025854</c:v>
                </c:pt>
                <c:pt idx="898">
                  <c:v>0.48478468626327054</c:v>
                </c:pt>
                <c:pt idx="899">
                  <c:v>0.5140285927188174</c:v>
                </c:pt>
                <c:pt idx="900">
                  <c:v>0.52063269377544175</c:v>
                </c:pt>
                <c:pt idx="901">
                  <c:v>0.52412800294104589</c:v>
                </c:pt>
                <c:pt idx="902">
                  <c:v>0.53169574454624857</c:v>
                </c:pt>
                <c:pt idx="903">
                  <c:v>0.52603600660189276</c:v>
                </c:pt>
                <c:pt idx="904">
                  <c:v>0.50908758056956271</c:v>
                </c:pt>
                <c:pt idx="905">
                  <c:v>0.51267729153860397</c:v>
                </c:pt>
                <c:pt idx="906">
                  <c:v>0.4974274625459415</c:v>
                </c:pt>
                <c:pt idx="907">
                  <c:v>0.48496114405900836</c:v>
                </c:pt>
                <c:pt idx="908">
                  <c:v>0.47773169572217733</c:v>
                </c:pt>
                <c:pt idx="909">
                  <c:v>0.49310941567600386</c:v>
                </c:pt>
                <c:pt idx="910">
                  <c:v>0.505208611866651</c:v>
                </c:pt>
                <c:pt idx="911">
                  <c:v>0.48229265906167407</c:v>
                </c:pt>
                <c:pt idx="912">
                  <c:v>0.50746293136183795</c:v>
                </c:pt>
                <c:pt idx="913">
                  <c:v>0.49567852661254852</c:v>
                </c:pt>
                <c:pt idx="914">
                  <c:v>0.51995680665426924</c:v>
                </c:pt>
                <c:pt idx="915">
                  <c:v>0.5219464759322392</c:v>
                </c:pt>
                <c:pt idx="916">
                  <c:v>0.50942772047448903</c:v>
                </c:pt>
                <c:pt idx="917">
                  <c:v>0.50840093466953495</c:v>
                </c:pt>
                <c:pt idx="918">
                  <c:v>0.48889172794622504</c:v>
                </c:pt>
                <c:pt idx="919">
                  <c:v>0.48216436154283404</c:v>
                </c:pt>
                <c:pt idx="920">
                  <c:v>0.49509807625069169</c:v>
                </c:pt>
                <c:pt idx="921">
                  <c:v>0.49170839941696431</c:v>
                </c:pt>
                <c:pt idx="922">
                  <c:v>0.49375572287479208</c:v>
                </c:pt>
                <c:pt idx="923">
                  <c:v>0.51629389259185654</c:v>
                </c:pt>
                <c:pt idx="924">
                  <c:v>0.52039363724042842</c:v>
                </c:pt>
                <c:pt idx="925">
                  <c:v>0.51812807495722235</c:v>
                </c:pt>
                <c:pt idx="926">
                  <c:v>0.51618360254882201</c:v>
                </c:pt>
                <c:pt idx="927">
                  <c:v>0.51422967744919623</c:v>
                </c:pt>
                <c:pt idx="928">
                  <c:v>0.51733188223820725</c:v>
                </c:pt>
                <c:pt idx="929">
                  <c:v>0.52094914758760602</c:v>
                </c:pt>
                <c:pt idx="930">
                  <c:v>0.5167827674679335</c:v>
                </c:pt>
                <c:pt idx="931">
                  <c:v>0.51625712800048174</c:v>
                </c:pt>
                <c:pt idx="932">
                  <c:v>0.52164673781278381</c:v>
                </c:pt>
                <c:pt idx="933">
                  <c:v>0.51782142103209483</c:v>
                </c:pt>
                <c:pt idx="934">
                  <c:v>0.51931774142049636</c:v>
                </c:pt>
                <c:pt idx="935">
                  <c:v>0.51254072141856932</c:v>
                </c:pt>
                <c:pt idx="936">
                  <c:v>0.50132850099217441</c:v>
                </c:pt>
                <c:pt idx="937">
                  <c:v>0.5014970889930046</c:v>
                </c:pt>
                <c:pt idx="938">
                  <c:v>0.50694764088813815</c:v>
                </c:pt>
                <c:pt idx="939">
                  <c:v>0.49669573027003411</c:v>
                </c:pt>
                <c:pt idx="940">
                  <c:v>0.50083438812478209</c:v>
                </c:pt>
                <c:pt idx="941">
                  <c:v>0.4868736136395132</c:v>
                </c:pt>
                <c:pt idx="942">
                  <c:v>0.47306517454988228</c:v>
                </c:pt>
                <c:pt idx="943">
                  <c:v>0.48434358736794936</c:v>
                </c:pt>
                <c:pt idx="944">
                  <c:v>0.48661552360306592</c:v>
                </c:pt>
                <c:pt idx="945">
                  <c:v>0.50576509713414475</c:v>
                </c:pt>
                <c:pt idx="946">
                  <c:v>0.49913703173870017</c:v>
                </c:pt>
                <c:pt idx="947">
                  <c:v>0.48648142353882395</c:v>
                </c:pt>
                <c:pt idx="948">
                  <c:v>0.46141110632208093</c:v>
                </c:pt>
                <c:pt idx="949">
                  <c:v>0.48173905465677858</c:v>
                </c:pt>
                <c:pt idx="950">
                  <c:v>0.51206114146483572</c:v>
                </c:pt>
                <c:pt idx="951">
                  <c:v>0.5131829911637501</c:v>
                </c:pt>
                <c:pt idx="952">
                  <c:v>0.51960253189398531</c:v>
                </c:pt>
                <c:pt idx="953">
                  <c:v>0.52028139813228158</c:v>
                </c:pt>
                <c:pt idx="954">
                  <c:v>0.51985536299334356</c:v>
                </c:pt>
                <c:pt idx="955">
                  <c:v>0.50811600842909588</c:v>
                </c:pt>
                <c:pt idx="956">
                  <c:v>0.48831101283134348</c:v>
                </c:pt>
                <c:pt idx="957">
                  <c:v>0.4739484135773171</c:v>
                </c:pt>
                <c:pt idx="958">
                  <c:v>0.47932634999920909</c:v>
                </c:pt>
                <c:pt idx="959">
                  <c:v>0.4849426861789996</c:v>
                </c:pt>
                <c:pt idx="960">
                  <c:v>0.47012934458137556</c:v>
                </c:pt>
                <c:pt idx="961">
                  <c:v>0.47059456177426584</c:v>
                </c:pt>
                <c:pt idx="962">
                  <c:v>0.45549702553132321</c:v>
                </c:pt>
                <c:pt idx="963">
                  <c:v>0.44669260369746422</c:v>
                </c:pt>
                <c:pt idx="964">
                  <c:v>0.44598346546959555</c:v>
                </c:pt>
                <c:pt idx="965">
                  <c:v>0.43581433574981909</c:v>
                </c:pt>
                <c:pt idx="966">
                  <c:v>0.43965622956911021</c:v>
                </c:pt>
                <c:pt idx="967">
                  <c:v>0.45517299948841206</c:v>
                </c:pt>
                <c:pt idx="968">
                  <c:v>0.46275475115108722</c:v>
                </c:pt>
                <c:pt idx="969">
                  <c:v>0.4683467231725168</c:v>
                </c:pt>
                <c:pt idx="970">
                  <c:v>0.4887812595787302</c:v>
                </c:pt>
                <c:pt idx="971">
                  <c:v>0.48722340751326021</c:v>
                </c:pt>
                <c:pt idx="972">
                  <c:v>0.50825351609894687</c:v>
                </c:pt>
                <c:pt idx="973">
                  <c:v>0.53418029396525391</c:v>
                </c:pt>
                <c:pt idx="974">
                  <c:v>0.54596970510659015</c:v>
                </c:pt>
                <c:pt idx="975">
                  <c:v>0.54065411862356572</c:v>
                </c:pt>
                <c:pt idx="976">
                  <c:v>0.54966580943636001</c:v>
                </c:pt>
                <c:pt idx="977">
                  <c:v>0.55559722569456937</c:v>
                </c:pt>
                <c:pt idx="978">
                  <c:v>0.55189119213557514</c:v>
                </c:pt>
                <c:pt idx="979">
                  <c:v>0.53711547164393281</c:v>
                </c:pt>
                <c:pt idx="980">
                  <c:v>0.52776684297829135</c:v>
                </c:pt>
                <c:pt idx="981">
                  <c:v>0.53499537582979584</c:v>
                </c:pt>
                <c:pt idx="982">
                  <c:v>0.53071945418119904</c:v>
                </c:pt>
                <c:pt idx="983">
                  <c:v>0.51143446558493588</c:v>
                </c:pt>
                <c:pt idx="984">
                  <c:v>0.51334094294556687</c:v>
                </c:pt>
                <c:pt idx="985">
                  <c:v>0.49284943636058354</c:v>
                </c:pt>
                <c:pt idx="986">
                  <c:v>0.50825063149643224</c:v>
                </c:pt>
                <c:pt idx="987">
                  <c:v>0.48940275939963185</c:v>
                </c:pt>
                <c:pt idx="988">
                  <c:v>0.48043174065506067</c:v>
                </c:pt>
                <c:pt idx="989">
                  <c:v>0.48522179851109026</c:v>
                </c:pt>
                <c:pt idx="990">
                  <c:v>0.48254698491279091</c:v>
                </c:pt>
                <c:pt idx="991">
                  <c:v>0.48798207314801889</c:v>
                </c:pt>
                <c:pt idx="992">
                  <c:v>0.48132853104527662</c:v>
                </c:pt>
                <c:pt idx="993">
                  <c:v>0.4816203796847679</c:v>
                </c:pt>
                <c:pt idx="994">
                  <c:v>0.48220762271826145</c:v>
                </c:pt>
                <c:pt idx="995">
                  <c:v>0.49032734599486127</c:v>
                </c:pt>
                <c:pt idx="996">
                  <c:v>0.48983182434017525</c:v>
                </c:pt>
                <c:pt idx="997">
                  <c:v>0.48619858427625795</c:v>
                </c:pt>
                <c:pt idx="998">
                  <c:v>0.50045451815646957</c:v>
                </c:pt>
                <c:pt idx="999">
                  <c:v>0.50170140957987241</c:v>
                </c:pt>
                <c:pt idx="1000">
                  <c:v>0.50636504554536166</c:v>
                </c:pt>
                <c:pt idx="1001">
                  <c:v>0.49193735855961573</c:v>
                </c:pt>
                <c:pt idx="1002">
                  <c:v>0.5056827266363213</c:v>
                </c:pt>
                <c:pt idx="1003">
                  <c:v>0.49739756940053159</c:v>
                </c:pt>
                <c:pt idx="1004">
                  <c:v>0.49543836416312603</c:v>
                </c:pt>
                <c:pt idx="1005">
                  <c:v>0.48230881141670201</c:v>
                </c:pt>
                <c:pt idx="1006">
                  <c:v>0.48755660691711045</c:v>
                </c:pt>
                <c:pt idx="1007">
                  <c:v>0.48223469406508712</c:v>
                </c:pt>
                <c:pt idx="1008">
                  <c:v>0.47558120014363647</c:v>
                </c:pt>
                <c:pt idx="1009">
                  <c:v>0.48474829514505369</c:v>
                </c:pt>
                <c:pt idx="1010">
                  <c:v>0.48296895031208253</c:v>
                </c:pt>
                <c:pt idx="1011">
                  <c:v>0.47846975244747536</c:v>
                </c:pt>
                <c:pt idx="1012">
                  <c:v>0.48166558166391926</c:v>
                </c:pt>
                <c:pt idx="1013">
                  <c:v>0.47916904718476938</c:v>
                </c:pt>
                <c:pt idx="1014">
                  <c:v>0.47516723282398599</c:v>
                </c:pt>
                <c:pt idx="1015">
                  <c:v>0.46931775071924131</c:v>
                </c:pt>
                <c:pt idx="1016">
                  <c:v>0.46995636881051372</c:v>
                </c:pt>
                <c:pt idx="1017">
                  <c:v>0.48578479174774158</c:v>
                </c:pt>
                <c:pt idx="1018">
                  <c:v>0.47017257967756687</c:v>
                </c:pt>
                <c:pt idx="1019">
                  <c:v>0.46031605952794019</c:v>
                </c:pt>
                <c:pt idx="1020">
                  <c:v>0.4510205825585698</c:v>
                </c:pt>
                <c:pt idx="1021">
                  <c:v>0.45074617121717264</c:v>
                </c:pt>
                <c:pt idx="1022">
                  <c:v>0.43405656576999074</c:v>
                </c:pt>
                <c:pt idx="1023">
                  <c:v>0.42619270825701239</c:v>
                </c:pt>
                <c:pt idx="1024">
                  <c:v>0.43377977834229475</c:v>
                </c:pt>
                <c:pt idx="1025">
                  <c:v>0.43727701493093829</c:v>
                </c:pt>
                <c:pt idx="1026">
                  <c:v>0.44448017196806155</c:v>
                </c:pt>
                <c:pt idx="1027">
                  <c:v>0.42925607198221782</c:v>
                </c:pt>
                <c:pt idx="1028">
                  <c:v>0.43417526515742888</c:v>
                </c:pt>
                <c:pt idx="1029">
                  <c:v>0.42792360230271931</c:v>
                </c:pt>
                <c:pt idx="1030">
                  <c:v>0.43066517472795773</c:v>
                </c:pt>
                <c:pt idx="1031">
                  <c:v>0.47878177933024968</c:v>
                </c:pt>
                <c:pt idx="1032">
                  <c:v>0.48103155766995553</c:v>
                </c:pt>
                <c:pt idx="1033">
                  <c:v>0.48677561918111534</c:v>
                </c:pt>
                <c:pt idx="1034">
                  <c:v>0.48262862618026592</c:v>
                </c:pt>
                <c:pt idx="1035">
                  <c:v>0.48996099402197402</c:v>
                </c:pt>
                <c:pt idx="1036">
                  <c:v>0.48165133219192358</c:v>
                </c:pt>
                <c:pt idx="1037">
                  <c:v>0.49049491566787029</c:v>
                </c:pt>
                <c:pt idx="1038">
                  <c:v>0.47083542013923241</c:v>
                </c:pt>
                <c:pt idx="1039">
                  <c:v>0.47222062222182248</c:v>
                </c:pt>
                <c:pt idx="1040">
                  <c:v>0.47469704241927457</c:v>
                </c:pt>
                <c:pt idx="1041">
                  <c:v>0.47166691696490926</c:v>
                </c:pt>
                <c:pt idx="1042">
                  <c:v>0.47894803738743519</c:v>
                </c:pt>
                <c:pt idx="1043">
                  <c:v>0.48513086901967761</c:v>
                </c:pt>
                <c:pt idx="1044">
                  <c:v>0.46172152781578502</c:v>
                </c:pt>
                <c:pt idx="1045">
                  <c:v>0.471139686171136</c:v>
                </c:pt>
                <c:pt idx="1046">
                  <c:v>0.45148850425700715</c:v>
                </c:pt>
                <c:pt idx="1047">
                  <c:v>0.46125886284387263</c:v>
                </c:pt>
                <c:pt idx="1048">
                  <c:v>0.44706139311757898</c:v>
                </c:pt>
                <c:pt idx="1049">
                  <c:v>0.43386898801786866</c:v>
                </c:pt>
                <c:pt idx="1050">
                  <c:v>0.47134257336247942</c:v>
                </c:pt>
                <c:pt idx="1051">
                  <c:v>0.47331931988516107</c:v>
                </c:pt>
                <c:pt idx="1052">
                  <c:v>0.47975402410398327</c:v>
                </c:pt>
                <c:pt idx="1053">
                  <c:v>0.51840615187141603</c:v>
                </c:pt>
                <c:pt idx="1054">
                  <c:v>0.50526466599887665</c:v>
                </c:pt>
                <c:pt idx="1055">
                  <c:v>0.50752541184718403</c:v>
                </c:pt>
                <c:pt idx="1056">
                  <c:v>0.5281019725343471</c:v>
                </c:pt>
                <c:pt idx="1057">
                  <c:v>0.5328483895756646</c:v>
                </c:pt>
                <c:pt idx="1058">
                  <c:v>0.53450720624912429</c:v>
                </c:pt>
                <c:pt idx="1059">
                  <c:v>0.54302141758680689</c:v>
                </c:pt>
                <c:pt idx="1060">
                  <c:v>0.54333012574772521</c:v>
                </c:pt>
                <c:pt idx="1061">
                  <c:v>0.54122710088393089</c:v>
                </c:pt>
                <c:pt idx="1062">
                  <c:v>0.5453741264705696</c:v>
                </c:pt>
                <c:pt idx="1063">
                  <c:v>0.55434020146823548</c:v>
                </c:pt>
                <c:pt idx="1064">
                  <c:v>0.54636004958658502</c:v>
                </c:pt>
                <c:pt idx="1065">
                  <c:v>0.54236621449890898</c:v>
                </c:pt>
                <c:pt idx="1066">
                  <c:v>0.54072067468069296</c:v>
                </c:pt>
                <c:pt idx="1067">
                  <c:v>0.54408947020654086</c:v>
                </c:pt>
                <c:pt idx="1068">
                  <c:v>0.55255653454439968</c:v>
                </c:pt>
                <c:pt idx="1069">
                  <c:v>0.55233759561684559</c:v>
                </c:pt>
                <c:pt idx="1070">
                  <c:v>0.55116805640221755</c:v>
                </c:pt>
                <c:pt idx="1071">
                  <c:v>0.54800211937164156</c:v>
                </c:pt>
                <c:pt idx="1072">
                  <c:v>0.53565846814954465</c:v>
                </c:pt>
                <c:pt idx="1073">
                  <c:v>0.53498742574224945</c:v>
                </c:pt>
                <c:pt idx="1074">
                  <c:v>0.54389192224661398</c:v>
                </c:pt>
                <c:pt idx="1075">
                  <c:v>0.54546590155122321</c:v>
                </c:pt>
                <c:pt idx="1076">
                  <c:v>0.54035963081888738</c:v>
                </c:pt>
                <c:pt idx="1077">
                  <c:v>0.54211788072765699</c:v>
                </c:pt>
                <c:pt idx="1078">
                  <c:v>0.53438903955544714</c:v>
                </c:pt>
                <c:pt idx="1079">
                  <c:v>0.51799442498632398</c:v>
                </c:pt>
                <c:pt idx="1080">
                  <c:v>0.52450895135995113</c:v>
                </c:pt>
                <c:pt idx="1081">
                  <c:v>0.51258322147965751</c:v>
                </c:pt>
                <c:pt idx="1082">
                  <c:v>0.52998531932370541</c:v>
                </c:pt>
                <c:pt idx="1083">
                  <c:v>0.51384134868717446</c:v>
                </c:pt>
                <c:pt idx="1084">
                  <c:v>0.51660204985574909</c:v>
                </c:pt>
                <c:pt idx="1085">
                  <c:v>0.52258211750076233</c:v>
                </c:pt>
                <c:pt idx="1086">
                  <c:v>0.57096959035208883</c:v>
                </c:pt>
                <c:pt idx="1087">
                  <c:v>0.58752392857739055</c:v>
                </c:pt>
                <c:pt idx="1088">
                  <c:v>0.60854440734934445</c:v>
                </c:pt>
                <c:pt idx="1089">
                  <c:v>0.63109272846916298</c:v>
                </c:pt>
                <c:pt idx="1090">
                  <c:v>0.62154506737754511</c:v>
                </c:pt>
                <c:pt idx="1091">
                  <c:v>0.6210998722447032</c:v>
                </c:pt>
                <c:pt idx="1092">
                  <c:v>0.62253148144592196</c:v>
                </c:pt>
                <c:pt idx="1093">
                  <c:v>0.63196034701472947</c:v>
                </c:pt>
                <c:pt idx="1094">
                  <c:v>0.64174691608006174</c:v>
                </c:pt>
                <c:pt idx="1095">
                  <c:v>0.64546654769485567</c:v>
                </c:pt>
                <c:pt idx="1096">
                  <c:v>0.62783236465508263</c:v>
                </c:pt>
                <c:pt idx="1097">
                  <c:v>0.61634498369066359</c:v>
                </c:pt>
                <c:pt idx="1098">
                  <c:v>0.62233539841185381</c:v>
                </c:pt>
                <c:pt idx="1099">
                  <c:v>0.62410820451800442</c:v>
                </c:pt>
                <c:pt idx="1100">
                  <c:v>0.60151221238283137</c:v>
                </c:pt>
                <c:pt idx="1101">
                  <c:v>0.61732461435514985</c:v>
                </c:pt>
                <c:pt idx="1102">
                  <c:v>0.63036050527266396</c:v>
                </c:pt>
                <c:pt idx="1103">
                  <c:v>0.61963224758804913</c:v>
                </c:pt>
                <c:pt idx="1104">
                  <c:v>0.62241443233152793</c:v>
                </c:pt>
                <c:pt idx="1105">
                  <c:v>0.62117208694549331</c:v>
                </c:pt>
                <c:pt idx="1106">
                  <c:v>0.63159029748347217</c:v>
                </c:pt>
                <c:pt idx="1107">
                  <c:v>0.62647672593208026</c:v>
                </c:pt>
                <c:pt idx="1108">
                  <c:v>0.62988407290680037</c:v>
                </c:pt>
                <c:pt idx="1109">
                  <c:v>0.60571912438775843</c:v>
                </c:pt>
                <c:pt idx="1110">
                  <c:v>0.59755002227309184</c:v>
                </c:pt>
                <c:pt idx="1111">
                  <c:v>0.58569113178886956</c:v>
                </c:pt>
                <c:pt idx="1112">
                  <c:v>0.58827619438043843</c:v>
                </c:pt>
                <c:pt idx="1113">
                  <c:v>0.60360529646915517</c:v>
                </c:pt>
                <c:pt idx="1114">
                  <c:v>0.60548007522159852</c:v>
                </c:pt>
                <c:pt idx="1115">
                  <c:v>0.59779885818587486</c:v>
                </c:pt>
                <c:pt idx="1116">
                  <c:v>0.58702133492560704</c:v>
                </c:pt>
                <c:pt idx="1117">
                  <c:v>0.57813616132083201</c:v>
                </c:pt>
                <c:pt idx="1118">
                  <c:v>0.59259487970599123</c:v>
                </c:pt>
                <c:pt idx="1119">
                  <c:v>0.58770903900283633</c:v>
                </c:pt>
                <c:pt idx="1120">
                  <c:v>0.57727345301646726</c:v>
                </c:pt>
                <c:pt idx="1121">
                  <c:v>0.58493321180962765</c:v>
                </c:pt>
                <c:pt idx="1122">
                  <c:v>0.58038057663113041</c:v>
                </c:pt>
                <c:pt idx="1123">
                  <c:v>0.60591398519397233</c:v>
                </c:pt>
                <c:pt idx="1124">
                  <c:v>0.61426962386033268</c:v>
                </c:pt>
                <c:pt idx="1125">
                  <c:v>0.60967896706068114</c:v>
                </c:pt>
                <c:pt idx="1126">
                  <c:v>0.59886113512943984</c:v>
                </c:pt>
                <c:pt idx="1127">
                  <c:v>0.60539862634826425</c:v>
                </c:pt>
                <c:pt idx="1128">
                  <c:v>0.59243473126961455</c:v>
                </c:pt>
                <c:pt idx="1129">
                  <c:v>0.58199322536361242</c:v>
                </c:pt>
                <c:pt idx="1130">
                  <c:v>0.5978771340044915</c:v>
                </c:pt>
                <c:pt idx="1131">
                  <c:v>0.60223087907277018</c:v>
                </c:pt>
                <c:pt idx="1132">
                  <c:v>0.60240047438369493</c:v>
                </c:pt>
                <c:pt idx="1133">
                  <c:v>0.59308982594744375</c:v>
                </c:pt>
                <c:pt idx="1134">
                  <c:v>0.59455787296559404</c:v>
                </c:pt>
                <c:pt idx="1135">
                  <c:v>0.5927368080437756</c:v>
                </c:pt>
                <c:pt idx="1136">
                  <c:v>0.59603616750890875</c:v>
                </c:pt>
                <c:pt idx="1137">
                  <c:v>0.5775841081104699</c:v>
                </c:pt>
                <c:pt idx="1138">
                  <c:v>0.58652768935818167</c:v>
                </c:pt>
                <c:pt idx="1139">
                  <c:v>0.58278149186205819</c:v>
                </c:pt>
                <c:pt idx="1140">
                  <c:v>0.57692856579612162</c:v>
                </c:pt>
                <c:pt idx="1141">
                  <c:v>0.58248414308445262</c:v>
                </c:pt>
                <c:pt idx="1142">
                  <c:v>0.5840830303573038</c:v>
                </c:pt>
                <c:pt idx="1143">
                  <c:v>0.58410415149516326</c:v>
                </c:pt>
                <c:pt idx="1144">
                  <c:v>0.58130864024125262</c:v>
                </c:pt>
                <c:pt idx="1145">
                  <c:v>0.58139114117509516</c:v>
                </c:pt>
                <c:pt idx="1146">
                  <c:v>0.55979280397926368</c:v>
                </c:pt>
                <c:pt idx="1147">
                  <c:v>0.56077942741526177</c:v>
                </c:pt>
                <c:pt idx="1148">
                  <c:v>0.56304988508802378</c:v>
                </c:pt>
                <c:pt idx="1149">
                  <c:v>0.5683419021584516</c:v>
                </c:pt>
                <c:pt idx="1150">
                  <c:v>0.5519788308546244</c:v>
                </c:pt>
                <c:pt idx="1151">
                  <c:v>0.56392706536734716</c:v>
                </c:pt>
                <c:pt idx="1152">
                  <c:v>0.5640597157958942</c:v>
                </c:pt>
                <c:pt idx="1153">
                  <c:v>0.57070355291282793</c:v>
                </c:pt>
                <c:pt idx="1154">
                  <c:v>0.57793133748227898</c:v>
                </c:pt>
                <c:pt idx="1155">
                  <c:v>0.5683450819805419</c:v>
                </c:pt>
                <c:pt idx="1156">
                  <c:v>0.56141634171040788</c:v>
                </c:pt>
                <c:pt idx="1157">
                  <c:v>0.56131181003669917</c:v>
                </c:pt>
                <c:pt idx="1158">
                  <c:v>0.56949244313500591</c:v>
                </c:pt>
                <c:pt idx="1159">
                  <c:v>0.56181241367447643</c:v>
                </c:pt>
                <c:pt idx="1160">
                  <c:v>0.56360449830052362</c:v>
                </c:pt>
                <c:pt idx="1161">
                  <c:v>0.56252834335302826</c:v>
                </c:pt>
                <c:pt idx="1162">
                  <c:v>0.58888514634007061</c:v>
                </c:pt>
                <c:pt idx="1163">
                  <c:v>0.57518526678677528</c:v>
                </c:pt>
                <c:pt idx="1164">
                  <c:v>0.54821141584935207</c:v>
                </c:pt>
                <c:pt idx="1165">
                  <c:v>0.53408915711068516</c:v>
                </c:pt>
                <c:pt idx="1166">
                  <c:v>0.57942450140932922</c:v>
                </c:pt>
                <c:pt idx="1167">
                  <c:v>0.56287512538842077</c:v>
                </c:pt>
                <c:pt idx="1168">
                  <c:v>0.56298384037421934</c:v>
                </c:pt>
                <c:pt idx="1169">
                  <c:v>0.53799022241236061</c:v>
                </c:pt>
                <c:pt idx="1170">
                  <c:v>0.543605201505302</c:v>
                </c:pt>
                <c:pt idx="1171">
                  <c:v>0.5660234326577388</c:v>
                </c:pt>
                <c:pt idx="1172">
                  <c:v>0.60613287284678674</c:v>
                </c:pt>
                <c:pt idx="1173">
                  <c:v>0.6122712609013039</c:v>
                </c:pt>
                <c:pt idx="1174">
                  <c:v>0.60398736478022363</c:v>
                </c:pt>
                <c:pt idx="1175">
                  <c:v>0.61278646973981354</c:v>
                </c:pt>
                <c:pt idx="1176">
                  <c:v>0.61419401890367742</c:v>
                </c:pt>
                <c:pt idx="1177">
                  <c:v>0.61553240496161532</c:v>
                </c:pt>
                <c:pt idx="1178">
                  <c:v>0.61864146996841707</c:v>
                </c:pt>
                <c:pt idx="1179">
                  <c:v>0.62248459896175801</c:v>
                </c:pt>
                <c:pt idx="1180">
                  <c:v>0.61828052317513849</c:v>
                </c:pt>
                <c:pt idx="1181">
                  <c:v>0.59983741881859054</c:v>
                </c:pt>
                <c:pt idx="1182">
                  <c:v>0.59106026594237537</c:v>
                </c:pt>
                <c:pt idx="1183">
                  <c:v>0.59527736798689546</c:v>
                </c:pt>
                <c:pt idx="1184">
                  <c:v>0.59865997892068434</c:v>
                </c:pt>
                <c:pt idx="1185">
                  <c:v>0.60316541110958011</c:v>
                </c:pt>
                <c:pt idx="1186">
                  <c:v>0.59795508308923251</c:v>
                </c:pt>
                <c:pt idx="1187">
                  <c:v>0.60332777558722372</c:v>
                </c:pt>
                <c:pt idx="1188">
                  <c:v>0.58832236991754971</c:v>
                </c:pt>
                <c:pt idx="1189">
                  <c:v>0.5953198826280317</c:v>
                </c:pt>
                <c:pt idx="1190">
                  <c:v>0.58914399624133473</c:v>
                </c:pt>
                <c:pt idx="1191">
                  <c:v>0.59038638288145917</c:v>
                </c:pt>
                <c:pt idx="1192">
                  <c:v>0.58833035912179499</c:v>
                </c:pt>
                <c:pt idx="1193">
                  <c:v>0.57166816788314834</c:v>
                </c:pt>
                <c:pt idx="1194">
                  <c:v>0.59500308158090687</c:v>
                </c:pt>
                <c:pt idx="1195">
                  <c:v>0.59689840996788734</c:v>
                </c:pt>
                <c:pt idx="1196">
                  <c:v>0.59883881635660519</c:v>
                </c:pt>
                <c:pt idx="1197">
                  <c:v>0.61565824377408684</c:v>
                </c:pt>
                <c:pt idx="1198">
                  <c:v>0.66543364006290751</c:v>
                </c:pt>
                <c:pt idx="1199">
                  <c:v>0.65996744443670896</c:v>
                </c:pt>
                <c:pt idx="1200">
                  <c:v>0.69846054461050433</c:v>
                </c:pt>
                <c:pt idx="1201">
                  <c:v>0.69703141177860251</c:v>
                </c:pt>
                <c:pt idx="1202">
                  <c:v>0.697344156469484</c:v>
                </c:pt>
                <c:pt idx="1203">
                  <c:v>0.70607830232676516</c:v>
                </c:pt>
                <c:pt idx="1204">
                  <c:v>0.6861183657640556</c:v>
                </c:pt>
                <c:pt idx="1205">
                  <c:v>0.67012654589159504</c:v>
                </c:pt>
                <c:pt idx="1206">
                  <c:v>0.69841687373332406</c:v>
                </c:pt>
                <c:pt idx="1207">
                  <c:v>0.72087731854523618</c:v>
                </c:pt>
                <c:pt idx="1208">
                  <c:v>0.73056023763605404</c:v>
                </c:pt>
                <c:pt idx="1209">
                  <c:v>0.72566614880883873</c:v>
                </c:pt>
                <c:pt idx="1210">
                  <c:v>0.72973845906986923</c:v>
                </c:pt>
                <c:pt idx="1211">
                  <c:v>0.719653189001764</c:v>
                </c:pt>
                <c:pt idx="1212">
                  <c:v>0.72997108560986224</c:v>
                </c:pt>
                <c:pt idx="1213">
                  <c:v>0.72766417284550244</c:v>
                </c:pt>
                <c:pt idx="1214">
                  <c:v>0.72574633189708493</c:v>
                </c:pt>
                <c:pt idx="1215">
                  <c:v>0.72605711218220348</c:v>
                </c:pt>
                <c:pt idx="1216">
                  <c:v>0.73870427741741596</c:v>
                </c:pt>
                <c:pt idx="1217">
                  <c:v>0.74433889933541897</c:v>
                </c:pt>
                <c:pt idx="1218">
                  <c:v>0.75067366832520022</c:v>
                </c:pt>
                <c:pt idx="1219">
                  <c:v>0.7534577939414997</c:v>
                </c:pt>
                <c:pt idx="1220">
                  <c:v>0.74007102640491707</c:v>
                </c:pt>
                <c:pt idx="1221">
                  <c:v>0.74118322434585471</c:v>
                </c:pt>
                <c:pt idx="1222">
                  <c:v>0.7420313472329938</c:v>
                </c:pt>
                <c:pt idx="1223">
                  <c:v>0.74359257900402675</c:v>
                </c:pt>
                <c:pt idx="1224">
                  <c:v>0.7328476312619332</c:v>
                </c:pt>
                <c:pt idx="1225">
                  <c:v>0.73483481532123118</c:v>
                </c:pt>
                <c:pt idx="1226">
                  <c:v>0.73395439121722739</c:v>
                </c:pt>
                <c:pt idx="1227">
                  <c:v>0.72388589144858795</c:v>
                </c:pt>
                <c:pt idx="1228">
                  <c:v>0.72502755414690201</c:v>
                </c:pt>
                <c:pt idx="1229">
                  <c:v>0.71441003562168492</c:v>
                </c:pt>
                <c:pt idx="1230">
                  <c:v>0.71196876384524965</c:v>
                </c:pt>
                <c:pt idx="1231">
                  <c:v>0.71850222292353694</c:v>
                </c:pt>
                <c:pt idx="1232">
                  <c:v>0.7188516781095684</c:v>
                </c:pt>
                <c:pt idx="1233">
                  <c:v>0.72759805612799</c:v>
                </c:pt>
                <c:pt idx="1234">
                  <c:v>0.72866747956850997</c:v>
                </c:pt>
                <c:pt idx="1235">
                  <c:v>0.72073926070068817</c:v>
                </c:pt>
                <c:pt idx="1236">
                  <c:v>0.72620754995637871</c:v>
                </c:pt>
                <c:pt idx="1237">
                  <c:v>0.72721436393220173</c:v>
                </c:pt>
                <c:pt idx="1238">
                  <c:v>0.72992255965865649</c:v>
                </c:pt>
                <c:pt idx="1239">
                  <c:v>0.73038509251943351</c:v>
                </c:pt>
                <c:pt idx="1240">
                  <c:v>0.73014996505624019</c:v>
                </c:pt>
                <c:pt idx="1241">
                  <c:v>0.73186803682253831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DB-495E-B280-B396BE8C5B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5956912"/>
        <c:axId val="655958832"/>
      </c:lineChart>
      <c:dateAx>
        <c:axId val="655956912"/>
        <c:scaling>
          <c:orientation val="minMax"/>
        </c:scaling>
        <c:delete val="0"/>
        <c:axPos val="b"/>
        <c:numFmt formatCode="d\-mmm\-yy" sourceLinked="1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5958832"/>
        <c:crosses val="autoZero"/>
        <c:auto val="1"/>
        <c:lblOffset val="100"/>
        <c:baseTimeUnit val="days"/>
        <c:majorUnit val="6"/>
        <c:majorTimeUnit val="months"/>
      </c:dateAx>
      <c:valAx>
        <c:axId val="655958832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5956912"/>
        <c:crosses val="autoZero"/>
        <c:crossBetween val="between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583405</xdr:colOff>
      <xdr:row>9</xdr:row>
      <xdr:rowOff>57150</xdr:rowOff>
    </xdr:from>
    <xdr:to>
      <xdr:col>20</xdr:col>
      <xdr:colOff>621505</xdr:colOff>
      <xdr:row>24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F998EB-6CA0-1F20-75F0-C4601D081F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B8E29-FC4F-4FEF-9EEB-DC071E098347}">
  <dimension ref="A1:T1244"/>
  <sheetViews>
    <sheetView showGridLines="0" zoomScale="85" zoomScaleNormal="85" workbookViewId="0">
      <selection activeCell="AB25" sqref="AB25"/>
    </sheetView>
  </sheetViews>
  <sheetFormatPr defaultRowHeight="14.25" x14ac:dyDescent="0.45"/>
  <cols>
    <col min="1" max="1" width="9.33203125" style="1" bestFit="1" customWidth="1"/>
    <col min="2" max="3" width="9.06640625" style="1"/>
    <col min="4" max="4" width="9.33203125" style="1" bestFit="1" customWidth="1"/>
    <col min="5" max="5" width="9.46484375" style="1" bestFit="1" customWidth="1"/>
    <col min="6" max="6" width="9.06640625" style="1"/>
    <col min="7" max="8" width="16.3984375" style="1" bestFit="1" customWidth="1"/>
    <col min="9" max="9" width="9.06640625" style="1"/>
    <col min="10" max="10" width="23.53125" style="1" bestFit="1" customWidth="1"/>
    <col min="11" max="11" width="21" style="1" bestFit="1" customWidth="1"/>
    <col min="12" max="16384" width="9.06640625" style="1"/>
  </cols>
  <sheetData>
    <row r="1" spans="1:13" x14ac:dyDescent="0.45">
      <c r="A1" s="48" t="s">
        <v>13</v>
      </c>
      <c r="B1" s="48"/>
      <c r="D1" s="48" t="s">
        <v>14</v>
      </c>
      <c r="E1" s="48"/>
    </row>
    <row r="2" spans="1:13" ht="14.65" thickBot="1" x14ac:dyDescent="0.5">
      <c r="A2" s="5" t="s">
        <v>0</v>
      </c>
      <c r="B2" s="5" t="s">
        <v>1</v>
      </c>
      <c r="D2" s="5" t="s">
        <v>0</v>
      </c>
      <c r="E2" s="5" t="s">
        <v>1</v>
      </c>
      <c r="G2" s="1" t="s">
        <v>2</v>
      </c>
      <c r="H2" s="1" t="s">
        <v>3</v>
      </c>
      <c r="J2" s="1" t="s">
        <v>30</v>
      </c>
      <c r="K2" s="1" t="s">
        <v>4</v>
      </c>
      <c r="M2" s="1" t="s">
        <v>5</v>
      </c>
    </row>
    <row r="3" spans="1:13" x14ac:dyDescent="0.45">
      <c r="A3" s="2">
        <v>45943</v>
      </c>
      <c r="B3" s="3">
        <v>13468.4</v>
      </c>
      <c r="D3" s="2">
        <v>45943</v>
      </c>
      <c r="E3" s="3">
        <v>3502.8</v>
      </c>
      <c r="G3" s="3">
        <v>20240000</v>
      </c>
      <c r="H3" s="3">
        <f>+G3*B3</f>
        <v>272600416000</v>
      </c>
      <c r="J3" s="3">
        <v>238782786</v>
      </c>
      <c r="K3" s="3">
        <f>+J3*E3</f>
        <v>836408342800.80005</v>
      </c>
      <c r="M3" s="4">
        <f>1- (H3/K3)</f>
        <v>0.67408214140097011</v>
      </c>
    </row>
    <row r="4" spans="1:13" x14ac:dyDescent="0.45">
      <c r="A4" s="2">
        <v>45940</v>
      </c>
      <c r="B4" s="3">
        <v>13241.5</v>
      </c>
      <c r="D4" s="2">
        <v>45940</v>
      </c>
      <c r="E4" s="3">
        <v>3489.85</v>
      </c>
      <c r="G4" s="3">
        <v>20240000</v>
      </c>
      <c r="H4" s="3">
        <f t="shared" ref="H4:H67" si="0">+G4*B4</f>
        <v>268007960000</v>
      </c>
      <c r="J4" s="3">
        <v>238782786</v>
      </c>
      <c r="K4" s="3">
        <f>+J4*E4</f>
        <v>833316105722.09998</v>
      </c>
      <c r="M4" s="4">
        <f>1- (H4/K4)</f>
        <v>0.67838379918535119</v>
      </c>
    </row>
    <row r="5" spans="1:13" x14ac:dyDescent="0.45">
      <c r="A5" s="2">
        <v>45939</v>
      </c>
      <c r="B5" s="3">
        <v>13318.5</v>
      </c>
      <c r="D5" s="2">
        <v>45939</v>
      </c>
      <c r="E5" s="3">
        <v>3489</v>
      </c>
      <c r="G5" s="3">
        <v>20240000</v>
      </c>
      <c r="H5" s="3">
        <f t="shared" si="0"/>
        <v>269566440000</v>
      </c>
      <c r="J5" s="3">
        <v>238782786</v>
      </c>
      <c r="K5" s="3">
        <f t="shared" ref="K5:K67" si="1">+J5*E5</f>
        <v>833113140354</v>
      </c>
      <c r="M5" s="4">
        <f t="shared" ref="M5:M67" si="2">1- (H5/K5)</f>
        <v>0.6764347758511432</v>
      </c>
    </row>
    <row r="6" spans="1:13" x14ac:dyDescent="0.45">
      <c r="A6" s="2">
        <v>45938</v>
      </c>
      <c r="B6" s="3">
        <v>13135.75</v>
      </c>
      <c r="D6" s="2">
        <v>45938</v>
      </c>
      <c r="E6" s="3">
        <v>3481.2</v>
      </c>
      <c r="G6" s="3">
        <v>20240000</v>
      </c>
      <c r="H6" s="3">
        <f t="shared" si="0"/>
        <v>265867580000</v>
      </c>
      <c r="J6" s="3">
        <v>238782786</v>
      </c>
      <c r="K6" s="3">
        <f t="shared" si="1"/>
        <v>831250634623.19995</v>
      </c>
      <c r="M6" s="4">
        <f t="shared" si="2"/>
        <v>0.68015954643990628</v>
      </c>
    </row>
    <row r="7" spans="1:13" x14ac:dyDescent="0.45">
      <c r="A7" s="2">
        <v>45937</v>
      </c>
      <c r="B7" s="3">
        <v>13041.75</v>
      </c>
      <c r="D7" s="2">
        <v>45937</v>
      </c>
      <c r="E7" s="3">
        <v>3509.9</v>
      </c>
      <c r="G7" s="3">
        <v>20240000</v>
      </c>
      <c r="H7" s="3">
        <f t="shared" si="0"/>
        <v>263965020000</v>
      </c>
      <c r="J7" s="3">
        <v>238782786</v>
      </c>
      <c r="K7" s="3">
        <f t="shared" si="1"/>
        <v>838103700581.40002</v>
      </c>
      <c r="M7" s="4">
        <f t="shared" si="2"/>
        <v>0.6850449176911102</v>
      </c>
    </row>
    <row r="8" spans="1:13" x14ac:dyDescent="0.45">
      <c r="A8" s="2">
        <v>45936</v>
      </c>
      <c r="B8" s="3">
        <v>13176.05</v>
      </c>
      <c r="D8" s="2">
        <v>45936</v>
      </c>
      <c r="E8" s="3">
        <v>3510.75</v>
      </c>
      <c r="G8" s="3">
        <v>20240000</v>
      </c>
      <c r="H8" s="3">
        <f t="shared" si="0"/>
        <v>266683252000</v>
      </c>
      <c r="J8" s="3">
        <v>238782786</v>
      </c>
      <c r="K8" s="3">
        <f t="shared" si="1"/>
        <v>838306665949.5</v>
      </c>
      <c r="M8" s="4">
        <f t="shared" si="2"/>
        <v>0.6818786455694662</v>
      </c>
    </row>
    <row r="9" spans="1:13" x14ac:dyDescent="0.45">
      <c r="A9" s="2">
        <v>45933</v>
      </c>
      <c r="B9" s="3">
        <v>13178.5</v>
      </c>
      <c r="D9" s="2">
        <v>45933</v>
      </c>
      <c r="E9" s="3">
        <v>3455.55</v>
      </c>
      <c r="G9" s="3">
        <v>20240000</v>
      </c>
      <c r="H9" s="3">
        <f t="shared" si="0"/>
        <v>266732840000</v>
      </c>
      <c r="J9" s="3">
        <v>238782786</v>
      </c>
      <c r="K9" s="3">
        <f t="shared" si="1"/>
        <v>825125856162.30005</v>
      </c>
      <c r="M9" s="4">
        <f t="shared" si="2"/>
        <v>0.67673678141588334</v>
      </c>
    </row>
    <row r="10" spans="1:13" x14ac:dyDescent="0.45">
      <c r="A10" s="2">
        <v>45931</v>
      </c>
      <c r="B10" s="3">
        <v>12784.85</v>
      </c>
      <c r="D10" s="2">
        <v>45931</v>
      </c>
      <c r="E10" s="3">
        <v>3456.95</v>
      </c>
      <c r="G10" s="3">
        <v>20240000</v>
      </c>
      <c r="H10" s="3">
        <f t="shared" si="0"/>
        <v>258765364000</v>
      </c>
      <c r="J10" s="3">
        <v>238782786</v>
      </c>
      <c r="K10" s="3">
        <f t="shared" si="1"/>
        <v>825460152062.69995</v>
      </c>
      <c r="M10" s="4">
        <f t="shared" si="2"/>
        <v>0.68651986004002186</v>
      </c>
    </row>
    <row r="11" spans="1:13" x14ac:dyDescent="0.45">
      <c r="A11" s="2">
        <v>45930</v>
      </c>
      <c r="B11" s="3">
        <v>12741.4</v>
      </c>
      <c r="D11" s="2">
        <v>45930</v>
      </c>
      <c r="E11" s="3">
        <v>3439</v>
      </c>
      <c r="G11" s="3">
        <v>20240000</v>
      </c>
      <c r="H11" s="3">
        <f t="shared" si="0"/>
        <v>257885936000</v>
      </c>
      <c r="J11" s="3">
        <v>238782786</v>
      </c>
      <c r="K11" s="3">
        <f t="shared" si="1"/>
        <v>821174001054</v>
      </c>
      <c r="M11" s="4">
        <f t="shared" si="2"/>
        <v>0.68595457763032419</v>
      </c>
    </row>
    <row r="12" spans="1:13" x14ac:dyDescent="0.45">
      <c r="A12" s="2">
        <v>45929</v>
      </c>
      <c r="B12" s="3">
        <v>12845.6</v>
      </c>
      <c r="D12" s="2">
        <v>45929</v>
      </c>
      <c r="E12" s="3">
        <v>3442.15</v>
      </c>
      <c r="G12" s="3">
        <v>20240000</v>
      </c>
      <c r="H12" s="3">
        <f t="shared" si="0"/>
        <v>259994944000</v>
      </c>
      <c r="J12" s="3">
        <v>238782786</v>
      </c>
      <c r="K12" s="3">
        <f t="shared" si="1"/>
        <v>821926166829.90002</v>
      </c>
      <c r="M12" s="4">
        <f t="shared" si="2"/>
        <v>0.68367603503514363</v>
      </c>
    </row>
    <row r="13" spans="1:13" x14ac:dyDescent="0.45">
      <c r="A13" s="2">
        <v>45926</v>
      </c>
      <c r="B13" s="3">
        <v>12702.15</v>
      </c>
      <c r="D13" s="2">
        <v>45926</v>
      </c>
      <c r="E13" s="3">
        <v>3413.2</v>
      </c>
      <c r="G13" s="3">
        <v>20240000</v>
      </c>
      <c r="H13" s="3">
        <f t="shared" si="0"/>
        <v>257091516000</v>
      </c>
      <c r="J13" s="3">
        <v>238782786</v>
      </c>
      <c r="K13" s="3">
        <f t="shared" si="1"/>
        <v>815013405175.19995</v>
      </c>
      <c r="M13" s="4">
        <f t="shared" si="2"/>
        <v>0.68455547556946739</v>
      </c>
    </row>
    <row r="14" spans="1:13" x14ac:dyDescent="0.45">
      <c r="A14" s="2">
        <v>45925</v>
      </c>
      <c r="B14" s="3">
        <v>12963.5</v>
      </c>
      <c r="D14" s="2">
        <v>45925</v>
      </c>
      <c r="E14" s="3">
        <v>3406.05</v>
      </c>
      <c r="G14" s="3">
        <v>20240000</v>
      </c>
      <c r="H14" s="3">
        <f t="shared" si="0"/>
        <v>262381240000</v>
      </c>
      <c r="J14" s="3">
        <v>238782786</v>
      </c>
      <c r="K14" s="3">
        <f t="shared" si="1"/>
        <v>813306108255.30005</v>
      </c>
      <c r="M14" s="4">
        <f t="shared" si="2"/>
        <v>0.67738931585936468</v>
      </c>
    </row>
    <row r="15" spans="1:13" x14ac:dyDescent="0.45">
      <c r="A15" s="2">
        <v>45924</v>
      </c>
      <c r="B15" s="3">
        <v>12962.1</v>
      </c>
      <c r="D15" s="2">
        <v>45924</v>
      </c>
      <c r="E15" s="3">
        <v>3451.95</v>
      </c>
      <c r="G15" s="3">
        <v>20240000</v>
      </c>
      <c r="H15" s="3">
        <f t="shared" si="0"/>
        <v>262352904000</v>
      </c>
      <c r="J15" s="3">
        <v>238782786</v>
      </c>
      <c r="K15" s="3">
        <f t="shared" si="1"/>
        <v>824266238132.69995</v>
      </c>
      <c r="M15" s="4">
        <f t="shared" si="2"/>
        <v>0.68171339324253211</v>
      </c>
    </row>
    <row r="16" spans="1:13" x14ac:dyDescent="0.45">
      <c r="A16" s="2">
        <v>45923</v>
      </c>
      <c r="B16" s="3">
        <v>13076.55</v>
      </c>
      <c r="D16" s="2">
        <v>45923</v>
      </c>
      <c r="E16" s="3">
        <v>3513.5</v>
      </c>
      <c r="G16" s="3">
        <v>20240000</v>
      </c>
      <c r="H16" s="3">
        <f t="shared" si="0"/>
        <v>264669372000</v>
      </c>
      <c r="J16" s="3">
        <v>238782786</v>
      </c>
      <c r="K16" s="3">
        <f t="shared" si="1"/>
        <v>838963318611</v>
      </c>
      <c r="M16" s="4">
        <f t="shared" si="2"/>
        <v>0.68452807634284829</v>
      </c>
    </row>
    <row r="17" spans="1:20" x14ac:dyDescent="0.45">
      <c r="A17" s="2">
        <v>45922</v>
      </c>
      <c r="B17" s="3">
        <v>13434</v>
      </c>
      <c r="D17" s="2">
        <v>45922</v>
      </c>
      <c r="E17" s="3">
        <v>3525.55</v>
      </c>
      <c r="G17" s="3">
        <v>20240000</v>
      </c>
      <c r="H17" s="3">
        <f t="shared" si="0"/>
        <v>271904160000</v>
      </c>
      <c r="J17" s="3">
        <v>238782786</v>
      </c>
      <c r="K17" s="3">
        <f t="shared" si="1"/>
        <v>841840651182.30005</v>
      </c>
      <c r="M17" s="4">
        <f t="shared" si="2"/>
        <v>0.67701231863995681</v>
      </c>
    </row>
    <row r="18" spans="1:20" x14ac:dyDescent="0.45">
      <c r="A18" s="2">
        <v>45919</v>
      </c>
      <c r="B18" s="3">
        <v>13444</v>
      </c>
      <c r="D18" s="2">
        <v>45919</v>
      </c>
      <c r="E18" s="3">
        <v>3530.85</v>
      </c>
      <c r="G18" s="3">
        <v>20240000</v>
      </c>
      <c r="H18" s="3">
        <f t="shared" si="0"/>
        <v>272106560000</v>
      </c>
      <c r="J18" s="3">
        <v>238782786</v>
      </c>
      <c r="K18" s="3">
        <f t="shared" si="1"/>
        <v>843106199948.09998</v>
      </c>
      <c r="M18" s="4">
        <f t="shared" si="2"/>
        <v>0.67725707625356057</v>
      </c>
    </row>
    <row r="19" spans="1:20" x14ac:dyDescent="0.45">
      <c r="A19" s="2">
        <v>45918</v>
      </c>
      <c r="B19" s="3">
        <v>13312.2</v>
      </c>
      <c r="D19" s="2">
        <v>45918</v>
      </c>
      <c r="E19" s="3">
        <v>3546.75</v>
      </c>
      <c r="G19" s="3">
        <v>20240000</v>
      </c>
      <c r="H19" s="3">
        <f t="shared" si="0"/>
        <v>269438928000</v>
      </c>
      <c r="J19" s="3">
        <v>238782786</v>
      </c>
      <c r="K19" s="3">
        <f t="shared" si="1"/>
        <v>846902846245.5</v>
      </c>
      <c r="M19" s="4">
        <f t="shared" si="2"/>
        <v>0.68185379327217999</v>
      </c>
    </row>
    <row r="20" spans="1:20" x14ac:dyDescent="0.45">
      <c r="A20" s="2">
        <v>45917</v>
      </c>
      <c r="B20" s="3">
        <v>13308.65</v>
      </c>
      <c r="D20" s="2">
        <v>45917</v>
      </c>
      <c r="E20" s="3">
        <v>3498.4</v>
      </c>
      <c r="G20" s="3">
        <v>20240000</v>
      </c>
      <c r="H20" s="3">
        <f t="shared" si="0"/>
        <v>269367076000</v>
      </c>
      <c r="J20" s="3">
        <v>238782786</v>
      </c>
      <c r="K20" s="3">
        <f t="shared" si="1"/>
        <v>835357698542.40002</v>
      </c>
      <c r="M20" s="4">
        <f t="shared" si="2"/>
        <v>0.67754283408171911</v>
      </c>
    </row>
    <row r="21" spans="1:20" x14ac:dyDescent="0.45">
      <c r="A21" s="2">
        <v>45916</v>
      </c>
      <c r="B21" s="3">
        <v>13300.35</v>
      </c>
      <c r="D21" s="2">
        <v>45916</v>
      </c>
      <c r="E21" s="3">
        <v>3499.45</v>
      </c>
      <c r="G21" s="3">
        <v>20240000</v>
      </c>
      <c r="H21" s="3">
        <f t="shared" si="0"/>
        <v>269199084000</v>
      </c>
      <c r="J21" s="3">
        <v>238782786</v>
      </c>
      <c r="K21" s="3">
        <f t="shared" si="1"/>
        <v>835608420467.69995</v>
      </c>
      <c r="M21" s="4">
        <f t="shared" si="2"/>
        <v>0.67784062797102251</v>
      </c>
    </row>
    <row r="22" spans="1:20" x14ac:dyDescent="0.45">
      <c r="A22" s="2">
        <v>45915</v>
      </c>
      <c r="B22" s="3">
        <v>13293.8</v>
      </c>
      <c r="D22" s="2">
        <v>45915</v>
      </c>
      <c r="E22" s="3">
        <v>3477.1</v>
      </c>
      <c r="G22" s="3">
        <v>20240000</v>
      </c>
      <c r="H22" s="3">
        <f t="shared" si="0"/>
        <v>269066512000</v>
      </c>
      <c r="J22" s="3">
        <v>238782786</v>
      </c>
      <c r="K22" s="3">
        <f t="shared" si="1"/>
        <v>830271625200.59998</v>
      </c>
      <c r="M22" s="4">
        <f t="shared" si="2"/>
        <v>0.67592953458455063</v>
      </c>
    </row>
    <row r="23" spans="1:20" x14ac:dyDescent="0.45">
      <c r="A23" s="2">
        <v>45912</v>
      </c>
      <c r="B23" s="3">
        <v>13291.4</v>
      </c>
      <c r="D23" s="2">
        <v>45912</v>
      </c>
      <c r="E23" s="3">
        <v>3494.3</v>
      </c>
      <c r="G23" s="3">
        <v>20240000</v>
      </c>
      <c r="H23" s="3">
        <f t="shared" si="0"/>
        <v>269017936000</v>
      </c>
      <c r="J23" s="3">
        <v>238782786</v>
      </c>
      <c r="K23" s="3">
        <f t="shared" si="1"/>
        <v>834378689119.80005</v>
      </c>
      <c r="M23" s="4">
        <f t="shared" si="2"/>
        <v>0.67758292546542442</v>
      </c>
    </row>
    <row r="24" spans="1:20" x14ac:dyDescent="0.45">
      <c r="A24" s="2">
        <v>45911</v>
      </c>
      <c r="B24" s="3">
        <v>13032.05</v>
      </c>
      <c r="D24" s="2">
        <v>45911</v>
      </c>
      <c r="E24" s="3">
        <v>3511.45</v>
      </c>
      <c r="G24" s="3">
        <v>20240000</v>
      </c>
      <c r="H24" s="3">
        <f t="shared" si="0"/>
        <v>263768692000</v>
      </c>
      <c r="J24" s="3">
        <v>238782786</v>
      </c>
      <c r="K24" s="3">
        <f t="shared" si="1"/>
        <v>838473813899.69995</v>
      </c>
      <c r="M24" s="4">
        <f t="shared" si="2"/>
        <v>0.68541809222016736</v>
      </c>
    </row>
    <row r="25" spans="1:20" x14ac:dyDescent="0.45">
      <c r="A25" s="2">
        <v>45910</v>
      </c>
      <c r="B25" s="3">
        <v>13260.5</v>
      </c>
      <c r="D25" s="2">
        <v>45910</v>
      </c>
      <c r="E25" s="3">
        <v>3495.5</v>
      </c>
      <c r="G25" s="3">
        <v>20240000</v>
      </c>
      <c r="H25" s="3">
        <f t="shared" si="0"/>
        <v>268392520000</v>
      </c>
      <c r="J25" s="3">
        <v>238782786</v>
      </c>
      <c r="K25" s="3">
        <f t="shared" si="1"/>
        <v>834665228463</v>
      </c>
      <c r="M25" s="4">
        <f t="shared" si="2"/>
        <v>0.67844291238268872</v>
      </c>
    </row>
    <row r="26" spans="1:20" x14ac:dyDescent="0.45">
      <c r="A26" s="2">
        <v>45909</v>
      </c>
      <c r="B26" s="3">
        <v>12903.35</v>
      </c>
      <c r="D26" s="2">
        <v>45909</v>
      </c>
      <c r="E26" s="3">
        <v>3565.9</v>
      </c>
      <c r="G26" s="3">
        <v>20240000</v>
      </c>
      <c r="H26" s="3">
        <f t="shared" si="0"/>
        <v>261163804000</v>
      </c>
      <c r="J26" s="3">
        <v>238782786</v>
      </c>
      <c r="K26" s="3">
        <f t="shared" si="1"/>
        <v>851475536597.40002</v>
      </c>
      <c r="M26" s="4">
        <f t="shared" si="2"/>
        <v>0.69328090734862169</v>
      </c>
    </row>
    <row r="27" spans="1:20" ht="14.65" thickBot="1" x14ac:dyDescent="0.5">
      <c r="A27" s="2">
        <v>45908</v>
      </c>
      <c r="B27" s="3">
        <v>12951.55</v>
      </c>
      <c r="D27" s="2">
        <v>45908</v>
      </c>
      <c r="E27" s="3">
        <v>3590.1</v>
      </c>
      <c r="G27" s="3">
        <v>20240000</v>
      </c>
      <c r="H27" s="3">
        <f t="shared" si="0"/>
        <v>262139372000</v>
      </c>
      <c r="J27" s="3">
        <v>238782786</v>
      </c>
      <c r="K27" s="3">
        <f t="shared" si="1"/>
        <v>857254080018.59998</v>
      </c>
      <c r="M27" s="4">
        <f t="shared" si="2"/>
        <v>0.69421041193025024</v>
      </c>
    </row>
    <row r="28" spans="1:20" x14ac:dyDescent="0.45">
      <c r="A28" s="2">
        <v>45905</v>
      </c>
      <c r="B28" s="3">
        <v>12176.2</v>
      </c>
      <c r="D28" s="2">
        <v>45905</v>
      </c>
      <c r="E28" s="3">
        <v>3476.95</v>
      </c>
      <c r="G28" s="3">
        <v>20240000</v>
      </c>
      <c r="H28" s="3">
        <f t="shared" si="0"/>
        <v>246446288000</v>
      </c>
      <c r="J28" s="3">
        <v>238782786</v>
      </c>
      <c r="K28" s="3">
        <f t="shared" si="1"/>
        <v>830235807782.69995</v>
      </c>
      <c r="M28" s="4">
        <f t="shared" si="2"/>
        <v>0.70316109508913982</v>
      </c>
      <c r="P28" s="49" t="s">
        <v>13</v>
      </c>
      <c r="Q28" s="50"/>
      <c r="R28" s="50"/>
      <c r="S28" s="50"/>
      <c r="T28" s="51"/>
    </row>
    <row r="29" spans="1:20" x14ac:dyDescent="0.45">
      <c r="A29" s="2">
        <v>45904</v>
      </c>
      <c r="B29" s="3">
        <v>12216</v>
      </c>
      <c r="D29" s="2">
        <v>45904</v>
      </c>
      <c r="E29" s="3">
        <v>3432.9</v>
      </c>
      <c r="G29" s="3">
        <v>20240000</v>
      </c>
      <c r="H29" s="3">
        <f t="shared" si="0"/>
        <v>247251840000</v>
      </c>
      <c r="J29" s="3">
        <v>238782786</v>
      </c>
      <c r="K29" s="3">
        <f t="shared" si="1"/>
        <v>819717426059.40002</v>
      </c>
      <c r="M29" s="4">
        <f t="shared" si="2"/>
        <v>0.69836942324307361</v>
      </c>
      <c r="P29" s="52" t="s">
        <v>6</v>
      </c>
      <c r="Q29" s="53"/>
      <c r="R29" s="53"/>
      <c r="S29" s="53"/>
      <c r="T29" s="54"/>
    </row>
    <row r="30" spans="1:20" x14ac:dyDescent="0.45">
      <c r="A30" s="2">
        <v>45903</v>
      </c>
      <c r="B30" s="3">
        <v>12174.25</v>
      </c>
      <c r="D30" s="2">
        <v>45903</v>
      </c>
      <c r="E30" s="3">
        <v>3400.1</v>
      </c>
      <c r="G30" s="3">
        <v>20240000</v>
      </c>
      <c r="H30" s="3">
        <f t="shared" si="0"/>
        <v>246406820000</v>
      </c>
      <c r="J30" s="3">
        <v>238782786</v>
      </c>
      <c r="K30" s="3">
        <f t="shared" si="1"/>
        <v>811885350678.59998</v>
      </c>
      <c r="M30" s="4">
        <f t="shared" si="2"/>
        <v>0.6965004728881421</v>
      </c>
      <c r="P30" s="6"/>
      <c r="T30" s="15" t="s">
        <v>7</v>
      </c>
    </row>
    <row r="31" spans="1:20" x14ac:dyDescent="0.45">
      <c r="A31" s="2">
        <v>45902</v>
      </c>
      <c r="B31" s="3">
        <v>12303.55</v>
      </c>
      <c r="D31" s="2">
        <v>45902</v>
      </c>
      <c r="E31" s="3">
        <v>3368.05</v>
      </c>
      <c r="G31" s="3">
        <v>20240000</v>
      </c>
      <c r="H31" s="3">
        <f t="shared" si="0"/>
        <v>249023852000</v>
      </c>
      <c r="J31" s="3">
        <v>238782786</v>
      </c>
      <c r="K31" s="3">
        <f t="shared" si="1"/>
        <v>804232362387.30005</v>
      </c>
      <c r="M31" s="4">
        <f t="shared" si="2"/>
        <v>0.69035832969865529</v>
      </c>
      <c r="P31" s="6"/>
      <c r="Q31" s="12" t="s">
        <v>8</v>
      </c>
      <c r="R31" s="12"/>
      <c r="S31" s="13">
        <f>+INDEX(M3:M1243,1)</f>
        <v>0.67408214140097011</v>
      </c>
      <c r="T31" s="14">
        <f>+INDEX($D$3:$D$1244,MATCH(S31,$M$3:$M$1244,0))</f>
        <v>45943</v>
      </c>
    </row>
    <row r="32" spans="1:20" x14ac:dyDescent="0.45">
      <c r="A32" s="2">
        <v>45901</v>
      </c>
      <c r="B32" s="3">
        <v>12255.45</v>
      </c>
      <c r="D32" s="2">
        <v>45901</v>
      </c>
      <c r="E32" s="3">
        <v>3356</v>
      </c>
      <c r="G32" s="3">
        <v>20240000</v>
      </c>
      <c r="H32" s="3">
        <f t="shared" si="0"/>
        <v>248050308000</v>
      </c>
      <c r="J32" s="3">
        <v>238782786</v>
      </c>
      <c r="K32" s="3">
        <f t="shared" si="1"/>
        <v>801355029816</v>
      </c>
      <c r="M32" s="4">
        <f t="shared" si="2"/>
        <v>0.69046140752750362</v>
      </c>
      <c r="P32" s="6"/>
      <c r="Q32" s="1" t="s">
        <v>9</v>
      </c>
      <c r="S32" s="4">
        <f>+MAX(M3:M1243)</f>
        <v>0.7534577939414997</v>
      </c>
      <c r="T32" s="8">
        <f>+INDEX($D$3:$D$1244,MATCH(S32,$M$3:$M$1244,0))</f>
        <v>44147</v>
      </c>
    </row>
    <row r="33" spans="1:20" x14ac:dyDescent="0.45">
      <c r="A33" s="2">
        <v>45898</v>
      </c>
      <c r="B33" s="3">
        <v>11966.55</v>
      </c>
      <c r="D33" s="2">
        <v>45898</v>
      </c>
      <c r="E33" s="3">
        <v>3277.8</v>
      </c>
      <c r="G33" s="3">
        <v>20240000</v>
      </c>
      <c r="H33" s="3">
        <f t="shared" si="0"/>
        <v>242202972000</v>
      </c>
      <c r="J33" s="3">
        <v>238782786</v>
      </c>
      <c r="K33" s="3">
        <f t="shared" si="1"/>
        <v>782682215950.80005</v>
      </c>
      <c r="M33" s="4">
        <f t="shared" si="2"/>
        <v>0.69054749544069738</v>
      </c>
      <c r="P33" s="6"/>
      <c r="Q33" s="1" t="s">
        <v>10</v>
      </c>
      <c r="S33" s="4">
        <f>+MIN(M3:M1243)</f>
        <v>0.42619270825701239</v>
      </c>
      <c r="T33" s="8">
        <f>+INDEX($D$3:$D$1244,MATCH(S33,$M$3:$M$1244,0))</f>
        <v>44438</v>
      </c>
    </row>
    <row r="34" spans="1:20" x14ac:dyDescent="0.45">
      <c r="A34" s="2">
        <v>45897</v>
      </c>
      <c r="B34" s="3">
        <v>11712.2</v>
      </c>
      <c r="D34" s="2">
        <v>45897</v>
      </c>
      <c r="E34" s="3">
        <v>3255.4</v>
      </c>
      <c r="G34" s="3">
        <v>20240000</v>
      </c>
      <c r="H34" s="3">
        <f t="shared" si="0"/>
        <v>237054928000</v>
      </c>
      <c r="J34" s="3">
        <v>238782786</v>
      </c>
      <c r="K34" s="3">
        <f t="shared" si="1"/>
        <v>777333481544.40002</v>
      </c>
      <c r="M34" s="4">
        <f t="shared" si="2"/>
        <v>0.69504088833402466</v>
      </c>
      <c r="P34" s="6"/>
      <c r="Q34" s="1" t="s">
        <v>11</v>
      </c>
      <c r="S34" s="4">
        <f>+MEDIAN(M3:M1243)</f>
        <v>0.61282160510292472</v>
      </c>
      <c r="T34" s="7"/>
    </row>
    <row r="35" spans="1:20" ht="14.65" thickBot="1" x14ac:dyDescent="0.5">
      <c r="A35" s="2">
        <v>45895</v>
      </c>
      <c r="B35" s="3">
        <v>11868.5</v>
      </c>
      <c r="D35" s="2">
        <v>45895</v>
      </c>
      <c r="E35" s="3">
        <v>3271.2</v>
      </c>
      <c r="G35" s="3">
        <v>20240000</v>
      </c>
      <c r="H35" s="3">
        <f t="shared" si="0"/>
        <v>240218440000</v>
      </c>
      <c r="J35" s="3">
        <v>238782786</v>
      </c>
      <c r="K35" s="3">
        <f t="shared" si="1"/>
        <v>781106249563.19995</v>
      </c>
      <c r="M35" s="4">
        <f t="shared" si="2"/>
        <v>0.69246380996908963</v>
      </c>
      <c r="P35" s="9"/>
      <c r="Q35" s="5" t="s">
        <v>12</v>
      </c>
      <c r="R35" s="5"/>
      <c r="S35" s="10">
        <f>+AVERAGE(M3:M1243)</f>
        <v>0.61116082542062666</v>
      </c>
      <c r="T35" s="11"/>
    </row>
    <row r="36" spans="1:20" x14ac:dyDescent="0.45">
      <c r="A36" s="2">
        <v>45894</v>
      </c>
      <c r="B36" s="3">
        <v>12024.7</v>
      </c>
      <c r="D36" s="2">
        <v>45894</v>
      </c>
      <c r="E36" s="3">
        <v>3285.05</v>
      </c>
      <c r="G36" s="3">
        <v>20240000</v>
      </c>
      <c r="H36" s="3">
        <f t="shared" si="0"/>
        <v>243379928000</v>
      </c>
      <c r="J36" s="3">
        <v>238782786</v>
      </c>
      <c r="K36" s="3">
        <f t="shared" si="1"/>
        <v>784413391149.30005</v>
      </c>
      <c r="M36" s="4">
        <f t="shared" si="2"/>
        <v>0.68973001895925479</v>
      </c>
    </row>
    <row r="37" spans="1:20" x14ac:dyDescent="0.45">
      <c r="A37" s="2">
        <v>45891</v>
      </c>
      <c r="B37" s="3">
        <v>12065.6</v>
      </c>
      <c r="D37" s="2">
        <v>45891</v>
      </c>
      <c r="E37" s="3">
        <v>3295.2</v>
      </c>
      <c r="G37" s="3">
        <v>20240000</v>
      </c>
      <c r="H37" s="3">
        <f t="shared" si="0"/>
        <v>244207744000</v>
      </c>
      <c r="J37" s="3">
        <v>238782786</v>
      </c>
      <c r="K37" s="3">
        <f t="shared" si="1"/>
        <v>786837036427.19995</v>
      </c>
      <c r="M37" s="4">
        <f t="shared" si="2"/>
        <v>0.68963364369720459</v>
      </c>
    </row>
    <row r="38" spans="1:20" x14ac:dyDescent="0.45">
      <c r="A38" s="2">
        <v>45890</v>
      </c>
      <c r="B38" s="3">
        <v>12162.8</v>
      </c>
      <c r="D38" s="2">
        <v>45890</v>
      </c>
      <c r="E38" s="3">
        <v>3279.85</v>
      </c>
      <c r="G38" s="3">
        <v>20240000</v>
      </c>
      <c r="H38" s="3">
        <f t="shared" si="0"/>
        <v>246175072000</v>
      </c>
      <c r="J38" s="3">
        <v>238782786</v>
      </c>
      <c r="K38" s="3">
        <f t="shared" si="1"/>
        <v>783171720662.09998</v>
      </c>
      <c r="M38" s="4">
        <f t="shared" si="2"/>
        <v>0.68566909975773704</v>
      </c>
    </row>
    <row r="39" spans="1:20" x14ac:dyDescent="0.45">
      <c r="A39" s="2">
        <v>45889</v>
      </c>
      <c r="B39" s="3">
        <v>12214.35</v>
      </c>
      <c r="D39" s="2">
        <v>45889</v>
      </c>
      <c r="E39" s="3">
        <v>3230.65</v>
      </c>
      <c r="G39" s="3">
        <v>20240000</v>
      </c>
      <c r="H39" s="3">
        <f t="shared" si="0"/>
        <v>247218444000</v>
      </c>
      <c r="J39" s="3">
        <v>238782786</v>
      </c>
      <c r="K39" s="3">
        <f t="shared" si="1"/>
        <v>771423607590.90002</v>
      </c>
      <c r="M39" s="4">
        <f t="shared" si="2"/>
        <v>0.67952958456632495</v>
      </c>
    </row>
    <row r="40" spans="1:20" x14ac:dyDescent="0.45">
      <c r="A40" s="2">
        <v>45888</v>
      </c>
      <c r="B40" s="3">
        <v>12398.1</v>
      </c>
      <c r="D40" s="2">
        <v>45888</v>
      </c>
      <c r="E40" s="3">
        <v>3252.4</v>
      </c>
      <c r="G40" s="3">
        <v>20240000</v>
      </c>
      <c r="H40" s="3">
        <f t="shared" si="0"/>
        <v>250937544000</v>
      </c>
      <c r="J40" s="3">
        <v>238782786</v>
      </c>
      <c r="K40" s="3">
        <f t="shared" si="1"/>
        <v>776617133186.40002</v>
      </c>
      <c r="M40" s="4">
        <f t="shared" si="2"/>
        <v>0.67688384240195343</v>
      </c>
    </row>
    <row r="41" spans="1:20" x14ac:dyDescent="0.45">
      <c r="A41" s="2">
        <v>45887</v>
      </c>
      <c r="B41" s="3">
        <v>12278.4</v>
      </c>
      <c r="D41" s="2">
        <v>45887</v>
      </c>
      <c r="E41" s="3">
        <v>3220.25</v>
      </c>
      <c r="G41" s="3">
        <v>20240000</v>
      </c>
      <c r="H41" s="3">
        <f t="shared" si="0"/>
        <v>248514816000</v>
      </c>
      <c r="J41" s="3">
        <v>238782786</v>
      </c>
      <c r="K41" s="3">
        <f t="shared" si="1"/>
        <v>768940266616.5</v>
      </c>
      <c r="M41" s="4">
        <f t="shared" si="2"/>
        <v>0.67680868490147117</v>
      </c>
    </row>
    <row r="42" spans="1:20" x14ac:dyDescent="0.45">
      <c r="A42" s="2">
        <v>45883</v>
      </c>
      <c r="B42" s="3">
        <v>11576.05</v>
      </c>
      <c r="D42" s="2">
        <v>45883</v>
      </c>
      <c r="E42" s="3">
        <v>3021.3</v>
      </c>
      <c r="G42" s="3">
        <v>20240000</v>
      </c>
      <c r="H42" s="3">
        <f t="shared" si="0"/>
        <v>234299252000</v>
      </c>
      <c r="J42" s="3">
        <v>238782786</v>
      </c>
      <c r="K42" s="3">
        <f t="shared" si="1"/>
        <v>721434431341.80005</v>
      </c>
      <c r="M42" s="4">
        <f t="shared" si="2"/>
        <v>0.67523139758629835</v>
      </c>
    </row>
    <row r="43" spans="1:20" x14ac:dyDescent="0.45">
      <c r="A43" s="2">
        <v>45882</v>
      </c>
      <c r="B43" s="3">
        <v>11655.15</v>
      </c>
      <c r="D43" s="2">
        <v>45882</v>
      </c>
      <c r="E43" s="3">
        <v>3019.85</v>
      </c>
      <c r="G43" s="3">
        <v>20240000</v>
      </c>
      <c r="H43" s="3">
        <f t="shared" si="0"/>
        <v>235900236000</v>
      </c>
      <c r="J43" s="3">
        <v>238782786</v>
      </c>
      <c r="K43" s="3">
        <f t="shared" si="1"/>
        <v>721088196302.09998</v>
      </c>
      <c r="M43" s="4">
        <f t="shared" si="2"/>
        <v>0.67285522463167657</v>
      </c>
    </row>
    <row r="44" spans="1:20" x14ac:dyDescent="0.45">
      <c r="A44" s="2">
        <v>45881</v>
      </c>
      <c r="B44" s="3">
        <v>11142.15</v>
      </c>
      <c r="D44" s="2">
        <v>45881</v>
      </c>
      <c r="E44" s="3">
        <v>2964.75</v>
      </c>
      <c r="G44" s="3">
        <v>20240000</v>
      </c>
      <c r="H44" s="3">
        <f t="shared" si="0"/>
        <v>225517116000</v>
      </c>
      <c r="J44" s="3">
        <v>238782786</v>
      </c>
      <c r="K44" s="3">
        <f t="shared" si="1"/>
        <v>707931264793.5</v>
      </c>
      <c r="M44" s="4">
        <f t="shared" si="2"/>
        <v>0.68144207324169781</v>
      </c>
    </row>
    <row r="45" spans="1:20" x14ac:dyDescent="0.45">
      <c r="A45" s="2">
        <v>45880</v>
      </c>
      <c r="B45" s="3">
        <v>11176.7</v>
      </c>
      <c r="D45" s="2">
        <v>45880</v>
      </c>
      <c r="E45" s="3">
        <v>2981.15</v>
      </c>
      <c r="G45" s="3">
        <v>20240000</v>
      </c>
      <c r="H45" s="3">
        <f t="shared" si="0"/>
        <v>226216408000</v>
      </c>
      <c r="J45" s="3">
        <v>238782786</v>
      </c>
      <c r="K45" s="3">
        <f t="shared" si="1"/>
        <v>711847302483.90002</v>
      </c>
      <c r="M45" s="4">
        <f t="shared" si="2"/>
        <v>0.68221217217421937</v>
      </c>
    </row>
    <row r="46" spans="1:20" x14ac:dyDescent="0.45">
      <c r="A46" s="2">
        <v>45877</v>
      </c>
      <c r="B46" s="3">
        <v>11263.55</v>
      </c>
      <c r="D46" s="2">
        <v>45877</v>
      </c>
      <c r="E46" s="3">
        <v>2968.8</v>
      </c>
      <c r="G46" s="3">
        <v>20240000</v>
      </c>
      <c r="H46" s="3">
        <f t="shared" si="0"/>
        <v>227974252000</v>
      </c>
      <c r="J46" s="3">
        <v>238782786</v>
      </c>
      <c r="K46" s="3">
        <f t="shared" si="1"/>
        <v>708898335076.80005</v>
      </c>
      <c r="M46" s="4">
        <f t="shared" si="2"/>
        <v>0.67841051287657217</v>
      </c>
    </row>
    <row r="47" spans="1:20" x14ac:dyDescent="0.45">
      <c r="A47" s="2">
        <v>45876</v>
      </c>
      <c r="B47" s="3">
        <v>11371.55</v>
      </c>
      <c r="D47" s="2">
        <v>45876</v>
      </c>
      <c r="E47" s="3">
        <v>3013.75</v>
      </c>
      <c r="G47" s="3">
        <v>20240000</v>
      </c>
      <c r="H47" s="3">
        <f t="shared" si="0"/>
        <v>230160172000</v>
      </c>
      <c r="J47" s="3">
        <v>238782786</v>
      </c>
      <c r="K47" s="3">
        <f t="shared" si="1"/>
        <v>719631621307.5</v>
      </c>
      <c r="M47" s="4">
        <f t="shared" si="2"/>
        <v>0.68016945728173872</v>
      </c>
    </row>
    <row r="48" spans="1:20" x14ac:dyDescent="0.45">
      <c r="A48" s="2">
        <v>45875</v>
      </c>
      <c r="B48" s="3">
        <v>11524.1</v>
      </c>
      <c r="D48" s="2">
        <v>45875</v>
      </c>
      <c r="E48" s="3">
        <v>2952.25</v>
      </c>
      <c r="G48" s="3">
        <v>20240000</v>
      </c>
      <c r="H48" s="3">
        <f t="shared" si="0"/>
        <v>233247784000</v>
      </c>
      <c r="J48" s="3">
        <v>238782786</v>
      </c>
      <c r="K48" s="3">
        <f t="shared" si="1"/>
        <v>704946479968.5</v>
      </c>
      <c r="M48" s="4">
        <f t="shared" si="2"/>
        <v>0.66912696122630111</v>
      </c>
    </row>
    <row r="49" spans="1:13" x14ac:dyDescent="0.45">
      <c r="A49" s="2">
        <v>45874</v>
      </c>
      <c r="B49" s="3">
        <v>11784.8</v>
      </c>
      <c r="D49" s="2">
        <v>45874</v>
      </c>
      <c r="E49" s="3">
        <v>2982.8</v>
      </c>
      <c r="G49" s="3">
        <v>20240000</v>
      </c>
      <c r="H49" s="3">
        <f t="shared" si="0"/>
        <v>238524352000</v>
      </c>
      <c r="J49" s="3">
        <v>238782786</v>
      </c>
      <c r="K49" s="3">
        <f t="shared" si="1"/>
        <v>712241294080.80005</v>
      </c>
      <c r="M49" s="4">
        <f t="shared" si="2"/>
        <v>0.66510738146988047</v>
      </c>
    </row>
    <row r="50" spans="1:13" x14ac:dyDescent="0.45">
      <c r="A50" s="2">
        <v>45873</v>
      </c>
      <c r="B50" s="3">
        <v>12005.95</v>
      </c>
      <c r="D50" s="2">
        <v>45873</v>
      </c>
      <c r="E50" s="3">
        <v>2941.8</v>
      </c>
      <c r="G50" s="3">
        <v>20240000</v>
      </c>
      <c r="H50" s="3">
        <f t="shared" si="0"/>
        <v>243000428000</v>
      </c>
      <c r="J50" s="3">
        <v>238782786</v>
      </c>
      <c r="K50" s="3">
        <f t="shared" si="1"/>
        <v>702451199854.80005</v>
      </c>
      <c r="M50" s="4">
        <f t="shared" si="2"/>
        <v>0.65406788677956662</v>
      </c>
    </row>
    <row r="51" spans="1:13" x14ac:dyDescent="0.45">
      <c r="A51" s="2">
        <v>45870</v>
      </c>
      <c r="B51" s="3">
        <v>11655.4</v>
      </c>
      <c r="D51" s="2">
        <v>45870</v>
      </c>
      <c r="E51" s="3">
        <v>2858.8</v>
      </c>
      <c r="G51" s="3">
        <v>20240000</v>
      </c>
      <c r="H51" s="3">
        <f t="shared" si="0"/>
        <v>235905296000</v>
      </c>
      <c r="J51" s="3">
        <v>238782786</v>
      </c>
      <c r="K51" s="3">
        <f t="shared" si="1"/>
        <v>682632228616.80005</v>
      </c>
      <c r="M51" s="4">
        <f t="shared" si="2"/>
        <v>0.65441816821627552</v>
      </c>
    </row>
    <row r="52" spans="1:13" x14ac:dyDescent="0.45">
      <c r="A52" s="2">
        <v>45869</v>
      </c>
      <c r="B52" s="3">
        <v>11442.4</v>
      </c>
      <c r="D52" s="2">
        <v>45869</v>
      </c>
      <c r="E52" s="3">
        <v>2802.1</v>
      </c>
      <c r="G52" s="3">
        <v>20240000</v>
      </c>
      <c r="H52" s="3">
        <f t="shared" si="0"/>
        <v>231594176000</v>
      </c>
      <c r="J52" s="3">
        <v>238782786</v>
      </c>
      <c r="K52" s="3">
        <f t="shared" si="1"/>
        <v>669093244650.59998</v>
      </c>
      <c r="M52" s="4">
        <f t="shared" si="2"/>
        <v>0.65386860822225412</v>
      </c>
    </row>
    <row r="53" spans="1:13" x14ac:dyDescent="0.45">
      <c r="A53" s="2">
        <v>45868</v>
      </c>
      <c r="B53" s="3">
        <v>11633.95</v>
      </c>
      <c r="D53" s="2">
        <v>45868</v>
      </c>
      <c r="E53" s="3">
        <v>2791.7</v>
      </c>
      <c r="G53" s="3">
        <v>20240000</v>
      </c>
      <c r="H53" s="3">
        <f t="shared" si="0"/>
        <v>235471148000</v>
      </c>
      <c r="J53" s="3">
        <v>238782786</v>
      </c>
      <c r="K53" s="3">
        <f t="shared" si="1"/>
        <v>666609903676.19995</v>
      </c>
      <c r="M53" s="4">
        <f t="shared" si="2"/>
        <v>0.64676320183448988</v>
      </c>
    </row>
    <row r="54" spans="1:13" x14ac:dyDescent="0.45">
      <c r="A54" s="2">
        <v>45867</v>
      </c>
      <c r="B54" s="3">
        <v>11572.65</v>
      </c>
      <c r="D54" s="2">
        <v>45867</v>
      </c>
      <c r="E54" s="3">
        <v>2805.5</v>
      </c>
      <c r="G54" s="3">
        <v>20240000</v>
      </c>
      <c r="H54" s="3">
        <f t="shared" si="0"/>
        <v>234230436000</v>
      </c>
      <c r="J54" s="3">
        <v>238782786</v>
      </c>
      <c r="K54" s="3">
        <f t="shared" si="1"/>
        <v>669905106123</v>
      </c>
      <c r="M54" s="4">
        <f t="shared" si="2"/>
        <v>0.65035281286989721</v>
      </c>
    </row>
    <row r="55" spans="1:13" x14ac:dyDescent="0.45">
      <c r="A55" s="2">
        <v>45866</v>
      </c>
      <c r="B55" s="3">
        <v>11593.95</v>
      </c>
      <c r="D55" s="2">
        <v>45866</v>
      </c>
      <c r="E55" s="3">
        <v>2799.4</v>
      </c>
      <c r="G55" s="3">
        <v>20240000</v>
      </c>
      <c r="H55" s="3">
        <f t="shared" si="0"/>
        <v>234661548000</v>
      </c>
      <c r="J55" s="3">
        <v>238782786</v>
      </c>
      <c r="K55" s="3">
        <f t="shared" si="1"/>
        <v>668448531128.40002</v>
      </c>
      <c r="M55" s="4">
        <f t="shared" si="2"/>
        <v>0.64894597403951115</v>
      </c>
    </row>
    <row r="56" spans="1:13" x14ac:dyDescent="0.45">
      <c r="A56" s="2">
        <v>45863</v>
      </c>
      <c r="B56" s="3">
        <v>11942.3</v>
      </c>
      <c r="D56" s="2">
        <v>45863</v>
      </c>
      <c r="E56" s="3">
        <v>2774.85</v>
      </c>
      <c r="G56" s="3">
        <v>20240000</v>
      </c>
      <c r="H56" s="3">
        <f t="shared" si="0"/>
        <v>241712152000</v>
      </c>
      <c r="J56" s="3">
        <v>238782786</v>
      </c>
      <c r="K56" s="3">
        <f t="shared" si="1"/>
        <v>662586413732.09998</v>
      </c>
      <c r="M56" s="4">
        <f t="shared" si="2"/>
        <v>0.63519905179080505</v>
      </c>
    </row>
    <row r="57" spans="1:13" x14ac:dyDescent="0.45">
      <c r="A57" s="2">
        <v>45862</v>
      </c>
      <c r="B57" s="3">
        <v>12304.05</v>
      </c>
      <c r="D57" s="2">
        <v>45862</v>
      </c>
      <c r="E57" s="3">
        <v>2797.3</v>
      </c>
      <c r="G57" s="3">
        <v>20240000</v>
      </c>
      <c r="H57" s="3">
        <f t="shared" si="0"/>
        <v>249033972000</v>
      </c>
      <c r="J57" s="3">
        <v>238782786</v>
      </c>
      <c r="K57" s="3">
        <f t="shared" si="1"/>
        <v>667947087277.80005</v>
      </c>
      <c r="M57" s="4">
        <f t="shared" si="2"/>
        <v>0.6271651201969739</v>
      </c>
    </row>
    <row r="58" spans="1:13" x14ac:dyDescent="0.45">
      <c r="A58" s="2">
        <v>45861</v>
      </c>
      <c r="B58" s="3">
        <v>12380.8</v>
      </c>
      <c r="D58" s="2">
        <v>45861</v>
      </c>
      <c r="E58" s="3">
        <v>2802.65</v>
      </c>
      <c r="G58" s="3">
        <v>20240000</v>
      </c>
      <c r="H58" s="3">
        <f t="shared" si="0"/>
        <v>250587392000</v>
      </c>
      <c r="J58" s="3">
        <v>238782786</v>
      </c>
      <c r="K58" s="3">
        <f t="shared" si="1"/>
        <v>669224575182.90002</v>
      </c>
      <c r="M58" s="4">
        <f t="shared" si="2"/>
        <v>0.6255556037649781</v>
      </c>
    </row>
    <row r="59" spans="1:13" x14ac:dyDescent="0.45">
      <c r="A59" s="2">
        <v>45860</v>
      </c>
      <c r="B59" s="3">
        <v>12133.35</v>
      </c>
      <c r="D59" s="2">
        <v>45860</v>
      </c>
      <c r="E59" s="3">
        <v>2797</v>
      </c>
      <c r="G59" s="3">
        <v>20240000</v>
      </c>
      <c r="H59" s="3">
        <f t="shared" si="0"/>
        <v>245579004000</v>
      </c>
      <c r="J59" s="3">
        <v>238782786</v>
      </c>
      <c r="K59" s="3">
        <f t="shared" si="1"/>
        <v>667875452442</v>
      </c>
      <c r="M59" s="4">
        <f t="shared" si="2"/>
        <v>0.63229820305257189</v>
      </c>
    </row>
    <row r="60" spans="1:13" x14ac:dyDescent="0.45">
      <c r="A60" s="2">
        <v>45859</v>
      </c>
      <c r="B60" s="3">
        <v>12047.8</v>
      </c>
      <c r="D60" s="2">
        <v>45859</v>
      </c>
      <c r="E60" s="3">
        <v>2835.35</v>
      </c>
      <c r="G60" s="3">
        <v>20240000</v>
      </c>
      <c r="H60" s="3">
        <f t="shared" si="0"/>
        <v>243847472000</v>
      </c>
      <c r="J60" s="3">
        <v>238782786</v>
      </c>
      <c r="K60" s="3">
        <f t="shared" si="1"/>
        <v>677032772285.09998</v>
      </c>
      <c r="M60" s="4">
        <f t="shared" si="2"/>
        <v>0.63982914567492266</v>
      </c>
    </row>
    <row r="61" spans="1:13" x14ac:dyDescent="0.45">
      <c r="A61" s="2">
        <v>45856</v>
      </c>
      <c r="B61" s="3">
        <v>12283.15</v>
      </c>
      <c r="D61" s="2">
        <v>45856</v>
      </c>
      <c r="E61" s="3">
        <v>2849.5</v>
      </c>
      <c r="G61" s="3">
        <v>20240000</v>
      </c>
      <c r="H61" s="3">
        <f t="shared" si="0"/>
        <v>248610956000</v>
      </c>
      <c r="J61" s="3">
        <v>238782786</v>
      </c>
      <c r="K61" s="3">
        <f t="shared" si="1"/>
        <v>680411548707</v>
      </c>
      <c r="M61" s="4">
        <f t="shared" si="2"/>
        <v>0.63461678968788737</v>
      </c>
    </row>
    <row r="62" spans="1:13" x14ac:dyDescent="0.45">
      <c r="A62" s="2">
        <v>45855</v>
      </c>
      <c r="B62" s="3">
        <v>12047.25</v>
      </c>
      <c r="D62" s="2">
        <v>45855</v>
      </c>
      <c r="E62" s="3">
        <v>2878.5</v>
      </c>
      <c r="G62" s="3">
        <v>20240000</v>
      </c>
      <c r="H62" s="3">
        <f t="shared" si="0"/>
        <v>243836340000</v>
      </c>
      <c r="J62" s="3">
        <v>238782786</v>
      </c>
      <c r="K62" s="3">
        <f t="shared" si="1"/>
        <v>687336249501</v>
      </c>
      <c r="M62" s="4">
        <f t="shared" si="2"/>
        <v>0.64524446342380015</v>
      </c>
    </row>
    <row r="63" spans="1:13" x14ac:dyDescent="0.45">
      <c r="A63" s="2">
        <v>45854</v>
      </c>
      <c r="B63" s="3">
        <v>12014.3</v>
      </c>
      <c r="D63" s="2">
        <v>45854</v>
      </c>
      <c r="E63" s="3">
        <v>2897.85</v>
      </c>
      <c r="G63" s="3">
        <v>20240000</v>
      </c>
      <c r="H63" s="3">
        <f t="shared" si="0"/>
        <v>243169432000</v>
      </c>
      <c r="J63" s="3">
        <v>238782786</v>
      </c>
      <c r="K63" s="3">
        <f t="shared" si="1"/>
        <v>691956696410.09998</v>
      </c>
      <c r="M63" s="4">
        <f t="shared" si="2"/>
        <v>0.64857709555876386</v>
      </c>
    </row>
    <row r="64" spans="1:13" x14ac:dyDescent="0.45">
      <c r="A64" s="2">
        <v>45853</v>
      </c>
      <c r="B64" s="3">
        <v>12127.45</v>
      </c>
      <c r="D64" s="2">
        <v>45853</v>
      </c>
      <c r="E64" s="3">
        <v>2885.05</v>
      </c>
      <c r="G64" s="3">
        <v>20240000</v>
      </c>
      <c r="H64" s="3">
        <f t="shared" si="0"/>
        <v>245459588000</v>
      </c>
      <c r="J64" s="3">
        <v>238782786</v>
      </c>
      <c r="K64" s="3">
        <f t="shared" si="1"/>
        <v>688900276749.30005</v>
      </c>
      <c r="M64" s="4">
        <f t="shared" si="2"/>
        <v>0.64369358485636674</v>
      </c>
    </row>
    <row r="65" spans="1:13" x14ac:dyDescent="0.45">
      <c r="A65" s="2">
        <v>45852</v>
      </c>
      <c r="B65" s="3">
        <v>11508.8</v>
      </c>
      <c r="D65" s="2">
        <v>45852</v>
      </c>
      <c r="E65" s="3">
        <v>2801.9</v>
      </c>
      <c r="G65" s="3">
        <v>20240000</v>
      </c>
      <c r="H65" s="3">
        <f t="shared" si="0"/>
        <v>232938112000</v>
      </c>
      <c r="J65" s="3">
        <v>238782786</v>
      </c>
      <c r="K65" s="3">
        <f t="shared" si="1"/>
        <v>669045488093.40002</v>
      </c>
      <c r="M65" s="4">
        <f t="shared" si="2"/>
        <v>0.65183516495446214</v>
      </c>
    </row>
    <row r="66" spans="1:13" x14ac:dyDescent="0.45">
      <c r="A66" s="2">
        <v>45849</v>
      </c>
      <c r="B66" s="3">
        <v>11249.9</v>
      </c>
      <c r="D66" s="2">
        <v>45849</v>
      </c>
      <c r="E66" s="3">
        <v>2752.95</v>
      </c>
      <c r="G66" s="3">
        <v>20240000</v>
      </c>
      <c r="H66" s="3">
        <f t="shared" si="0"/>
        <v>227697976000</v>
      </c>
      <c r="J66" s="3">
        <v>238782786</v>
      </c>
      <c r="K66" s="3">
        <f t="shared" si="1"/>
        <v>657357070718.69995</v>
      </c>
      <c r="M66" s="4">
        <f t="shared" si="2"/>
        <v>0.65361599328192543</v>
      </c>
    </row>
    <row r="67" spans="1:13" x14ac:dyDescent="0.45">
      <c r="A67" s="2">
        <v>45848</v>
      </c>
      <c r="B67" s="3">
        <v>10945.45</v>
      </c>
      <c r="D67" s="2">
        <v>45848</v>
      </c>
      <c r="E67" s="3">
        <v>2830.35</v>
      </c>
      <c r="G67" s="3">
        <v>20240000</v>
      </c>
      <c r="H67" s="3">
        <f t="shared" si="0"/>
        <v>221535908000</v>
      </c>
      <c r="J67" s="3">
        <v>238782786</v>
      </c>
      <c r="K67" s="3">
        <f t="shared" si="1"/>
        <v>675838858355.09998</v>
      </c>
      <c r="M67" s="4">
        <f t="shared" si="2"/>
        <v>0.67220602180349864</v>
      </c>
    </row>
    <row r="68" spans="1:13" x14ac:dyDescent="0.45">
      <c r="A68" s="2">
        <v>45847</v>
      </c>
      <c r="B68" s="3">
        <v>10989.1</v>
      </c>
      <c r="D68" s="2">
        <v>45847</v>
      </c>
      <c r="E68" s="3">
        <v>2839</v>
      </c>
      <c r="G68" s="3">
        <v>20240000</v>
      </c>
      <c r="H68" s="3">
        <f t="shared" ref="H68:H131" si="3">+G68*B68</f>
        <v>222419384000</v>
      </c>
      <c r="J68" s="3">
        <v>238782786</v>
      </c>
      <c r="K68" s="3">
        <f t="shared" ref="K68:K131" si="4">+J68*E68</f>
        <v>677904329454</v>
      </c>
      <c r="M68" s="4">
        <f t="shared" ref="M68:M131" si="5">1- (H68/K68)</f>
        <v>0.67190151421640598</v>
      </c>
    </row>
    <row r="69" spans="1:13" x14ac:dyDescent="0.45">
      <c r="A69" s="2">
        <v>45846</v>
      </c>
      <c r="B69" s="3">
        <v>11014.3</v>
      </c>
      <c r="D69" s="2">
        <v>45846</v>
      </c>
      <c r="E69" s="3">
        <v>2832.1</v>
      </c>
      <c r="G69" s="3">
        <v>20240000</v>
      </c>
      <c r="H69" s="3">
        <f t="shared" si="3"/>
        <v>222929432000</v>
      </c>
      <c r="J69" s="3">
        <v>238782786</v>
      </c>
      <c r="K69" s="3">
        <f t="shared" si="4"/>
        <v>676256728230.59998</v>
      </c>
      <c r="M69" s="4">
        <f t="shared" si="5"/>
        <v>0.67034792750485983</v>
      </c>
    </row>
    <row r="70" spans="1:13" x14ac:dyDescent="0.45">
      <c r="A70" s="2">
        <v>45845</v>
      </c>
      <c r="B70" s="3">
        <v>10963.4</v>
      </c>
      <c r="D70" s="2">
        <v>45845</v>
      </c>
      <c r="E70" s="3">
        <v>2878.6</v>
      </c>
      <c r="G70" s="3">
        <v>20240000</v>
      </c>
      <c r="H70" s="3">
        <f t="shared" si="3"/>
        <v>221899216000</v>
      </c>
      <c r="J70" s="3">
        <v>238782786</v>
      </c>
      <c r="K70" s="3">
        <f t="shared" si="4"/>
        <v>687360127779.59998</v>
      </c>
      <c r="M70" s="4">
        <f t="shared" si="5"/>
        <v>0.67717182444549451</v>
      </c>
    </row>
    <row r="71" spans="1:13" x14ac:dyDescent="0.45">
      <c r="A71" s="2">
        <v>45842</v>
      </c>
      <c r="B71" s="3">
        <v>10958.05</v>
      </c>
      <c r="D71" s="2">
        <v>45842</v>
      </c>
      <c r="E71" s="3">
        <v>2879.35</v>
      </c>
      <c r="G71" s="3">
        <v>20240000</v>
      </c>
      <c r="H71" s="3">
        <f t="shared" si="3"/>
        <v>221790932000</v>
      </c>
      <c r="J71" s="3">
        <v>238782786</v>
      </c>
      <c r="K71" s="3">
        <f t="shared" si="4"/>
        <v>687539214869.09998</v>
      </c>
      <c r="M71" s="4">
        <f t="shared" si="5"/>
        <v>0.67741340827777141</v>
      </c>
    </row>
    <row r="72" spans="1:13" x14ac:dyDescent="0.45">
      <c r="A72" s="2">
        <v>45841</v>
      </c>
      <c r="B72" s="3">
        <v>10965.75</v>
      </c>
      <c r="D72" s="2">
        <v>45841</v>
      </c>
      <c r="E72" s="3">
        <v>2899.6</v>
      </c>
      <c r="G72" s="3">
        <v>20240000</v>
      </c>
      <c r="H72" s="3">
        <f t="shared" si="3"/>
        <v>221946780000</v>
      </c>
      <c r="J72" s="3">
        <v>238782786</v>
      </c>
      <c r="K72" s="3">
        <f t="shared" si="4"/>
        <v>692374566285.59998</v>
      </c>
      <c r="M72" s="4">
        <f t="shared" si="5"/>
        <v>0.67944117128582038</v>
      </c>
    </row>
    <row r="73" spans="1:13" x14ac:dyDescent="0.45">
      <c r="A73" s="2">
        <v>45840</v>
      </c>
      <c r="B73" s="3">
        <v>11031.05</v>
      </c>
      <c r="D73" s="2">
        <v>45840</v>
      </c>
      <c r="E73" s="3">
        <v>2899.95</v>
      </c>
      <c r="G73" s="3">
        <v>20240000</v>
      </c>
      <c r="H73" s="3">
        <f t="shared" si="3"/>
        <v>223268452000</v>
      </c>
      <c r="J73" s="3">
        <v>238782786</v>
      </c>
      <c r="K73" s="3">
        <f t="shared" si="4"/>
        <v>692458140260.69995</v>
      </c>
      <c r="M73" s="4">
        <f t="shared" si="5"/>
        <v>0.6775711930890973</v>
      </c>
    </row>
    <row r="74" spans="1:13" x14ac:dyDescent="0.45">
      <c r="A74" s="2">
        <v>45839</v>
      </c>
      <c r="B74" s="3">
        <v>11031.25</v>
      </c>
      <c r="D74" s="2">
        <v>45839</v>
      </c>
      <c r="E74" s="3">
        <v>2892.1</v>
      </c>
      <c r="G74" s="3">
        <v>20240000</v>
      </c>
      <c r="H74" s="3">
        <f t="shared" si="3"/>
        <v>223272500000</v>
      </c>
      <c r="J74" s="3">
        <v>238782786</v>
      </c>
      <c r="K74" s="3">
        <f t="shared" si="4"/>
        <v>690583695390.59998</v>
      </c>
      <c r="M74" s="4">
        <f t="shared" si="5"/>
        <v>0.67669016588392639</v>
      </c>
    </row>
    <row r="75" spans="1:13" x14ac:dyDescent="0.45">
      <c r="A75" s="2">
        <v>45838</v>
      </c>
      <c r="B75" s="3">
        <v>10964.25</v>
      </c>
      <c r="D75" s="2">
        <v>45838</v>
      </c>
      <c r="E75" s="3">
        <v>2918.85</v>
      </c>
      <c r="G75" s="3">
        <v>20240000</v>
      </c>
      <c r="H75" s="3">
        <f t="shared" si="3"/>
        <v>221916420000</v>
      </c>
      <c r="J75" s="3">
        <v>238782786</v>
      </c>
      <c r="K75" s="3">
        <f t="shared" si="4"/>
        <v>696971134916.09998</v>
      </c>
      <c r="M75" s="4">
        <f t="shared" si="5"/>
        <v>0.68159883690633205</v>
      </c>
    </row>
    <row r="76" spans="1:13" x14ac:dyDescent="0.45">
      <c r="A76" s="2">
        <v>45835</v>
      </c>
      <c r="B76" s="3">
        <v>11045.85</v>
      </c>
      <c r="D76" s="2">
        <v>45835</v>
      </c>
      <c r="E76" s="3">
        <v>2938.4</v>
      </c>
      <c r="G76" s="3">
        <v>20240000</v>
      </c>
      <c r="H76" s="3">
        <f t="shared" si="3"/>
        <v>223568004000</v>
      </c>
      <c r="J76" s="3">
        <v>238782786</v>
      </c>
      <c r="K76" s="3">
        <f t="shared" si="4"/>
        <v>701639338382.40002</v>
      </c>
      <c r="M76" s="4">
        <f t="shared" si="5"/>
        <v>0.68136335611480026</v>
      </c>
    </row>
    <row r="77" spans="1:13" x14ac:dyDescent="0.45">
      <c r="A77" s="2">
        <v>45834</v>
      </c>
      <c r="B77" s="3">
        <v>10961.4</v>
      </c>
      <c r="D77" s="2">
        <v>45834</v>
      </c>
      <c r="E77" s="3">
        <v>2927.55</v>
      </c>
      <c r="G77" s="3">
        <v>20240000</v>
      </c>
      <c r="H77" s="3">
        <f t="shared" si="3"/>
        <v>221858736000</v>
      </c>
      <c r="J77" s="3">
        <v>238782786</v>
      </c>
      <c r="K77" s="3">
        <f t="shared" si="4"/>
        <v>699048545154.30005</v>
      </c>
      <c r="M77" s="4">
        <f t="shared" si="5"/>
        <v>0.68262756923264978</v>
      </c>
    </row>
    <row r="78" spans="1:13" x14ac:dyDescent="0.45">
      <c r="A78" s="2">
        <v>45833</v>
      </c>
      <c r="B78" s="3">
        <v>10971.8</v>
      </c>
      <c r="D78" s="2">
        <v>45833</v>
      </c>
      <c r="E78" s="3">
        <v>2917.05</v>
      </c>
      <c r="G78" s="3">
        <v>20240000</v>
      </c>
      <c r="H78" s="3">
        <f t="shared" si="3"/>
        <v>222069232000</v>
      </c>
      <c r="J78" s="3">
        <v>238782786</v>
      </c>
      <c r="K78" s="3">
        <f t="shared" si="4"/>
        <v>696541325901.30005</v>
      </c>
      <c r="M78" s="4">
        <f t="shared" si="5"/>
        <v>0.6811829768856138</v>
      </c>
    </row>
    <row r="79" spans="1:13" x14ac:dyDescent="0.45">
      <c r="A79" s="2">
        <v>45832</v>
      </c>
      <c r="B79" s="3">
        <v>10818.9</v>
      </c>
      <c r="D79" s="2">
        <v>45832</v>
      </c>
      <c r="E79" s="3">
        <v>2839.4</v>
      </c>
      <c r="G79" s="3">
        <v>20240000</v>
      </c>
      <c r="H79" s="3">
        <f t="shared" si="3"/>
        <v>218974536000</v>
      </c>
      <c r="J79" s="3">
        <v>238782786</v>
      </c>
      <c r="K79" s="3">
        <f t="shared" si="4"/>
        <v>677999842568.40002</v>
      </c>
      <c r="M79" s="4">
        <f t="shared" si="5"/>
        <v>0.6770286329706503</v>
      </c>
    </row>
    <row r="80" spans="1:13" x14ac:dyDescent="0.45">
      <c r="A80" s="2">
        <v>45831</v>
      </c>
      <c r="B80" s="3">
        <v>10722.35</v>
      </c>
      <c r="D80" s="2">
        <v>45831</v>
      </c>
      <c r="E80" s="3">
        <v>2780.55</v>
      </c>
      <c r="G80" s="3">
        <v>20240000</v>
      </c>
      <c r="H80" s="3">
        <f t="shared" si="3"/>
        <v>217020364000</v>
      </c>
      <c r="J80" s="3">
        <v>238782786</v>
      </c>
      <c r="K80" s="3">
        <f t="shared" si="4"/>
        <v>663947475612.30005</v>
      </c>
      <c r="M80" s="4">
        <f t="shared" si="5"/>
        <v>0.67313624650826287</v>
      </c>
    </row>
    <row r="81" spans="1:13" x14ac:dyDescent="0.45">
      <c r="A81" s="2">
        <v>45828</v>
      </c>
      <c r="B81" s="3">
        <v>10976.45</v>
      </c>
      <c r="D81" s="2">
        <v>45828</v>
      </c>
      <c r="E81" s="3">
        <v>2811.1</v>
      </c>
      <c r="G81" s="3">
        <v>20240000</v>
      </c>
      <c r="H81" s="3">
        <f t="shared" si="3"/>
        <v>222163348000</v>
      </c>
      <c r="J81" s="3">
        <v>238782786</v>
      </c>
      <c r="K81" s="3">
        <f t="shared" si="4"/>
        <v>671242289724.59998</v>
      </c>
      <c r="M81" s="4">
        <f t="shared" si="5"/>
        <v>0.66902659233352224</v>
      </c>
    </row>
    <row r="82" spans="1:13" x14ac:dyDescent="0.45">
      <c r="A82" s="2">
        <v>45827</v>
      </c>
      <c r="B82" s="3">
        <v>10531.1</v>
      </c>
      <c r="D82" s="2">
        <v>45827</v>
      </c>
      <c r="E82" s="3">
        <v>2777.8</v>
      </c>
      <c r="G82" s="3">
        <v>20240000</v>
      </c>
      <c r="H82" s="3">
        <f t="shared" si="3"/>
        <v>213149464000</v>
      </c>
      <c r="J82" s="3">
        <v>238782786</v>
      </c>
      <c r="K82" s="3">
        <f t="shared" si="4"/>
        <v>663290822950.80005</v>
      </c>
      <c r="M82" s="4">
        <f t="shared" si="5"/>
        <v>0.67864855561885185</v>
      </c>
    </row>
    <row r="83" spans="1:13" x14ac:dyDescent="0.45">
      <c r="A83" s="2">
        <v>45826</v>
      </c>
      <c r="B83" s="3">
        <v>10540.3</v>
      </c>
      <c r="D83" s="2">
        <v>45826</v>
      </c>
      <c r="E83" s="3">
        <v>2775.65</v>
      </c>
      <c r="G83" s="3">
        <v>20240000</v>
      </c>
      <c r="H83" s="3">
        <f t="shared" si="3"/>
        <v>213335672000</v>
      </c>
      <c r="J83" s="3">
        <v>238782786</v>
      </c>
      <c r="K83" s="3">
        <f t="shared" si="4"/>
        <v>662777439960.90002</v>
      </c>
      <c r="M83" s="4">
        <f t="shared" si="5"/>
        <v>0.67811868790738328</v>
      </c>
    </row>
    <row r="84" spans="1:13" x14ac:dyDescent="0.45">
      <c r="A84" s="2">
        <v>45825</v>
      </c>
      <c r="B84" s="3">
        <v>10867.75</v>
      </c>
      <c r="D84" s="2">
        <v>45825</v>
      </c>
      <c r="E84" s="3">
        <v>2775.1</v>
      </c>
      <c r="G84" s="3">
        <v>20240000</v>
      </c>
      <c r="H84" s="3">
        <f t="shared" si="3"/>
        <v>219963260000</v>
      </c>
      <c r="J84" s="3">
        <v>238782786</v>
      </c>
      <c r="K84" s="3">
        <f t="shared" si="4"/>
        <v>662646109428.59998</v>
      </c>
      <c r="M84" s="4">
        <f t="shared" si="5"/>
        <v>0.66805319329547652</v>
      </c>
    </row>
    <row r="85" spans="1:13" x14ac:dyDescent="0.45">
      <c r="A85" s="2">
        <v>45824</v>
      </c>
      <c r="B85" s="3">
        <v>11013.6</v>
      </c>
      <c r="D85" s="2">
        <v>45824</v>
      </c>
      <c r="E85" s="3">
        <v>2796.25</v>
      </c>
      <c r="G85" s="3">
        <v>20240000</v>
      </c>
      <c r="H85" s="3">
        <f t="shared" si="3"/>
        <v>222915264000</v>
      </c>
      <c r="J85" s="3">
        <v>238782786</v>
      </c>
      <c r="K85" s="3">
        <f t="shared" si="4"/>
        <v>667696365352.5</v>
      </c>
      <c r="M85" s="4">
        <f t="shared" si="5"/>
        <v>0.66614276253800586</v>
      </c>
    </row>
    <row r="86" spans="1:13" x14ac:dyDescent="0.45">
      <c r="A86" s="2">
        <v>45821</v>
      </c>
      <c r="B86" s="3">
        <v>11049.6</v>
      </c>
      <c r="D86" s="2">
        <v>45821</v>
      </c>
      <c r="E86" s="3">
        <v>2741.85</v>
      </c>
      <c r="G86" s="3">
        <v>20240000</v>
      </c>
      <c r="H86" s="3">
        <f t="shared" si="3"/>
        <v>223643904000</v>
      </c>
      <c r="J86" s="3">
        <v>238782786</v>
      </c>
      <c r="K86" s="3">
        <f t="shared" si="4"/>
        <v>654706581794.09998</v>
      </c>
      <c r="M86" s="4">
        <f t="shared" si="5"/>
        <v>0.6584059024011244</v>
      </c>
    </row>
    <row r="87" spans="1:13" x14ac:dyDescent="0.45">
      <c r="A87" s="2">
        <v>45820</v>
      </c>
      <c r="B87" s="3">
        <v>11237.45</v>
      </c>
      <c r="D87" s="2">
        <v>45820</v>
      </c>
      <c r="E87" s="3">
        <v>2738.95</v>
      </c>
      <c r="G87" s="3">
        <v>20240000</v>
      </c>
      <c r="H87" s="3">
        <f t="shared" si="3"/>
        <v>227445988000</v>
      </c>
      <c r="J87" s="3">
        <v>238782786</v>
      </c>
      <c r="K87" s="3">
        <f t="shared" si="4"/>
        <v>654014111714.69995</v>
      </c>
      <c r="M87" s="4">
        <f t="shared" si="5"/>
        <v>0.65223076394532198</v>
      </c>
    </row>
    <row r="88" spans="1:13" x14ac:dyDescent="0.45">
      <c r="A88" s="2">
        <v>45819</v>
      </c>
      <c r="B88" s="3">
        <v>11348.4</v>
      </c>
      <c r="D88" s="2">
        <v>45819</v>
      </c>
      <c r="E88" s="3">
        <v>2770.35</v>
      </c>
      <c r="G88" s="3">
        <v>20240000</v>
      </c>
      <c r="H88" s="3">
        <f t="shared" si="3"/>
        <v>229691616000</v>
      </c>
      <c r="J88" s="3">
        <v>238782786</v>
      </c>
      <c r="K88" s="3">
        <f t="shared" si="4"/>
        <v>661511891195.09998</v>
      </c>
      <c r="M88" s="4">
        <f t="shared" si="5"/>
        <v>0.65277779725919249</v>
      </c>
    </row>
    <row r="89" spans="1:13" x14ac:dyDescent="0.45">
      <c r="A89" s="2">
        <v>45818</v>
      </c>
      <c r="B89" s="3">
        <v>11355.85</v>
      </c>
      <c r="D89" s="2">
        <v>45818</v>
      </c>
      <c r="E89" s="3">
        <v>2744.15</v>
      </c>
      <c r="G89" s="3">
        <v>20240000</v>
      </c>
      <c r="H89" s="3">
        <f t="shared" si="3"/>
        <v>229842404000</v>
      </c>
      <c r="J89" s="3">
        <v>238782786</v>
      </c>
      <c r="K89" s="3">
        <f t="shared" si="4"/>
        <v>655255782201.90002</v>
      </c>
      <c r="M89" s="4">
        <f t="shared" si="5"/>
        <v>0.64923254362190419</v>
      </c>
    </row>
    <row r="90" spans="1:13" x14ac:dyDescent="0.45">
      <c r="A90" s="2">
        <v>45817</v>
      </c>
      <c r="B90" s="3">
        <v>11346.95</v>
      </c>
      <c r="D90" s="2">
        <v>45817</v>
      </c>
      <c r="E90" s="3">
        <v>2743.75</v>
      </c>
      <c r="G90" s="3">
        <v>20240000</v>
      </c>
      <c r="H90" s="3">
        <f t="shared" si="3"/>
        <v>229662268000</v>
      </c>
      <c r="J90" s="3">
        <v>238782786</v>
      </c>
      <c r="K90" s="3">
        <f t="shared" si="4"/>
        <v>655160269087.5</v>
      </c>
      <c r="M90" s="4">
        <f t="shared" si="5"/>
        <v>0.64945635619835262</v>
      </c>
    </row>
    <row r="91" spans="1:13" x14ac:dyDescent="0.45">
      <c r="A91" s="2">
        <v>45814</v>
      </c>
      <c r="B91" s="3">
        <v>11382.35</v>
      </c>
      <c r="D91" s="2">
        <v>45814</v>
      </c>
      <c r="E91" s="3">
        <v>2747.45</v>
      </c>
      <c r="G91" s="3">
        <v>20240000</v>
      </c>
      <c r="H91" s="3">
        <f t="shared" si="3"/>
        <v>230378764000</v>
      </c>
      <c r="J91" s="3">
        <v>238782786</v>
      </c>
      <c r="K91" s="3">
        <f t="shared" si="4"/>
        <v>656043765395.69995</v>
      </c>
      <c r="M91" s="4">
        <f t="shared" si="5"/>
        <v>0.64883628783356473</v>
      </c>
    </row>
    <row r="92" spans="1:13" x14ac:dyDescent="0.45">
      <c r="A92" s="2">
        <v>45813</v>
      </c>
      <c r="B92" s="3">
        <v>11109.1</v>
      </c>
      <c r="D92" s="2">
        <v>45813</v>
      </c>
      <c r="E92" s="3">
        <v>2717</v>
      </c>
      <c r="G92" s="3">
        <v>20240000</v>
      </c>
      <c r="H92" s="3">
        <f t="shared" si="3"/>
        <v>224848184000</v>
      </c>
      <c r="J92" s="3">
        <v>238782786</v>
      </c>
      <c r="K92" s="3">
        <f t="shared" si="4"/>
        <v>648772829562</v>
      </c>
      <c r="M92" s="4">
        <f t="shared" si="5"/>
        <v>0.65342539984018799</v>
      </c>
    </row>
    <row r="93" spans="1:13" x14ac:dyDescent="0.45">
      <c r="A93" s="2">
        <v>45812</v>
      </c>
      <c r="B93" s="3">
        <v>11268.4</v>
      </c>
      <c r="D93" s="2">
        <v>45812</v>
      </c>
      <c r="E93" s="3">
        <v>2760.75</v>
      </c>
      <c r="G93" s="3">
        <v>20240000</v>
      </c>
      <c r="H93" s="3">
        <f t="shared" si="3"/>
        <v>228072416000</v>
      </c>
      <c r="J93" s="3">
        <v>238782786</v>
      </c>
      <c r="K93" s="3">
        <f t="shared" si="4"/>
        <v>659219576449.5</v>
      </c>
      <c r="M93" s="4">
        <f t="shared" si="5"/>
        <v>0.65402663369255742</v>
      </c>
    </row>
    <row r="94" spans="1:13" x14ac:dyDescent="0.45">
      <c r="A94" s="2">
        <v>45811</v>
      </c>
      <c r="B94" s="3">
        <v>11556.4</v>
      </c>
      <c r="D94" s="2">
        <v>45811</v>
      </c>
      <c r="E94" s="3">
        <v>2741.65</v>
      </c>
      <c r="G94" s="3">
        <v>20240000</v>
      </c>
      <c r="H94" s="3">
        <f t="shared" si="3"/>
        <v>233901536000</v>
      </c>
      <c r="J94" s="3">
        <v>238782786</v>
      </c>
      <c r="K94" s="3">
        <f t="shared" si="4"/>
        <v>654658825236.90002</v>
      </c>
      <c r="M94" s="4">
        <f t="shared" si="5"/>
        <v>0.64271231520424621</v>
      </c>
    </row>
    <row r="95" spans="1:13" x14ac:dyDescent="0.45">
      <c r="A95" s="2">
        <v>45810</v>
      </c>
      <c r="B95" s="3">
        <v>11747.15</v>
      </c>
      <c r="D95" s="2">
        <v>45810</v>
      </c>
      <c r="E95" s="3">
        <v>2763.45</v>
      </c>
      <c r="G95" s="3">
        <v>20240000</v>
      </c>
      <c r="H95" s="3">
        <f t="shared" si="3"/>
        <v>237762316000</v>
      </c>
      <c r="J95" s="3">
        <v>238782786</v>
      </c>
      <c r="K95" s="3">
        <f t="shared" si="4"/>
        <v>659864289971.69995</v>
      </c>
      <c r="M95" s="4">
        <f t="shared" si="5"/>
        <v>0.63967997721137926</v>
      </c>
    </row>
    <row r="96" spans="1:13" x14ac:dyDescent="0.45">
      <c r="A96" s="2">
        <v>45807</v>
      </c>
      <c r="B96" s="3">
        <v>11849.1</v>
      </c>
      <c r="D96" s="2">
        <v>45807</v>
      </c>
      <c r="E96" s="3">
        <v>2781.2</v>
      </c>
      <c r="G96" s="3">
        <v>20240000</v>
      </c>
      <c r="H96" s="3">
        <f t="shared" si="3"/>
        <v>239825784000</v>
      </c>
      <c r="J96" s="3">
        <v>238782786</v>
      </c>
      <c r="K96" s="3">
        <f t="shared" si="4"/>
        <v>664102684423.19995</v>
      </c>
      <c r="M96" s="4">
        <f t="shared" si="5"/>
        <v>0.63887243701130592</v>
      </c>
    </row>
    <row r="97" spans="1:13" x14ac:dyDescent="0.45">
      <c r="A97" s="2">
        <v>45806</v>
      </c>
      <c r="B97" s="3">
        <v>11702.05</v>
      </c>
      <c r="D97" s="2">
        <v>45806</v>
      </c>
      <c r="E97" s="3">
        <v>2808.45</v>
      </c>
      <c r="G97" s="3">
        <v>20240000</v>
      </c>
      <c r="H97" s="3">
        <f t="shared" si="3"/>
        <v>236849492000</v>
      </c>
      <c r="J97" s="3">
        <v>238782786</v>
      </c>
      <c r="K97" s="3">
        <f t="shared" si="4"/>
        <v>670609515341.69995</v>
      </c>
      <c r="M97" s="4">
        <f t="shared" si="5"/>
        <v>0.64681459689799281</v>
      </c>
    </row>
    <row r="98" spans="1:13" x14ac:dyDescent="0.45">
      <c r="A98" s="2">
        <v>45805</v>
      </c>
      <c r="B98" s="3">
        <v>11607</v>
      </c>
      <c r="D98" s="2">
        <v>45805</v>
      </c>
      <c r="E98" s="3">
        <v>2800.95</v>
      </c>
      <c r="G98" s="3">
        <v>20240000</v>
      </c>
      <c r="H98" s="3">
        <f t="shared" si="3"/>
        <v>234925680000</v>
      </c>
      <c r="J98" s="3">
        <v>238782786</v>
      </c>
      <c r="K98" s="3">
        <f t="shared" si="4"/>
        <v>668818644446.69995</v>
      </c>
      <c r="M98" s="4">
        <f t="shared" si="5"/>
        <v>0.64874531840488803</v>
      </c>
    </row>
    <row r="99" spans="1:13" x14ac:dyDescent="0.45">
      <c r="A99" s="2">
        <v>45804</v>
      </c>
      <c r="B99" s="3">
        <v>11672.4</v>
      </c>
      <c r="D99" s="2">
        <v>45804</v>
      </c>
      <c r="E99" s="3">
        <v>2800.95</v>
      </c>
      <c r="G99" s="3">
        <v>20240000</v>
      </c>
      <c r="H99" s="3">
        <f t="shared" si="3"/>
        <v>236249376000</v>
      </c>
      <c r="J99" s="3">
        <v>238782786</v>
      </c>
      <c r="K99" s="3">
        <f t="shared" si="4"/>
        <v>668818644446.69995</v>
      </c>
      <c r="M99" s="4">
        <f t="shared" si="5"/>
        <v>0.64676616305240064</v>
      </c>
    </row>
    <row r="100" spans="1:13" x14ac:dyDescent="0.45">
      <c r="A100" s="2">
        <v>45803</v>
      </c>
      <c r="B100" s="3">
        <v>11493.85</v>
      </c>
      <c r="D100" s="2">
        <v>45803</v>
      </c>
      <c r="E100" s="3">
        <v>2775.15</v>
      </c>
      <c r="G100" s="3">
        <v>20240000</v>
      </c>
      <c r="H100" s="3">
        <f t="shared" si="3"/>
        <v>232635524000</v>
      </c>
      <c r="J100" s="3">
        <v>238782786</v>
      </c>
      <c r="K100" s="3">
        <f t="shared" si="4"/>
        <v>662658048567.90002</v>
      </c>
      <c r="M100" s="4">
        <f t="shared" si="5"/>
        <v>0.64893579048385663</v>
      </c>
    </row>
    <row r="101" spans="1:13" x14ac:dyDescent="0.45">
      <c r="A101" s="2">
        <v>45800</v>
      </c>
      <c r="B101" s="3">
        <v>11150.9</v>
      </c>
      <c r="D101" s="2">
        <v>45800</v>
      </c>
      <c r="E101" s="3">
        <v>2779.95</v>
      </c>
      <c r="G101" s="3">
        <v>20240000</v>
      </c>
      <c r="H101" s="3">
        <f t="shared" si="3"/>
        <v>225694216000</v>
      </c>
      <c r="J101" s="3">
        <v>238782786</v>
      </c>
      <c r="K101" s="3">
        <f t="shared" si="4"/>
        <v>663804205940.69995</v>
      </c>
      <c r="M101" s="4">
        <f t="shared" si="5"/>
        <v>0.6599988159457939</v>
      </c>
    </row>
    <row r="102" spans="1:13" x14ac:dyDescent="0.45">
      <c r="A102" s="2">
        <v>45799</v>
      </c>
      <c r="B102" s="3">
        <v>11158.2</v>
      </c>
      <c r="D102" s="2">
        <v>45799</v>
      </c>
      <c r="E102" s="3">
        <v>2804.7</v>
      </c>
      <c r="G102" s="3">
        <v>20240000</v>
      </c>
      <c r="H102" s="3">
        <f t="shared" si="3"/>
        <v>225841968000</v>
      </c>
      <c r="J102" s="3">
        <v>238782786</v>
      </c>
      <c r="K102" s="3">
        <f t="shared" si="4"/>
        <v>669714079894.19995</v>
      </c>
      <c r="M102" s="4">
        <f t="shared" si="5"/>
        <v>0.66277852776265656</v>
      </c>
    </row>
    <row r="103" spans="1:13" x14ac:dyDescent="0.45">
      <c r="A103" s="2">
        <v>45798</v>
      </c>
      <c r="B103" s="3">
        <v>11485.7</v>
      </c>
      <c r="D103" s="2">
        <v>45798</v>
      </c>
      <c r="E103" s="3">
        <v>2765.75</v>
      </c>
      <c r="G103" s="3">
        <v>20240000</v>
      </c>
      <c r="H103" s="3">
        <f t="shared" si="3"/>
        <v>232470568000</v>
      </c>
      <c r="J103" s="3">
        <v>238782786</v>
      </c>
      <c r="K103" s="3">
        <f t="shared" si="4"/>
        <v>660413490379.5</v>
      </c>
      <c r="M103" s="4">
        <f t="shared" si="5"/>
        <v>0.64799239963070243</v>
      </c>
    </row>
    <row r="104" spans="1:13" x14ac:dyDescent="0.45">
      <c r="A104" s="2">
        <v>45797</v>
      </c>
      <c r="B104" s="3">
        <v>11495.5</v>
      </c>
      <c r="D104" s="2">
        <v>45797</v>
      </c>
      <c r="E104" s="3">
        <v>2750.4</v>
      </c>
      <c r="G104" s="3">
        <v>20240000</v>
      </c>
      <c r="H104" s="3">
        <f t="shared" si="3"/>
        <v>232668920000</v>
      </c>
      <c r="J104" s="3">
        <v>238782786</v>
      </c>
      <c r="K104" s="3">
        <f t="shared" si="4"/>
        <v>656748174614.40002</v>
      </c>
      <c r="M104" s="4">
        <f t="shared" si="5"/>
        <v>0.64572582156530833</v>
      </c>
    </row>
    <row r="105" spans="1:13" x14ac:dyDescent="0.45">
      <c r="A105" s="2">
        <v>45796</v>
      </c>
      <c r="B105" s="3">
        <v>11511.2</v>
      </c>
      <c r="D105" s="2">
        <v>45796</v>
      </c>
      <c r="E105" s="3">
        <v>2825.65</v>
      </c>
      <c r="G105" s="3">
        <v>20240000</v>
      </c>
      <c r="H105" s="3">
        <f t="shared" si="3"/>
        <v>232986688000</v>
      </c>
      <c r="J105" s="3">
        <v>238782786</v>
      </c>
      <c r="K105" s="3">
        <f t="shared" si="4"/>
        <v>674716579260.90002</v>
      </c>
      <c r="M105" s="4">
        <f t="shared" si="5"/>
        <v>0.65468954645338795</v>
      </c>
    </row>
    <row r="106" spans="1:13" x14ac:dyDescent="0.45">
      <c r="A106" s="2">
        <v>45793</v>
      </c>
      <c r="B106" s="3">
        <v>11150.55</v>
      </c>
      <c r="D106" s="2">
        <v>45793</v>
      </c>
      <c r="E106" s="3">
        <v>2839.3</v>
      </c>
      <c r="G106" s="3">
        <v>20240000</v>
      </c>
      <c r="H106" s="3">
        <f t="shared" si="3"/>
        <v>225687132000</v>
      </c>
      <c r="J106" s="3">
        <v>238782786</v>
      </c>
      <c r="K106" s="3">
        <f t="shared" si="4"/>
        <v>677975964289.80005</v>
      </c>
      <c r="M106" s="4">
        <f t="shared" si="5"/>
        <v>0.66711632286785572</v>
      </c>
    </row>
    <row r="107" spans="1:13" x14ac:dyDescent="0.45">
      <c r="A107" s="2">
        <v>45792</v>
      </c>
      <c r="B107" s="3">
        <v>10940.9</v>
      </c>
      <c r="D107" s="2">
        <v>45792</v>
      </c>
      <c r="E107" s="3">
        <v>2789.5</v>
      </c>
      <c r="G107" s="3">
        <v>20240000</v>
      </c>
      <c r="H107" s="3">
        <f t="shared" si="3"/>
        <v>221443816000</v>
      </c>
      <c r="J107" s="3">
        <v>238782786</v>
      </c>
      <c r="K107" s="3">
        <f t="shared" si="4"/>
        <v>666084581547</v>
      </c>
      <c r="M107" s="4">
        <f t="shared" si="5"/>
        <v>0.6675439994637159</v>
      </c>
    </row>
    <row r="108" spans="1:13" x14ac:dyDescent="0.45">
      <c r="A108" s="2">
        <v>45791</v>
      </c>
      <c r="B108" s="3">
        <v>10697.5</v>
      </c>
      <c r="D108" s="2">
        <v>45791</v>
      </c>
      <c r="E108" s="3">
        <v>2728.1</v>
      </c>
      <c r="G108" s="3">
        <v>20240000</v>
      </c>
      <c r="H108" s="3">
        <f t="shared" si="3"/>
        <v>216517400000</v>
      </c>
      <c r="J108" s="3">
        <v>238782786</v>
      </c>
      <c r="K108" s="3">
        <f t="shared" si="4"/>
        <v>651423318486.59998</v>
      </c>
      <c r="M108" s="4">
        <f t="shared" si="5"/>
        <v>0.66762411805733679</v>
      </c>
    </row>
    <row r="109" spans="1:13" x14ac:dyDescent="0.45">
      <c r="A109" s="2">
        <v>45790</v>
      </c>
      <c r="B109" s="3">
        <v>9418.5499999999993</v>
      </c>
      <c r="D109" s="2">
        <v>45790</v>
      </c>
      <c r="E109" s="3">
        <v>2712</v>
      </c>
      <c r="G109" s="3">
        <v>20240000</v>
      </c>
      <c r="H109" s="3">
        <f t="shared" si="3"/>
        <v>190631452000</v>
      </c>
      <c r="J109" s="3">
        <v>238782786</v>
      </c>
      <c r="K109" s="3">
        <f t="shared" si="4"/>
        <v>647578915632</v>
      </c>
      <c r="M109" s="4">
        <f t="shared" si="5"/>
        <v>0.70562436886328417</v>
      </c>
    </row>
    <row r="110" spans="1:13" x14ac:dyDescent="0.45">
      <c r="A110" s="2">
        <v>45789</v>
      </c>
      <c r="B110" s="3">
        <v>9408.35</v>
      </c>
      <c r="D110" s="2">
        <v>45789</v>
      </c>
      <c r="E110" s="3">
        <v>2760.15</v>
      </c>
      <c r="G110" s="3">
        <v>20240000</v>
      </c>
      <c r="H110" s="3">
        <f t="shared" si="3"/>
        <v>190425004000</v>
      </c>
      <c r="J110" s="3">
        <v>238782786</v>
      </c>
      <c r="K110" s="3">
        <f t="shared" si="4"/>
        <v>659076306777.90002</v>
      </c>
      <c r="M110" s="4">
        <f t="shared" si="5"/>
        <v>0.71107290302855519</v>
      </c>
    </row>
    <row r="111" spans="1:13" x14ac:dyDescent="0.45">
      <c r="A111" s="2">
        <v>45786</v>
      </c>
      <c r="B111" s="3">
        <v>8933.5499999999993</v>
      </c>
      <c r="D111" s="2">
        <v>45786</v>
      </c>
      <c r="E111" s="3">
        <v>2667.15</v>
      </c>
      <c r="G111" s="3">
        <v>20240000</v>
      </c>
      <c r="H111" s="3">
        <f t="shared" si="3"/>
        <v>180815052000</v>
      </c>
      <c r="J111" s="3">
        <v>238782786</v>
      </c>
      <c r="K111" s="3">
        <f t="shared" si="4"/>
        <v>636869507679.90002</v>
      </c>
      <c r="M111" s="4">
        <f t="shared" si="5"/>
        <v>0.71608775452493434</v>
      </c>
    </row>
    <row r="112" spans="1:13" x14ac:dyDescent="0.45">
      <c r="A112" s="2">
        <v>45785</v>
      </c>
      <c r="B112" s="3">
        <v>9008.2999999999993</v>
      </c>
      <c r="D112" s="2">
        <v>45785</v>
      </c>
      <c r="E112" s="3">
        <v>2693</v>
      </c>
      <c r="G112" s="3">
        <v>20240000</v>
      </c>
      <c r="H112" s="3">
        <f t="shared" si="3"/>
        <v>182327992000</v>
      </c>
      <c r="J112" s="3">
        <v>238782786</v>
      </c>
      <c r="K112" s="3">
        <f t="shared" si="4"/>
        <v>643042042698</v>
      </c>
      <c r="M112" s="4">
        <f t="shared" si="5"/>
        <v>0.71646023137925829</v>
      </c>
    </row>
    <row r="113" spans="1:13" x14ac:dyDescent="0.45">
      <c r="A113" s="2">
        <v>45784</v>
      </c>
      <c r="B113" s="3">
        <v>9185.75</v>
      </c>
      <c r="D113" s="2">
        <v>45784</v>
      </c>
      <c r="E113" s="3">
        <v>2791.8</v>
      </c>
      <c r="G113" s="3">
        <v>20240000</v>
      </c>
      <c r="H113" s="3">
        <f t="shared" si="3"/>
        <v>185919580000</v>
      </c>
      <c r="J113" s="3">
        <v>238782786</v>
      </c>
      <c r="K113" s="3">
        <f t="shared" si="4"/>
        <v>666633781954.80005</v>
      </c>
      <c r="M113" s="4">
        <f t="shared" si="5"/>
        <v>0.72110687301981646</v>
      </c>
    </row>
    <row r="114" spans="1:13" x14ac:dyDescent="0.45">
      <c r="A114" s="2">
        <v>45783</v>
      </c>
      <c r="B114" s="3">
        <v>9144.7999999999993</v>
      </c>
      <c r="D114" s="2">
        <v>45783</v>
      </c>
      <c r="E114" s="3">
        <v>2770.25</v>
      </c>
      <c r="G114" s="3">
        <v>20240000</v>
      </c>
      <c r="H114" s="3">
        <f t="shared" si="3"/>
        <v>185090752000</v>
      </c>
      <c r="J114" s="3">
        <v>238782786</v>
      </c>
      <c r="K114" s="3">
        <f t="shared" si="4"/>
        <v>661488012916.5</v>
      </c>
      <c r="M114" s="4">
        <f t="shared" si="5"/>
        <v>0.72019031579433301</v>
      </c>
    </row>
    <row r="115" spans="1:13" x14ac:dyDescent="0.45">
      <c r="A115" s="2">
        <v>45782</v>
      </c>
      <c r="B115" s="3">
        <v>9187.2999999999993</v>
      </c>
      <c r="D115" s="2">
        <v>45782</v>
      </c>
      <c r="E115" s="3">
        <v>2785.9</v>
      </c>
      <c r="G115" s="3">
        <v>20240000</v>
      </c>
      <c r="H115" s="3">
        <f t="shared" si="3"/>
        <v>185950952000</v>
      </c>
      <c r="J115" s="3">
        <v>238782786</v>
      </c>
      <c r="K115" s="3">
        <f t="shared" si="4"/>
        <v>665224963517.40002</v>
      </c>
      <c r="M115" s="4">
        <f t="shared" si="5"/>
        <v>0.72046907106916447</v>
      </c>
    </row>
    <row r="116" spans="1:13" x14ac:dyDescent="0.45">
      <c r="A116" s="2">
        <v>45779</v>
      </c>
      <c r="B116" s="3">
        <v>9084.6</v>
      </c>
      <c r="D116" s="2">
        <v>45779</v>
      </c>
      <c r="E116" s="3">
        <v>2713.3</v>
      </c>
      <c r="G116" s="3">
        <v>20240000</v>
      </c>
      <c r="H116" s="3">
        <f t="shared" si="3"/>
        <v>183872304000</v>
      </c>
      <c r="J116" s="3">
        <v>238782786</v>
      </c>
      <c r="K116" s="3">
        <f t="shared" si="4"/>
        <v>647889333253.80005</v>
      </c>
      <c r="M116" s="4">
        <f t="shared" si="5"/>
        <v>0.71619797616274217</v>
      </c>
    </row>
    <row r="117" spans="1:13" x14ac:dyDescent="0.45">
      <c r="A117" s="2">
        <v>45777</v>
      </c>
      <c r="B117" s="3">
        <v>9095.6</v>
      </c>
      <c r="D117" s="2">
        <v>45777</v>
      </c>
      <c r="E117" s="3">
        <v>2668.7</v>
      </c>
      <c r="G117" s="3">
        <v>20240000</v>
      </c>
      <c r="H117" s="3">
        <f t="shared" si="3"/>
        <v>184094944000</v>
      </c>
      <c r="J117" s="3">
        <v>238782786</v>
      </c>
      <c r="K117" s="3">
        <f t="shared" si="4"/>
        <v>637239620998.19995</v>
      </c>
      <c r="M117" s="4">
        <f t="shared" si="5"/>
        <v>0.71110562191405235</v>
      </c>
    </row>
    <row r="118" spans="1:13" x14ac:dyDescent="0.45">
      <c r="A118" s="2">
        <v>45776</v>
      </c>
      <c r="B118" s="3">
        <v>9372.9</v>
      </c>
      <c r="D118" s="2">
        <v>45776</v>
      </c>
      <c r="E118" s="3">
        <v>2702</v>
      </c>
      <c r="G118" s="3">
        <v>20240000</v>
      </c>
      <c r="H118" s="3">
        <f t="shared" si="3"/>
        <v>189707496000</v>
      </c>
      <c r="J118" s="3">
        <v>238782786</v>
      </c>
      <c r="K118" s="3">
        <f t="shared" si="4"/>
        <v>645191087772</v>
      </c>
      <c r="M118" s="4">
        <f t="shared" si="5"/>
        <v>0.7059669614236217</v>
      </c>
    </row>
    <row r="119" spans="1:13" x14ac:dyDescent="0.45">
      <c r="A119" s="2">
        <v>45775</v>
      </c>
      <c r="B119" s="3">
        <v>9385.9</v>
      </c>
      <c r="D119" s="2">
        <v>45775</v>
      </c>
      <c r="E119" s="3">
        <v>2803.55</v>
      </c>
      <c r="G119" s="3">
        <v>20240000</v>
      </c>
      <c r="H119" s="3">
        <f t="shared" si="3"/>
        <v>189970616000</v>
      </c>
      <c r="J119" s="3">
        <v>238782786</v>
      </c>
      <c r="K119" s="3">
        <f t="shared" si="4"/>
        <v>669439479690.30005</v>
      </c>
      <c r="M119" s="4">
        <f t="shared" si="5"/>
        <v>0.71622436118066224</v>
      </c>
    </row>
    <row r="120" spans="1:13" x14ac:dyDescent="0.45">
      <c r="A120" s="2">
        <v>45772</v>
      </c>
      <c r="B120" s="3">
        <v>9355.65</v>
      </c>
      <c r="D120" s="2">
        <v>45772</v>
      </c>
      <c r="E120" s="3">
        <v>2735.7</v>
      </c>
      <c r="G120" s="3">
        <v>20240000</v>
      </c>
      <c r="H120" s="3">
        <f t="shared" si="3"/>
        <v>189358356000</v>
      </c>
      <c r="J120" s="3">
        <v>238782786</v>
      </c>
      <c r="K120" s="3">
        <f t="shared" si="4"/>
        <v>653238067660.19995</v>
      </c>
      <c r="M120" s="4">
        <f t="shared" si="5"/>
        <v>0.71012351334904134</v>
      </c>
    </row>
    <row r="121" spans="1:13" x14ac:dyDescent="0.45">
      <c r="A121" s="2">
        <v>45771</v>
      </c>
      <c r="B121" s="3">
        <v>9581.2999999999993</v>
      </c>
      <c r="D121" s="2">
        <v>45771</v>
      </c>
      <c r="E121" s="3">
        <v>2778.05</v>
      </c>
      <c r="G121" s="3">
        <v>20240000</v>
      </c>
      <c r="H121" s="3">
        <f t="shared" si="3"/>
        <v>193925512000</v>
      </c>
      <c r="J121" s="3">
        <v>238782786</v>
      </c>
      <c r="K121" s="3">
        <f t="shared" si="4"/>
        <v>663350518647.30005</v>
      </c>
      <c r="M121" s="4">
        <f t="shared" si="5"/>
        <v>0.70765755577390421</v>
      </c>
    </row>
    <row r="122" spans="1:13" x14ac:dyDescent="0.45">
      <c r="A122" s="2">
        <v>45770</v>
      </c>
      <c r="B122" s="3">
        <v>9394.6</v>
      </c>
      <c r="D122" s="2">
        <v>45770</v>
      </c>
      <c r="E122" s="3">
        <v>2803.75</v>
      </c>
      <c r="G122" s="3">
        <v>20240000</v>
      </c>
      <c r="H122" s="3">
        <f t="shared" si="3"/>
        <v>190146704000</v>
      </c>
      <c r="J122" s="3">
        <v>238782786</v>
      </c>
      <c r="K122" s="3">
        <f t="shared" si="4"/>
        <v>669487236247.5</v>
      </c>
      <c r="M122" s="4">
        <f t="shared" si="5"/>
        <v>0.715981584554503</v>
      </c>
    </row>
    <row r="123" spans="1:13" x14ac:dyDescent="0.45">
      <c r="A123" s="2">
        <v>45769</v>
      </c>
      <c r="B123" s="3">
        <v>9123</v>
      </c>
      <c r="D123" s="2">
        <v>45769</v>
      </c>
      <c r="E123" s="3">
        <v>2726.25</v>
      </c>
      <c r="G123" s="3">
        <v>20240000</v>
      </c>
      <c r="H123" s="3">
        <f t="shared" si="3"/>
        <v>184649520000</v>
      </c>
      <c r="J123" s="3">
        <v>238782786</v>
      </c>
      <c r="K123" s="3">
        <f t="shared" si="4"/>
        <v>650981570332.5</v>
      </c>
      <c r="M123" s="4">
        <f t="shared" si="5"/>
        <v>0.71635215432337496</v>
      </c>
    </row>
    <row r="124" spans="1:13" x14ac:dyDescent="0.45">
      <c r="A124" s="2">
        <v>45768</v>
      </c>
      <c r="B124" s="3">
        <v>8989.4</v>
      </c>
      <c r="D124" s="2">
        <v>45768</v>
      </c>
      <c r="E124" s="3">
        <v>2734.7</v>
      </c>
      <c r="G124" s="3">
        <v>20240000</v>
      </c>
      <c r="H124" s="3">
        <f t="shared" si="3"/>
        <v>181945456000</v>
      </c>
      <c r="J124" s="3">
        <v>238782786</v>
      </c>
      <c r="K124" s="3">
        <f t="shared" si="4"/>
        <v>652999284874.19995</v>
      </c>
      <c r="M124" s="4">
        <f t="shared" si="5"/>
        <v>0.72136959378898591</v>
      </c>
    </row>
    <row r="125" spans="1:13" x14ac:dyDescent="0.45">
      <c r="A125" s="2">
        <v>45764</v>
      </c>
      <c r="B125" s="3">
        <v>9005.0499999999993</v>
      </c>
      <c r="D125" s="2">
        <v>45764</v>
      </c>
      <c r="E125" s="3">
        <v>2678.75</v>
      </c>
      <c r="G125" s="3">
        <v>20240000</v>
      </c>
      <c r="H125" s="3">
        <f t="shared" si="3"/>
        <v>182262212000</v>
      </c>
      <c r="J125" s="3">
        <v>238782786</v>
      </c>
      <c r="K125" s="3">
        <f t="shared" si="4"/>
        <v>639639387997.5</v>
      </c>
      <c r="M125" s="4">
        <f t="shared" si="5"/>
        <v>0.71505473956098475</v>
      </c>
    </row>
    <row r="126" spans="1:13" x14ac:dyDescent="0.45">
      <c r="A126" s="2">
        <v>45763</v>
      </c>
      <c r="B126" s="3">
        <v>8909.65</v>
      </c>
      <c r="D126" s="2">
        <v>45763</v>
      </c>
      <c r="E126" s="3">
        <v>2617.5</v>
      </c>
      <c r="G126" s="3">
        <v>20240000</v>
      </c>
      <c r="H126" s="3">
        <f t="shared" si="3"/>
        <v>180331316000</v>
      </c>
      <c r="J126" s="3">
        <v>238782786</v>
      </c>
      <c r="K126" s="3">
        <f t="shared" si="4"/>
        <v>625013942355</v>
      </c>
      <c r="M126" s="4">
        <f t="shared" si="5"/>
        <v>0.71147633071907679</v>
      </c>
    </row>
    <row r="127" spans="1:13" x14ac:dyDescent="0.45">
      <c r="A127" s="2">
        <v>45762</v>
      </c>
      <c r="B127" s="3">
        <v>8990.7000000000007</v>
      </c>
      <c r="D127" s="2">
        <v>45762</v>
      </c>
      <c r="E127" s="3">
        <v>2583.4499999999998</v>
      </c>
      <c r="G127" s="3">
        <v>20240000</v>
      </c>
      <c r="H127" s="3">
        <f t="shared" si="3"/>
        <v>181971768000</v>
      </c>
      <c r="J127" s="3">
        <v>238782786</v>
      </c>
      <c r="K127" s="3">
        <f t="shared" si="4"/>
        <v>616883388491.69995</v>
      </c>
      <c r="M127" s="4">
        <f t="shared" si="5"/>
        <v>0.70501431649030633</v>
      </c>
    </row>
    <row r="128" spans="1:13" x14ac:dyDescent="0.45">
      <c r="A128" s="2">
        <v>45758</v>
      </c>
      <c r="B128" s="3">
        <v>8973.2000000000007</v>
      </c>
      <c r="D128" s="2">
        <v>45758</v>
      </c>
      <c r="E128" s="3">
        <v>2512.6999999999998</v>
      </c>
      <c r="G128" s="3">
        <v>20240000</v>
      </c>
      <c r="H128" s="3">
        <f t="shared" si="3"/>
        <v>181617568000</v>
      </c>
      <c r="J128" s="3">
        <v>238782786</v>
      </c>
      <c r="K128" s="3">
        <f t="shared" si="4"/>
        <v>599989506382.19995</v>
      </c>
      <c r="M128" s="4">
        <f t="shared" si="5"/>
        <v>0.69729875928145391</v>
      </c>
    </row>
    <row r="129" spans="1:13" x14ac:dyDescent="0.45">
      <c r="A129" s="2">
        <v>45756</v>
      </c>
      <c r="B129" s="3">
        <v>8065.8</v>
      </c>
      <c r="D129" s="2">
        <v>45756</v>
      </c>
      <c r="E129" s="3">
        <v>2475.0500000000002</v>
      </c>
      <c r="G129" s="3">
        <v>20240000</v>
      </c>
      <c r="H129" s="3">
        <f t="shared" si="3"/>
        <v>163251792000</v>
      </c>
      <c r="J129" s="3">
        <v>238782786</v>
      </c>
      <c r="K129" s="3">
        <f t="shared" si="4"/>
        <v>590999334489.30005</v>
      </c>
      <c r="M129" s="4">
        <f t="shared" si="5"/>
        <v>0.72376992244657823</v>
      </c>
    </row>
    <row r="130" spans="1:13" x14ac:dyDescent="0.45">
      <c r="A130" s="2">
        <v>45755</v>
      </c>
      <c r="B130" s="3">
        <v>8005.05</v>
      </c>
      <c r="D130" s="2">
        <v>45755</v>
      </c>
      <c r="E130" s="3">
        <v>2438.4499999999998</v>
      </c>
      <c r="G130" s="3">
        <v>20240000</v>
      </c>
      <c r="H130" s="3">
        <f t="shared" si="3"/>
        <v>162022212000</v>
      </c>
      <c r="J130" s="3">
        <v>238782786</v>
      </c>
      <c r="K130" s="3">
        <f t="shared" si="4"/>
        <v>582259884521.69995</v>
      </c>
      <c r="M130" s="4">
        <f t="shared" si="5"/>
        <v>0.72173557494331952</v>
      </c>
    </row>
    <row r="131" spans="1:13" x14ac:dyDescent="0.45">
      <c r="A131" s="2">
        <v>45754</v>
      </c>
      <c r="B131" s="3">
        <v>8089.05</v>
      </c>
      <c r="D131" s="2">
        <v>45754</v>
      </c>
      <c r="E131" s="3">
        <v>2363.85</v>
      </c>
      <c r="G131" s="3">
        <v>20240000</v>
      </c>
      <c r="H131" s="3">
        <f t="shared" si="3"/>
        <v>163722372000</v>
      </c>
      <c r="J131" s="3">
        <v>238782786</v>
      </c>
      <c r="K131" s="3">
        <f t="shared" si="4"/>
        <v>564446688686.09998</v>
      </c>
      <c r="M131" s="4">
        <f t="shared" si="5"/>
        <v>0.70994183280425038</v>
      </c>
    </row>
    <row r="132" spans="1:13" x14ac:dyDescent="0.45">
      <c r="A132" s="2">
        <v>45751</v>
      </c>
      <c r="B132" s="3">
        <v>8432.9500000000007</v>
      </c>
      <c r="D132" s="2">
        <v>45751</v>
      </c>
      <c r="E132" s="3">
        <v>2464.4499999999998</v>
      </c>
      <c r="G132" s="3">
        <v>20240000</v>
      </c>
      <c r="H132" s="3">
        <f t="shared" ref="H132:H195" si="6">+G132*B132</f>
        <v>170682908000</v>
      </c>
      <c r="J132" s="3">
        <v>238782786</v>
      </c>
      <c r="K132" s="3">
        <f t="shared" ref="K132:K195" si="7">+J132*E132</f>
        <v>588468236957.69995</v>
      </c>
      <c r="M132" s="4">
        <f t="shared" ref="M132:M195" si="8">1- (H132/K132)</f>
        <v>0.7099539154697504</v>
      </c>
    </row>
    <row r="133" spans="1:13" x14ac:dyDescent="0.45">
      <c r="A133" s="2">
        <v>45750</v>
      </c>
      <c r="B133" s="3">
        <v>8706.85</v>
      </c>
      <c r="D133" s="2">
        <v>45750</v>
      </c>
      <c r="E133" s="3">
        <v>2476.5</v>
      </c>
      <c r="G133" s="3">
        <v>20240000</v>
      </c>
      <c r="H133" s="3">
        <f t="shared" si="6"/>
        <v>176226644000</v>
      </c>
      <c r="J133" s="3">
        <v>238782786</v>
      </c>
      <c r="K133" s="3">
        <f t="shared" si="7"/>
        <v>591345569529</v>
      </c>
      <c r="M133" s="4">
        <f t="shared" si="8"/>
        <v>0.70199042137009249</v>
      </c>
    </row>
    <row r="134" spans="1:13" x14ac:dyDescent="0.45">
      <c r="A134" s="2">
        <v>45749</v>
      </c>
      <c r="B134" s="3">
        <v>8761.1</v>
      </c>
      <c r="D134" s="2">
        <v>45749</v>
      </c>
      <c r="E134" s="3">
        <v>2494.9</v>
      </c>
      <c r="G134" s="3">
        <v>20240000</v>
      </c>
      <c r="H134" s="3">
        <f t="shared" si="6"/>
        <v>177324664000</v>
      </c>
      <c r="J134" s="3">
        <v>238782786</v>
      </c>
      <c r="K134" s="3">
        <f t="shared" si="7"/>
        <v>595739172791.40002</v>
      </c>
      <c r="M134" s="4">
        <f t="shared" si="8"/>
        <v>0.70234513340943117</v>
      </c>
    </row>
    <row r="135" spans="1:13" x14ac:dyDescent="0.45">
      <c r="A135" s="2">
        <v>45748</v>
      </c>
      <c r="B135" s="3">
        <v>8646.35</v>
      </c>
      <c r="D135" s="2">
        <v>45748</v>
      </c>
      <c r="E135" s="3">
        <v>2441.15</v>
      </c>
      <c r="G135" s="3">
        <v>20240000</v>
      </c>
      <c r="H135" s="3">
        <f t="shared" si="6"/>
        <v>175002124000</v>
      </c>
      <c r="J135" s="3">
        <v>238782786</v>
      </c>
      <c r="K135" s="3">
        <f t="shared" si="7"/>
        <v>582904598043.90002</v>
      </c>
      <c r="M135" s="4">
        <f t="shared" si="8"/>
        <v>0.69977570156888669</v>
      </c>
    </row>
    <row r="136" spans="1:13" x14ac:dyDescent="0.45">
      <c r="A136" s="2">
        <v>45744</v>
      </c>
      <c r="B136" s="3">
        <v>8590.4</v>
      </c>
      <c r="D136" s="2">
        <v>45744</v>
      </c>
      <c r="E136" s="3">
        <v>2420.4499999999998</v>
      </c>
      <c r="G136" s="3">
        <v>20240000</v>
      </c>
      <c r="H136" s="3">
        <f t="shared" si="6"/>
        <v>173869696000</v>
      </c>
      <c r="J136" s="3">
        <v>238782786</v>
      </c>
      <c r="K136" s="3">
        <f t="shared" si="7"/>
        <v>577961794373.69995</v>
      </c>
      <c r="M136" s="4">
        <f t="shared" si="8"/>
        <v>0.69916749222427166</v>
      </c>
    </row>
    <row r="137" spans="1:13" x14ac:dyDescent="0.45">
      <c r="A137" s="2">
        <v>45743</v>
      </c>
      <c r="B137" s="3">
        <v>8829.25</v>
      </c>
      <c r="D137" s="2">
        <v>45743</v>
      </c>
      <c r="E137" s="3">
        <v>2454</v>
      </c>
      <c r="G137" s="3">
        <v>20240000</v>
      </c>
      <c r="H137" s="3">
        <f t="shared" si="6"/>
        <v>178704020000</v>
      </c>
      <c r="J137" s="3">
        <v>238782786</v>
      </c>
      <c r="K137" s="3">
        <f t="shared" si="7"/>
        <v>585972956844</v>
      </c>
      <c r="M137" s="4">
        <f t="shared" si="8"/>
        <v>0.69503026050470917</v>
      </c>
    </row>
    <row r="138" spans="1:13" x14ac:dyDescent="0.45">
      <c r="A138" s="2">
        <v>45742</v>
      </c>
      <c r="B138" s="3">
        <v>8880.1</v>
      </c>
      <c r="D138" s="2">
        <v>45742</v>
      </c>
      <c r="E138" s="3">
        <v>2430.6999999999998</v>
      </c>
      <c r="G138" s="3">
        <v>20240000</v>
      </c>
      <c r="H138" s="3">
        <f t="shared" si="6"/>
        <v>179733224000</v>
      </c>
      <c r="J138" s="3">
        <v>238782786</v>
      </c>
      <c r="K138" s="3">
        <f t="shared" si="7"/>
        <v>580409317930.19995</v>
      </c>
      <c r="M138" s="4">
        <f t="shared" si="8"/>
        <v>0.69033366893393899</v>
      </c>
    </row>
    <row r="139" spans="1:13" x14ac:dyDescent="0.45">
      <c r="A139" s="2">
        <v>45741</v>
      </c>
      <c r="B139" s="3">
        <v>8928.25</v>
      </c>
      <c r="D139" s="2">
        <v>45741</v>
      </c>
      <c r="E139" s="3">
        <v>2417.6999999999998</v>
      </c>
      <c r="G139" s="3">
        <v>20240000</v>
      </c>
      <c r="H139" s="3">
        <f t="shared" si="6"/>
        <v>180707780000</v>
      </c>
      <c r="J139" s="3">
        <v>238782786</v>
      </c>
      <c r="K139" s="3">
        <f t="shared" si="7"/>
        <v>577305141712.19995</v>
      </c>
      <c r="M139" s="4">
        <f t="shared" si="8"/>
        <v>0.68698047714585053</v>
      </c>
    </row>
    <row r="140" spans="1:13" x14ac:dyDescent="0.45">
      <c r="A140" s="2">
        <v>45740</v>
      </c>
      <c r="B140" s="3">
        <v>8948.85</v>
      </c>
      <c r="D140" s="2">
        <v>45740</v>
      </c>
      <c r="E140" s="3">
        <v>2444.1999999999998</v>
      </c>
      <c r="G140" s="3">
        <v>20240000</v>
      </c>
      <c r="H140" s="3">
        <f t="shared" si="6"/>
        <v>181124724000</v>
      </c>
      <c r="J140" s="3">
        <v>238782786</v>
      </c>
      <c r="K140" s="3">
        <f t="shared" si="7"/>
        <v>583632885541.19995</v>
      </c>
      <c r="M140" s="4">
        <f t="shared" si="8"/>
        <v>0.68965983842386824</v>
      </c>
    </row>
    <row r="141" spans="1:13" x14ac:dyDescent="0.45">
      <c r="A141" s="2">
        <v>45737</v>
      </c>
      <c r="B141" s="3">
        <v>8810.65</v>
      </c>
      <c r="D141" s="2">
        <v>45737</v>
      </c>
      <c r="E141" s="3">
        <v>2417.9</v>
      </c>
      <c r="G141" s="3">
        <v>20240000</v>
      </c>
      <c r="H141" s="3">
        <f t="shared" si="6"/>
        <v>178327556000</v>
      </c>
      <c r="J141" s="3">
        <v>238782786</v>
      </c>
      <c r="K141" s="3">
        <f t="shared" si="7"/>
        <v>577352898269.40002</v>
      </c>
      <c r="M141" s="4">
        <f t="shared" si="8"/>
        <v>0.69112901912412306</v>
      </c>
    </row>
    <row r="142" spans="1:13" x14ac:dyDescent="0.45">
      <c r="A142" s="2">
        <v>45736</v>
      </c>
      <c r="B142" s="3">
        <v>8544.7000000000007</v>
      </c>
      <c r="D142" s="2">
        <v>45736</v>
      </c>
      <c r="E142" s="3">
        <v>2346.75</v>
      </c>
      <c r="G142" s="3">
        <v>20240000</v>
      </c>
      <c r="H142" s="3">
        <f t="shared" si="6"/>
        <v>172944728000</v>
      </c>
      <c r="J142" s="3">
        <v>238782786</v>
      </c>
      <c r="K142" s="3">
        <f t="shared" si="7"/>
        <v>560363503045.5</v>
      </c>
      <c r="M142" s="4">
        <f t="shared" si="8"/>
        <v>0.69137046388626533</v>
      </c>
    </row>
    <row r="143" spans="1:13" x14ac:dyDescent="0.45">
      <c r="A143" s="2">
        <v>45735</v>
      </c>
      <c r="B143" s="3">
        <v>8560.65</v>
      </c>
      <c r="D143" s="2">
        <v>45735</v>
      </c>
      <c r="E143" s="3">
        <v>2320.9</v>
      </c>
      <c r="G143" s="3">
        <v>20240000</v>
      </c>
      <c r="H143" s="3">
        <f t="shared" si="6"/>
        <v>173267556000</v>
      </c>
      <c r="J143" s="3">
        <v>238782786</v>
      </c>
      <c r="K143" s="3">
        <f t="shared" si="7"/>
        <v>554190968027.40002</v>
      </c>
      <c r="M143" s="4">
        <f t="shared" si="8"/>
        <v>0.68735045138549888</v>
      </c>
    </row>
    <row r="144" spans="1:13" x14ac:dyDescent="0.45">
      <c r="A144" s="2">
        <v>45734</v>
      </c>
      <c r="B144" s="3">
        <v>8508.7000000000007</v>
      </c>
      <c r="D144" s="2">
        <v>45734</v>
      </c>
      <c r="E144" s="3">
        <v>2312.1</v>
      </c>
      <c r="G144" s="3">
        <v>20240000</v>
      </c>
      <c r="H144" s="3">
        <f t="shared" si="6"/>
        <v>172216088000</v>
      </c>
      <c r="J144" s="3">
        <v>238782786</v>
      </c>
      <c r="K144" s="3">
        <f t="shared" si="7"/>
        <v>552089679510.59998</v>
      </c>
      <c r="M144" s="4">
        <f t="shared" si="8"/>
        <v>0.68806501119046271</v>
      </c>
    </row>
    <row r="145" spans="1:13" x14ac:dyDescent="0.45">
      <c r="A145" s="2">
        <v>45733</v>
      </c>
      <c r="B145" s="3">
        <v>8281.35</v>
      </c>
      <c r="D145" s="2">
        <v>45733</v>
      </c>
      <c r="E145" s="3">
        <v>2266.25</v>
      </c>
      <c r="G145" s="3">
        <v>20240000</v>
      </c>
      <c r="H145" s="3">
        <f t="shared" si="6"/>
        <v>167614524000</v>
      </c>
      <c r="J145" s="3">
        <v>238782786</v>
      </c>
      <c r="K145" s="3">
        <f t="shared" si="7"/>
        <v>541141488772.5</v>
      </c>
      <c r="M145" s="4">
        <f t="shared" si="8"/>
        <v>0.69025748814749188</v>
      </c>
    </row>
    <row r="146" spans="1:13" x14ac:dyDescent="0.45">
      <c r="A146" s="2">
        <v>45729</v>
      </c>
      <c r="B146" s="3">
        <v>8334.25</v>
      </c>
      <c r="D146" s="2">
        <v>45729</v>
      </c>
      <c r="E146" s="3">
        <v>2249.15</v>
      </c>
      <c r="G146" s="3">
        <v>20240000</v>
      </c>
      <c r="H146" s="3">
        <f t="shared" si="6"/>
        <v>168685220000</v>
      </c>
      <c r="J146" s="3">
        <v>238782786</v>
      </c>
      <c r="K146" s="3">
        <f t="shared" si="7"/>
        <v>537058303131.90002</v>
      </c>
      <c r="M146" s="4">
        <f t="shared" si="8"/>
        <v>0.68590892456871422</v>
      </c>
    </row>
    <row r="147" spans="1:13" x14ac:dyDescent="0.45">
      <c r="A147" s="2">
        <v>45728</v>
      </c>
      <c r="B147" s="3">
        <v>8419.9500000000007</v>
      </c>
      <c r="D147" s="2">
        <v>45728</v>
      </c>
      <c r="E147" s="3">
        <v>2258.4</v>
      </c>
      <c r="G147" s="3">
        <v>20240000</v>
      </c>
      <c r="H147" s="3">
        <f t="shared" si="6"/>
        <v>170419788000</v>
      </c>
      <c r="J147" s="3">
        <v>238782786</v>
      </c>
      <c r="K147" s="3">
        <f t="shared" si="7"/>
        <v>539267043902.40002</v>
      </c>
      <c r="M147" s="4">
        <f t="shared" si="8"/>
        <v>0.68397885625133137</v>
      </c>
    </row>
    <row r="148" spans="1:13" x14ac:dyDescent="0.45">
      <c r="A148" s="2">
        <v>45727</v>
      </c>
      <c r="B148" s="3">
        <v>8419.2000000000007</v>
      </c>
      <c r="D148" s="2">
        <v>45727</v>
      </c>
      <c r="E148" s="3">
        <v>2290.4</v>
      </c>
      <c r="G148" s="3">
        <v>20240000</v>
      </c>
      <c r="H148" s="3">
        <f t="shared" si="6"/>
        <v>170404608000</v>
      </c>
      <c r="J148" s="3">
        <v>238782786</v>
      </c>
      <c r="K148" s="3">
        <f t="shared" si="7"/>
        <v>546908093054.40002</v>
      </c>
      <c r="M148" s="4">
        <f t="shared" si="8"/>
        <v>0.68842185704673753</v>
      </c>
    </row>
    <row r="149" spans="1:13" x14ac:dyDescent="0.45">
      <c r="A149" s="2">
        <v>45726</v>
      </c>
      <c r="B149" s="3">
        <v>8412.7999999999993</v>
      </c>
      <c r="D149" s="2">
        <v>45726</v>
      </c>
      <c r="E149" s="3">
        <v>2255.8000000000002</v>
      </c>
      <c r="G149" s="3">
        <v>20240000</v>
      </c>
      <c r="H149" s="3">
        <f t="shared" si="6"/>
        <v>170275072000</v>
      </c>
      <c r="J149" s="3">
        <v>238782786</v>
      </c>
      <c r="K149" s="3">
        <f t="shared" si="7"/>
        <v>538646208658.80005</v>
      </c>
      <c r="M149" s="4">
        <f t="shared" si="8"/>
        <v>0.68388328133975784</v>
      </c>
    </row>
    <row r="150" spans="1:13" x14ac:dyDescent="0.45">
      <c r="A150" s="2">
        <v>45723</v>
      </c>
      <c r="B150" s="3">
        <v>8526.9</v>
      </c>
      <c r="D150" s="2">
        <v>45723</v>
      </c>
      <c r="E150" s="3">
        <v>2331.5500000000002</v>
      </c>
      <c r="G150" s="3">
        <v>20240000</v>
      </c>
      <c r="H150" s="3">
        <f t="shared" si="6"/>
        <v>172584456000</v>
      </c>
      <c r="J150" s="3">
        <v>238782786</v>
      </c>
      <c r="K150" s="3">
        <f t="shared" si="7"/>
        <v>556734004698.30005</v>
      </c>
      <c r="M150" s="4">
        <f t="shared" si="8"/>
        <v>0.69000554206577469</v>
      </c>
    </row>
    <row r="151" spans="1:13" x14ac:dyDescent="0.45">
      <c r="A151" s="2">
        <v>45722</v>
      </c>
      <c r="B151" s="3">
        <v>8572.9</v>
      </c>
      <c r="D151" s="2">
        <v>45722</v>
      </c>
      <c r="E151" s="3">
        <v>2320.0500000000002</v>
      </c>
      <c r="G151" s="3">
        <v>20240000</v>
      </c>
      <c r="H151" s="3">
        <f t="shared" si="6"/>
        <v>173515496000</v>
      </c>
      <c r="J151" s="3">
        <v>238782786</v>
      </c>
      <c r="K151" s="3">
        <f t="shared" si="7"/>
        <v>553988002659.30005</v>
      </c>
      <c r="M151" s="4">
        <f t="shared" si="8"/>
        <v>0.68678835070962507</v>
      </c>
    </row>
    <row r="152" spans="1:13" x14ac:dyDescent="0.45">
      <c r="A152" s="2">
        <v>45721</v>
      </c>
      <c r="B152" s="3">
        <v>8473.2000000000007</v>
      </c>
      <c r="D152" s="2">
        <v>45721</v>
      </c>
      <c r="E152" s="3">
        <v>2330.15</v>
      </c>
      <c r="G152" s="3">
        <v>20240000</v>
      </c>
      <c r="H152" s="3">
        <f t="shared" si="6"/>
        <v>171497568000</v>
      </c>
      <c r="J152" s="3">
        <v>238782786</v>
      </c>
      <c r="K152" s="3">
        <f t="shared" si="7"/>
        <v>556399708797.90002</v>
      </c>
      <c r="M152" s="4">
        <f t="shared" si="8"/>
        <v>0.69177272150174196</v>
      </c>
    </row>
    <row r="153" spans="1:13" x14ac:dyDescent="0.45">
      <c r="A153" s="2">
        <v>45720</v>
      </c>
      <c r="B153" s="3">
        <v>8128.1</v>
      </c>
      <c r="D153" s="2">
        <v>45720</v>
      </c>
      <c r="E153" s="3">
        <v>2293.25</v>
      </c>
      <c r="G153" s="3">
        <v>20240000</v>
      </c>
      <c r="H153" s="3">
        <f t="shared" si="6"/>
        <v>164512744000</v>
      </c>
      <c r="J153" s="3">
        <v>238782786</v>
      </c>
      <c r="K153" s="3">
        <f t="shared" si="7"/>
        <v>547588623994.5</v>
      </c>
      <c r="M153" s="4">
        <f t="shared" si="8"/>
        <v>0.69956873318527457</v>
      </c>
    </row>
    <row r="154" spans="1:13" x14ac:dyDescent="0.45">
      <c r="A154" s="2">
        <v>45719</v>
      </c>
      <c r="B154" s="3">
        <v>8126.95</v>
      </c>
      <c r="D154" s="2">
        <v>45719</v>
      </c>
      <c r="E154" s="3">
        <v>2324.8000000000002</v>
      </c>
      <c r="G154" s="3">
        <v>20240000</v>
      </c>
      <c r="H154" s="3">
        <f t="shared" si="6"/>
        <v>164489468000</v>
      </c>
      <c r="J154" s="3">
        <v>238782786</v>
      </c>
      <c r="K154" s="3">
        <f t="shared" si="7"/>
        <v>555122220892.80005</v>
      </c>
      <c r="M154" s="4">
        <f t="shared" si="8"/>
        <v>0.70368783340098962</v>
      </c>
    </row>
    <row r="155" spans="1:13" x14ac:dyDescent="0.45">
      <c r="A155" s="2">
        <v>45716</v>
      </c>
      <c r="B155" s="3">
        <v>8157.9</v>
      </c>
      <c r="D155" s="2">
        <v>45716</v>
      </c>
      <c r="E155" s="3">
        <v>2225.4499999999998</v>
      </c>
      <c r="G155" s="3">
        <v>20240000</v>
      </c>
      <c r="H155" s="3">
        <f t="shared" si="6"/>
        <v>165115896000</v>
      </c>
      <c r="J155" s="3">
        <v>238782786</v>
      </c>
      <c r="K155" s="3">
        <f t="shared" si="7"/>
        <v>531399151103.69995</v>
      </c>
      <c r="M155" s="4">
        <f t="shared" si="8"/>
        <v>0.68928084349201679</v>
      </c>
    </row>
    <row r="156" spans="1:13" x14ac:dyDescent="0.45">
      <c r="A156" s="2">
        <v>45715</v>
      </c>
      <c r="B156" s="3">
        <v>8235.6</v>
      </c>
      <c r="D156" s="2">
        <v>45715</v>
      </c>
      <c r="E156" s="3">
        <v>2341</v>
      </c>
      <c r="G156" s="3">
        <v>20240000</v>
      </c>
      <c r="H156" s="3">
        <f t="shared" si="6"/>
        <v>166688544000</v>
      </c>
      <c r="J156" s="3">
        <v>238782786</v>
      </c>
      <c r="K156" s="3">
        <f t="shared" si="7"/>
        <v>558990502026</v>
      </c>
      <c r="M156" s="4">
        <f t="shared" si="8"/>
        <v>0.7018043358592756</v>
      </c>
    </row>
    <row r="157" spans="1:13" x14ac:dyDescent="0.45">
      <c r="A157" s="2">
        <v>45713</v>
      </c>
      <c r="B157" s="3">
        <v>8388.15</v>
      </c>
      <c r="D157" s="2">
        <v>45713</v>
      </c>
      <c r="E157" s="3">
        <v>2359.4499999999998</v>
      </c>
      <c r="G157" s="3">
        <v>20240000</v>
      </c>
      <c r="H157" s="3">
        <f t="shared" si="6"/>
        <v>169776156000</v>
      </c>
      <c r="J157" s="3">
        <v>238782786</v>
      </c>
      <c r="K157" s="3">
        <f t="shared" si="7"/>
        <v>563396044427.69995</v>
      </c>
      <c r="M157" s="4">
        <f t="shared" si="8"/>
        <v>0.69865575436820948</v>
      </c>
    </row>
    <row r="158" spans="1:13" x14ac:dyDescent="0.45">
      <c r="A158" s="2">
        <v>45712</v>
      </c>
      <c r="B158" s="3">
        <v>8444.0499999999993</v>
      </c>
      <c r="D158" s="2">
        <v>45712</v>
      </c>
      <c r="E158" s="3">
        <v>2364.9499999999998</v>
      </c>
      <c r="G158" s="3">
        <v>20240000</v>
      </c>
      <c r="H158" s="3">
        <f t="shared" si="6"/>
        <v>170907572000</v>
      </c>
      <c r="J158" s="3">
        <v>238782786</v>
      </c>
      <c r="K158" s="3">
        <f t="shared" si="7"/>
        <v>564709349750.69995</v>
      </c>
      <c r="M158" s="4">
        <f t="shared" si="8"/>
        <v>0.6973530328912565</v>
      </c>
    </row>
    <row r="159" spans="1:13" x14ac:dyDescent="0.45">
      <c r="A159" s="2">
        <v>45709</v>
      </c>
      <c r="B159" s="3">
        <v>8506.5</v>
      </c>
      <c r="D159" s="2">
        <v>45709</v>
      </c>
      <c r="E159" s="3">
        <v>2324.85</v>
      </c>
      <c r="G159" s="3">
        <v>20240000</v>
      </c>
      <c r="H159" s="3">
        <f t="shared" si="6"/>
        <v>172171560000</v>
      </c>
      <c r="J159" s="3">
        <v>238782786</v>
      </c>
      <c r="K159" s="3">
        <f t="shared" si="7"/>
        <v>555134160032.09998</v>
      </c>
      <c r="M159" s="4">
        <f t="shared" si="8"/>
        <v>0.68985594402973804</v>
      </c>
    </row>
    <row r="160" spans="1:13" x14ac:dyDescent="0.45">
      <c r="A160" s="2">
        <v>45708</v>
      </c>
      <c r="B160" s="3">
        <v>8551.85</v>
      </c>
      <c r="D160" s="2">
        <v>45708</v>
      </c>
      <c r="E160" s="3">
        <v>2419.6999999999998</v>
      </c>
      <c r="G160" s="3">
        <v>20240000</v>
      </c>
      <c r="H160" s="3">
        <f t="shared" si="6"/>
        <v>173089444000</v>
      </c>
      <c r="J160" s="3">
        <v>238782786</v>
      </c>
      <c r="K160" s="3">
        <f t="shared" si="7"/>
        <v>577782707284.19995</v>
      </c>
      <c r="M160" s="4">
        <f t="shared" si="8"/>
        <v>0.70042467208202419</v>
      </c>
    </row>
    <row r="161" spans="1:13" x14ac:dyDescent="0.45">
      <c r="A161" s="2">
        <v>45707</v>
      </c>
      <c r="B161" s="3">
        <v>8493.5</v>
      </c>
      <c r="D161" s="2">
        <v>45707</v>
      </c>
      <c r="E161" s="3">
        <v>2383.4499999999998</v>
      </c>
      <c r="G161" s="3">
        <v>20240000</v>
      </c>
      <c r="H161" s="3">
        <f t="shared" si="6"/>
        <v>171908440000</v>
      </c>
      <c r="J161" s="3">
        <v>238782786</v>
      </c>
      <c r="K161" s="3">
        <f t="shared" si="7"/>
        <v>569126831291.69995</v>
      </c>
      <c r="M161" s="4">
        <f t="shared" si="8"/>
        <v>0.69794353288557198</v>
      </c>
    </row>
    <row r="162" spans="1:13" x14ac:dyDescent="0.45">
      <c r="A162" s="2">
        <v>45706</v>
      </c>
      <c r="B162" s="3">
        <v>8563.15</v>
      </c>
      <c r="D162" s="2">
        <v>45706</v>
      </c>
      <c r="E162" s="3">
        <v>2350.4499999999998</v>
      </c>
      <c r="G162" s="3">
        <v>20240000</v>
      </c>
      <c r="H162" s="3">
        <f t="shared" si="6"/>
        <v>173318156000</v>
      </c>
      <c r="J162" s="3">
        <v>238782786</v>
      </c>
      <c r="K162" s="3">
        <f t="shared" si="7"/>
        <v>561246999353.69995</v>
      </c>
      <c r="M162" s="4">
        <f t="shared" si="8"/>
        <v>0.69119094409487569</v>
      </c>
    </row>
    <row r="163" spans="1:13" x14ac:dyDescent="0.45">
      <c r="A163" s="2">
        <v>45705</v>
      </c>
      <c r="B163" s="3">
        <v>8770.2000000000007</v>
      </c>
      <c r="D163" s="2">
        <v>45705</v>
      </c>
      <c r="E163" s="3">
        <v>2366.75</v>
      </c>
      <c r="G163" s="3">
        <v>20240000</v>
      </c>
      <c r="H163" s="3">
        <f t="shared" si="6"/>
        <v>177508848000</v>
      </c>
      <c r="J163" s="3">
        <v>238782786</v>
      </c>
      <c r="K163" s="3">
        <f t="shared" si="7"/>
        <v>565139158765.5</v>
      </c>
      <c r="M163" s="4">
        <f t="shared" si="8"/>
        <v>0.68590240961579541</v>
      </c>
    </row>
    <row r="164" spans="1:13" x14ac:dyDescent="0.45">
      <c r="A164" s="2">
        <v>45702</v>
      </c>
      <c r="B164" s="3">
        <v>8906</v>
      </c>
      <c r="D164" s="2">
        <v>45702</v>
      </c>
      <c r="E164" s="3">
        <v>2399.9499999999998</v>
      </c>
      <c r="G164" s="3">
        <v>20240000</v>
      </c>
      <c r="H164" s="3">
        <f t="shared" si="6"/>
        <v>180257440000</v>
      </c>
      <c r="J164" s="3">
        <v>238782786</v>
      </c>
      <c r="K164" s="3">
        <f t="shared" si="7"/>
        <v>573066747260.69995</v>
      </c>
      <c r="M164" s="4">
        <f t="shared" si="8"/>
        <v>0.68545123083542459</v>
      </c>
    </row>
    <row r="165" spans="1:13" x14ac:dyDescent="0.45">
      <c r="A165" s="2">
        <v>45701</v>
      </c>
      <c r="B165" s="3">
        <v>8821.7000000000007</v>
      </c>
      <c r="D165" s="2">
        <v>45701</v>
      </c>
      <c r="E165" s="3">
        <v>2475.0500000000002</v>
      </c>
      <c r="G165" s="3">
        <v>20240000</v>
      </c>
      <c r="H165" s="3">
        <f t="shared" si="6"/>
        <v>178551208000</v>
      </c>
      <c r="J165" s="3">
        <v>238782786</v>
      </c>
      <c r="K165" s="3">
        <f t="shared" si="7"/>
        <v>590999334489.30005</v>
      </c>
      <c r="M165" s="4">
        <f t="shared" si="8"/>
        <v>0.69788255657801823</v>
      </c>
    </row>
    <row r="166" spans="1:13" x14ac:dyDescent="0.45">
      <c r="A166" s="2">
        <v>45700</v>
      </c>
      <c r="B166" s="3">
        <v>8971.5</v>
      </c>
      <c r="D166" s="2">
        <v>45700</v>
      </c>
      <c r="E166" s="3">
        <v>2492.65</v>
      </c>
      <c r="G166" s="3">
        <v>20240000</v>
      </c>
      <c r="H166" s="3">
        <f t="shared" si="6"/>
        <v>181583160000</v>
      </c>
      <c r="J166" s="3">
        <v>238782786</v>
      </c>
      <c r="K166" s="3">
        <f t="shared" si="7"/>
        <v>595201911522.90002</v>
      </c>
      <c r="M166" s="4">
        <f t="shared" si="8"/>
        <v>0.69492174590737399</v>
      </c>
    </row>
    <row r="167" spans="1:13" x14ac:dyDescent="0.45">
      <c r="A167" s="2">
        <v>45699</v>
      </c>
      <c r="B167" s="3">
        <v>8901</v>
      </c>
      <c r="D167" s="2">
        <v>45699</v>
      </c>
      <c r="E167" s="3">
        <v>2485.85</v>
      </c>
      <c r="G167" s="3">
        <v>20240000</v>
      </c>
      <c r="H167" s="3">
        <f t="shared" si="6"/>
        <v>180156240000</v>
      </c>
      <c r="J167" s="3">
        <v>238782786</v>
      </c>
      <c r="K167" s="3">
        <f t="shared" si="7"/>
        <v>593578188578.09998</v>
      </c>
      <c r="M167" s="4">
        <f t="shared" si="8"/>
        <v>0.69649113888170444</v>
      </c>
    </row>
    <row r="168" spans="1:13" x14ac:dyDescent="0.45">
      <c r="A168" s="2">
        <v>45698</v>
      </c>
      <c r="B168" s="3">
        <v>9058.4500000000007</v>
      </c>
      <c r="D168" s="2">
        <v>45698</v>
      </c>
      <c r="E168" s="3">
        <v>2557.5</v>
      </c>
      <c r="G168" s="3">
        <v>20240000</v>
      </c>
      <c r="H168" s="3">
        <f t="shared" si="6"/>
        <v>183343028000</v>
      </c>
      <c r="J168" s="3">
        <v>238782786</v>
      </c>
      <c r="K168" s="3">
        <f t="shared" si="7"/>
        <v>610686975195</v>
      </c>
      <c r="M168" s="4">
        <f t="shared" si="8"/>
        <v>0.69977576819702714</v>
      </c>
    </row>
    <row r="169" spans="1:13" x14ac:dyDescent="0.45">
      <c r="A169" s="2">
        <v>45695</v>
      </c>
      <c r="B169" s="3">
        <v>9074.15</v>
      </c>
      <c r="D169" s="2">
        <v>45695</v>
      </c>
      <c r="E169" s="3">
        <v>2604.35</v>
      </c>
      <c r="G169" s="3">
        <v>20240000</v>
      </c>
      <c r="H169" s="3">
        <f t="shared" si="6"/>
        <v>183660796000</v>
      </c>
      <c r="J169" s="3">
        <v>238782786</v>
      </c>
      <c r="K169" s="3">
        <f t="shared" si="7"/>
        <v>621873948719.09998</v>
      </c>
      <c r="M169" s="4">
        <f t="shared" si="8"/>
        <v>0.70466555741996606</v>
      </c>
    </row>
    <row r="170" spans="1:13" x14ac:dyDescent="0.45">
      <c r="A170" s="2">
        <v>45694</v>
      </c>
      <c r="B170" s="3">
        <v>9208.0499999999993</v>
      </c>
      <c r="D170" s="2">
        <v>45694</v>
      </c>
      <c r="E170" s="3">
        <v>2592.9</v>
      </c>
      <c r="G170" s="3">
        <v>20240000</v>
      </c>
      <c r="H170" s="3">
        <f t="shared" si="6"/>
        <v>186370932000</v>
      </c>
      <c r="J170" s="3">
        <v>238782786</v>
      </c>
      <c r="K170" s="3">
        <f t="shared" si="7"/>
        <v>619139885819.40002</v>
      </c>
      <c r="M170" s="4">
        <f t="shared" si="8"/>
        <v>0.6989841290012393</v>
      </c>
    </row>
    <row r="171" spans="1:13" x14ac:dyDescent="0.45">
      <c r="A171" s="2">
        <v>45693</v>
      </c>
      <c r="B171" s="3">
        <v>9241.2000000000007</v>
      </c>
      <c r="D171" s="2">
        <v>45693</v>
      </c>
      <c r="E171" s="3">
        <v>2611.4</v>
      </c>
      <c r="G171" s="3">
        <v>20240000</v>
      </c>
      <c r="H171" s="3">
        <f t="shared" si="6"/>
        <v>187041888000</v>
      </c>
      <c r="J171" s="3">
        <v>238782786</v>
      </c>
      <c r="K171" s="3">
        <f t="shared" si="7"/>
        <v>623557367360.40002</v>
      </c>
      <c r="M171" s="4">
        <f t="shared" si="8"/>
        <v>0.70004060926780032</v>
      </c>
    </row>
    <row r="172" spans="1:13" x14ac:dyDescent="0.45">
      <c r="A172" s="2">
        <v>45692</v>
      </c>
      <c r="B172" s="3">
        <v>9341.0499999999993</v>
      </c>
      <c r="D172" s="2">
        <v>45692</v>
      </c>
      <c r="E172" s="3">
        <v>2642.9</v>
      </c>
      <c r="G172" s="3">
        <v>20240000</v>
      </c>
      <c r="H172" s="3">
        <f t="shared" si="6"/>
        <v>189062852000</v>
      </c>
      <c r="J172" s="3">
        <v>238782786</v>
      </c>
      <c r="K172" s="3">
        <f t="shared" si="7"/>
        <v>631079025119.40002</v>
      </c>
      <c r="M172" s="4">
        <f t="shared" si="8"/>
        <v>0.70041334844835101</v>
      </c>
    </row>
    <row r="173" spans="1:13" x14ac:dyDescent="0.45">
      <c r="A173" s="2">
        <v>45691</v>
      </c>
      <c r="B173" s="3">
        <v>9164.5499999999993</v>
      </c>
      <c r="D173" s="2">
        <v>45691</v>
      </c>
      <c r="E173" s="3">
        <v>2651.65</v>
      </c>
      <c r="G173" s="3">
        <v>20240000</v>
      </c>
      <c r="H173" s="3">
        <f t="shared" si="6"/>
        <v>185490492000</v>
      </c>
      <c r="J173" s="3">
        <v>238782786</v>
      </c>
      <c r="K173" s="3">
        <f t="shared" si="7"/>
        <v>633168374496.90002</v>
      </c>
      <c r="M173" s="4">
        <f t="shared" si="8"/>
        <v>0.70704397207553815</v>
      </c>
    </row>
    <row r="174" spans="1:13" x14ac:dyDescent="0.45">
      <c r="A174" s="2">
        <v>45689</v>
      </c>
      <c r="B174" s="3">
        <v>9469.65</v>
      </c>
      <c r="D174" s="2">
        <v>45689</v>
      </c>
      <c r="E174" s="3">
        <v>2557.65</v>
      </c>
      <c r="G174" s="3">
        <v>20240000</v>
      </c>
      <c r="H174" s="3">
        <f t="shared" si="6"/>
        <v>191665716000</v>
      </c>
      <c r="J174" s="3">
        <v>238782786</v>
      </c>
      <c r="K174" s="3">
        <f t="shared" si="7"/>
        <v>610722792612.90002</v>
      </c>
      <c r="M174" s="4">
        <f t="shared" si="8"/>
        <v>0.68616577223197694</v>
      </c>
    </row>
    <row r="175" spans="1:13" x14ac:dyDescent="0.45">
      <c r="A175" s="2">
        <v>45688</v>
      </c>
      <c r="B175" s="3">
        <v>9365.75</v>
      </c>
      <c r="D175" s="2">
        <v>45688</v>
      </c>
      <c r="E175" s="3">
        <v>2457.4499999999998</v>
      </c>
      <c r="G175" s="3">
        <v>20240000</v>
      </c>
      <c r="H175" s="3">
        <f t="shared" si="6"/>
        <v>189562780000</v>
      </c>
      <c r="J175" s="3">
        <v>238782786</v>
      </c>
      <c r="K175" s="3">
        <f t="shared" si="7"/>
        <v>586796757455.69995</v>
      </c>
      <c r="M175" s="4">
        <f t="shared" si="8"/>
        <v>0.67695325921375593</v>
      </c>
    </row>
    <row r="176" spans="1:13" x14ac:dyDescent="0.45">
      <c r="A176" s="2">
        <v>45687</v>
      </c>
      <c r="B176" s="3">
        <v>9306.5499999999993</v>
      </c>
      <c r="D176" s="2">
        <v>45687</v>
      </c>
      <c r="E176" s="3">
        <v>2457.0500000000002</v>
      </c>
      <c r="G176" s="3">
        <v>20240000</v>
      </c>
      <c r="H176" s="3">
        <f t="shared" si="6"/>
        <v>188364572000</v>
      </c>
      <c r="J176" s="3">
        <v>238782786</v>
      </c>
      <c r="K176" s="3">
        <f t="shared" si="7"/>
        <v>586701244341.30005</v>
      </c>
      <c r="M176" s="4">
        <f t="shared" si="8"/>
        <v>0.67894294785162712</v>
      </c>
    </row>
    <row r="177" spans="1:13" x14ac:dyDescent="0.45">
      <c r="A177" s="2">
        <v>45686</v>
      </c>
      <c r="B177" s="3">
        <v>9507.9500000000007</v>
      </c>
      <c r="D177" s="2">
        <v>45686</v>
      </c>
      <c r="E177" s="3">
        <v>2467.1999999999998</v>
      </c>
      <c r="G177" s="3">
        <v>20240000</v>
      </c>
      <c r="H177" s="3">
        <f t="shared" si="6"/>
        <v>192440908000</v>
      </c>
      <c r="J177" s="3">
        <v>238782786</v>
      </c>
      <c r="K177" s="3">
        <f t="shared" si="7"/>
        <v>589124889619.19995</v>
      </c>
      <c r="M177" s="4">
        <f t="shared" si="8"/>
        <v>0.67334446160577177</v>
      </c>
    </row>
    <row r="178" spans="1:13" x14ac:dyDescent="0.45">
      <c r="A178" s="2">
        <v>45685</v>
      </c>
      <c r="B178" s="3">
        <v>8903.75</v>
      </c>
      <c r="D178" s="2">
        <v>45685</v>
      </c>
      <c r="E178" s="3">
        <v>2334.9499999999998</v>
      </c>
      <c r="G178" s="3">
        <v>20240000</v>
      </c>
      <c r="H178" s="3">
        <f t="shared" si="6"/>
        <v>180211900000</v>
      </c>
      <c r="J178" s="3">
        <v>238782786</v>
      </c>
      <c r="K178" s="3">
        <f t="shared" si="7"/>
        <v>557545866170.69995</v>
      </c>
      <c r="M178" s="4">
        <f t="shared" si="8"/>
        <v>0.67677654712477819</v>
      </c>
    </row>
    <row r="179" spans="1:13" x14ac:dyDescent="0.45">
      <c r="A179" s="2">
        <v>45684</v>
      </c>
      <c r="B179" s="3">
        <v>9258.6</v>
      </c>
      <c r="D179" s="2">
        <v>45684</v>
      </c>
      <c r="E179" s="3">
        <v>2227</v>
      </c>
      <c r="G179" s="3">
        <v>20240000</v>
      </c>
      <c r="H179" s="3">
        <f t="shared" si="6"/>
        <v>187394064000</v>
      </c>
      <c r="J179" s="3">
        <v>238782786</v>
      </c>
      <c r="K179" s="3">
        <f t="shared" si="7"/>
        <v>531769264422</v>
      </c>
      <c r="M179" s="4">
        <f t="shared" si="8"/>
        <v>0.64760267932430127</v>
      </c>
    </row>
    <row r="180" spans="1:13" x14ac:dyDescent="0.45">
      <c r="A180" s="2">
        <v>45681</v>
      </c>
      <c r="B180" s="3">
        <v>9540.7000000000007</v>
      </c>
      <c r="D180" s="2">
        <v>45681</v>
      </c>
      <c r="E180" s="3">
        <v>2270.5500000000002</v>
      </c>
      <c r="G180" s="3">
        <v>20240000</v>
      </c>
      <c r="H180" s="3">
        <f t="shared" si="6"/>
        <v>193103768000</v>
      </c>
      <c r="J180" s="3">
        <v>238782786</v>
      </c>
      <c r="K180" s="3">
        <f t="shared" si="7"/>
        <v>542168254752.30005</v>
      </c>
      <c r="M180" s="4">
        <f t="shared" si="8"/>
        <v>0.64383055203366135</v>
      </c>
    </row>
    <row r="181" spans="1:13" x14ac:dyDescent="0.45">
      <c r="A181" s="2">
        <v>45680</v>
      </c>
      <c r="B181" s="3">
        <v>9605.5499999999993</v>
      </c>
      <c r="D181" s="2">
        <v>45680</v>
      </c>
      <c r="E181" s="3">
        <v>2298.25</v>
      </c>
      <c r="G181" s="3">
        <v>20240000</v>
      </c>
      <c r="H181" s="3">
        <f t="shared" si="6"/>
        <v>194416332000</v>
      </c>
      <c r="J181" s="3">
        <v>238782786</v>
      </c>
      <c r="K181" s="3">
        <f t="shared" si="7"/>
        <v>548782537924.5</v>
      </c>
      <c r="M181" s="4">
        <f t="shared" si="8"/>
        <v>0.64573156293331757</v>
      </c>
    </row>
    <row r="182" spans="1:13" x14ac:dyDescent="0.45">
      <c r="A182" s="2">
        <v>45679</v>
      </c>
      <c r="B182" s="3">
        <v>9625.2000000000007</v>
      </c>
      <c r="D182" s="2">
        <v>45679</v>
      </c>
      <c r="E182" s="3">
        <v>2274.4</v>
      </c>
      <c r="G182" s="3">
        <v>20240000</v>
      </c>
      <c r="H182" s="3">
        <f t="shared" si="6"/>
        <v>194814048000</v>
      </c>
      <c r="J182" s="3">
        <v>238782786</v>
      </c>
      <c r="K182" s="3">
        <f t="shared" si="7"/>
        <v>543087568478.40002</v>
      </c>
      <c r="M182" s="4">
        <f t="shared" si="8"/>
        <v>0.64128428027579076</v>
      </c>
    </row>
    <row r="183" spans="1:13" x14ac:dyDescent="0.45">
      <c r="A183" s="2">
        <v>45678</v>
      </c>
      <c r="B183" s="3">
        <v>9590.65</v>
      </c>
      <c r="D183" s="2">
        <v>45678</v>
      </c>
      <c r="E183" s="3">
        <v>2292.25</v>
      </c>
      <c r="G183" s="3">
        <v>20240000</v>
      </c>
      <c r="H183" s="3">
        <f t="shared" si="6"/>
        <v>194114756000</v>
      </c>
      <c r="J183" s="3">
        <v>238782786</v>
      </c>
      <c r="K183" s="3">
        <f t="shared" si="7"/>
        <v>547349841208.5</v>
      </c>
      <c r="M183" s="4">
        <f t="shared" si="8"/>
        <v>0.64535523464954003</v>
      </c>
    </row>
    <row r="184" spans="1:13" x14ac:dyDescent="0.45">
      <c r="A184" s="2">
        <v>45677</v>
      </c>
      <c r="B184" s="3">
        <v>9813.5499999999993</v>
      </c>
      <c r="D184" s="2">
        <v>45677</v>
      </c>
      <c r="E184" s="3">
        <v>2291.6</v>
      </c>
      <c r="G184" s="3">
        <v>20240000</v>
      </c>
      <c r="H184" s="3">
        <f t="shared" si="6"/>
        <v>198626252000</v>
      </c>
      <c r="J184" s="3">
        <v>238782786</v>
      </c>
      <c r="K184" s="3">
        <f t="shared" si="7"/>
        <v>547194632397.59998</v>
      </c>
      <c r="M184" s="4">
        <f t="shared" si="8"/>
        <v>0.63700986771435453</v>
      </c>
    </row>
    <row r="185" spans="1:13" x14ac:dyDescent="0.45">
      <c r="A185" s="2">
        <v>45674</v>
      </c>
      <c r="B185" s="3">
        <v>9917.2000000000007</v>
      </c>
      <c r="D185" s="2">
        <v>45674</v>
      </c>
      <c r="E185" s="3">
        <v>2300.5</v>
      </c>
      <c r="G185" s="3">
        <v>20240000</v>
      </c>
      <c r="H185" s="3">
        <f t="shared" si="6"/>
        <v>200724128000</v>
      </c>
      <c r="J185" s="3">
        <v>238782786</v>
      </c>
      <c r="K185" s="3">
        <f t="shared" si="7"/>
        <v>549319799193</v>
      </c>
      <c r="M185" s="4">
        <f t="shared" si="8"/>
        <v>0.63459513329961581</v>
      </c>
    </row>
    <row r="186" spans="1:13" x14ac:dyDescent="0.45">
      <c r="A186" s="2">
        <v>45673</v>
      </c>
      <c r="B186" s="3">
        <v>9606.65</v>
      </c>
      <c r="D186" s="2">
        <v>45673</v>
      </c>
      <c r="E186" s="3">
        <v>2278.75</v>
      </c>
      <c r="G186" s="3">
        <v>20240000</v>
      </c>
      <c r="H186" s="3">
        <f t="shared" si="6"/>
        <v>194438596000</v>
      </c>
      <c r="J186" s="3">
        <v>238782786</v>
      </c>
      <c r="K186" s="3">
        <f t="shared" si="7"/>
        <v>544126273597.5</v>
      </c>
      <c r="M186" s="4">
        <f t="shared" si="8"/>
        <v>0.64265905648248522</v>
      </c>
    </row>
    <row r="187" spans="1:13" x14ac:dyDescent="0.45">
      <c r="A187" s="2">
        <v>45672</v>
      </c>
      <c r="B187" s="3">
        <v>9561.9500000000007</v>
      </c>
      <c r="D187" s="2">
        <v>45672</v>
      </c>
      <c r="E187" s="3">
        <v>2250.6</v>
      </c>
      <c r="G187" s="3">
        <v>20240000</v>
      </c>
      <c r="H187" s="3">
        <f t="shared" si="6"/>
        <v>193533868000</v>
      </c>
      <c r="J187" s="3">
        <v>238782786</v>
      </c>
      <c r="K187" s="3">
        <f t="shared" si="7"/>
        <v>537404538171.59998</v>
      </c>
      <c r="M187" s="4">
        <f t="shared" si="8"/>
        <v>0.63987302999253381</v>
      </c>
    </row>
    <row r="188" spans="1:13" x14ac:dyDescent="0.45">
      <c r="A188" s="2">
        <v>45671</v>
      </c>
      <c r="B188" s="3">
        <v>9632.4500000000007</v>
      </c>
      <c r="D188" s="2">
        <v>45671</v>
      </c>
      <c r="E188" s="3">
        <v>2236.0500000000002</v>
      </c>
      <c r="G188" s="3">
        <v>20240000</v>
      </c>
      <c r="H188" s="3">
        <f t="shared" si="6"/>
        <v>194960788000</v>
      </c>
      <c r="J188" s="3">
        <v>238782786</v>
      </c>
      <c r="K188" s="3">
        <f t="shared" si="7"/>
        <v>533930248635.30005</v>
      </c>
      <c r="M188" s="4">
        <f t="shared" si="8"/>
        <v>0.63485719623806602</v>
      </c>
    </row>
    <row r="189" spans="1:13" x14ac:dyDescent="0.45">
      <c r="A189" s="2">
        <v>45670</v>
      </c>
      <c r="B189" s="3">
        <v>9547.9500000000007</v>
      </c>
      <c r="D189" s="2">
        <v>45670</v>
      </c>
      <c r="E189" s="3">
        <v>2177.4499999999998</v>
      </c>
      <c r="G189" s="3">
        <v>20240000</v>
      </c>
      <c r="H189" s="3">
        <f t="shared" si="6"/>
        <v>193250508000</v>
      </c>
      <c r="J189" s="3">
        <v>238782786</v>
      </c>
      <c r="K189" s="3">
        <f t="shared" si="7"/>
        <v>519937577375.69995</v>
      </c>
      <c r="M189" s="4">
        <f t="shared" si="8"/>
        <v>0.62831978989593251</v>
      </c>
    </row>
    <row r="190" spans="1:13" x14ac:dyDescent="0.45">
      <c r="A190" s="2">
        <v>45667</v>
      </c>
      <c r="B190" s="3">
        <v>9844.9500000000007</v>
      </c>
      <c r="D190" s="2">
        <v>45667</v>
      </c>
      <c r="E190" s="3">
        <v>2281.9</v>
      </c>
      <c r="G190" s="3">
        <v>20240000</v>
      </c>
      <c r="H190" s="3">
        <f t="shared" si="6"/>
        <v>199261788000</v>
      </c>
      <c r="J190" s="3">
        <v>238782786</v>
      </c>
      <c r="K190" s="3">
        <f t="shared" si="7"/>
        <v>544878439373.40002</v>
      </c>
      <c r="M190" s="4">
        <f t="shared" si="8"/>
        <v>0.63430047217660634</v>
      </c>
    </row>
    <row r="191" spans="1:13" x14ac:dyDescent="0.45">
      <c r="A191" s="2">
        <v>45666</v>
      </c>
      <c r="B191" s="3">
        <v>10238.9</v>
      </c>
      <c r="D191" s="2">
        <v>45666</v>
      </c>
      <c r="E191" s="3">
        <v>2326.75</v>
      </c>
      <c r="G191" s="3">
        <v>20240000</v>
      </c>
      <c r="H191" s="3">
        <f t="shared" si="6"/>
        <v>207235336000</v>
      </c>
      <c r="J191" s="3">
        <v>238782786</v>
      </c>
      <c r="K191" s="3">
        <f t="shared" si="7"/>
        <v>555587847325.5</v>
      </c>
      <c r="M191" s="4">
        <f t="shared" si="8"/>
        <v>0.62699807600617319</v>
      </c>
    </row>
    <row r="192" spans="1:13" x14ac:dyDescent="0.45">
      <c r="A192" s="2">
        <v>45665</v>
      </c>
      <c r="B192" s="3">
        <v>9954.9500000000007</v>
      </c>
      <c r="D192" s="2">
        <v>45665</v>
      </c>
      <c r="E192" s="3">
        <v>2359.8000000000002</v>
      </c>
      <c r="G192" s="3">
        <v>20240000</v>
      </c>
      <c r="H192" s="3">
        <f t="shared" si="6"/>
        <v>201488188000</v>
      </c>
      <c r="J192" s="3">
        <v>238782786</v>
      </c>
      <c r="K192" s="3">
        <f t="shared" si="7"/>
        <v>563479618402.80005</v>
      </c>
      <c r="M192" s="4">
        <f t="shared" si="8"/>
        <v>0.64242151549132454</v>
      </c>
    </row>
    <row r="193" spans="1:13" x14ac:dyDescent="0.45">
      <c r="A193" s="2">
        <v>45664</v>
      </c>
      <c r="B193" s="3">
        <v>10126.4</v>
      </c>
      <c r="D193" s="2">
        <v>45664</v>
      </c>
      <c r="E193" s="3">
        <v>2380.6999999999998</v>
      </c>
      <c r="G193" s="3">
        <v>20240000</v>
      </c>
      <c r="H193" s="3">
        <f t="shared" si="6"/>
        <v>204958336000</v>
      </c>
      <c r="J193" s="3">
        <v>238782786</v>
      </c>
      <c r="K193" s="3">
        <f t="shared" si="7"/>
        <v>568470178630.19995</v>
      </c>
      <c r="M193" s="4">
        <f t="shared" si="8"/>
        <v>0.63945630975071943</v>
      </c>
    </row>
    <row r="194" spans="1:13" x14ac:dyDescent="0.45">
      <c r="A194" s="2">
        <v>45663</v>
      </c>
      <c r="B194" s="3">
        <v>9895.7000000000007</v>
      </c>
      <c r="D194" s="2">
        <v>45663</v>
      </c>
      <c r="E194" s="3">
        <v>2411.1999999999998</v>
      </c>
      <c r="G194" s="3">
        <v>20240000</v>
      </c>
      <c r="H194" s="3">
        <f t="shared" si="6"/>
        <v>200288968000</v>
      </c>
      <c r="J194" s="3">
        <v>238782786</v>
      </c>
      <c r="K194" s="3">
        <f t="shared" si="7"/>
        <v>575753053603.19995</v>
      </c>
      <c r="M194" s="4">
        <f t="shared" si="8"/>
        <v>0.65212695486972438</v>
      </c>
    </row>
    <row r="195" spans="1:13" x14ac:dyDescent="0.45">
      <c r="A195" s="2">
        <v>45660</v>
      </c>
      <c r="B195" s="3">
        <v>9747.4</v>
      </c>
      <c r="D195" s="2">
        <v>45660</v>
      </c>
      <c r="E195" s="3">
        <v>2482.3000000000002</v>
      </c>
      <c r="G195" s="3">
        <v>20240000</v>
      </c>
      <c r="H195" s="3">
        <f t="shared" si="6"/>
        <v>197287376000</v>
      </c>
      <c r="J195" s="3">
        <v>238782786</v>
      </c>
      <c r="K195" s="3">
        <f t="shared" si="7"/>
        <v>592730509687.80005</v>
      </c>
      <c r="M195" s="4">
        <f t="shared" si="8"/>
        <v>0.66715501770962626</v>
      </c>
    </row>
    <row r="196" spans="1:13" x14ac:dyDescent="0.45">
      <c r="A196" s="2">
        <v>45659</v>
      </c>
      <c r="B196" s="3">
        <v>9523.5499999999993</v>
      </c>
      <c r="D196" s="2">
        <v>45659</v>
      </c>
      <c r="E196" s="3">
        <v>2500.9499999999998</v>
      </c>
      <c r="G196" s="3">
        <v>20240000</v>
      </c>
      <c r="H196" s="3">
        <f t="shared" ref="H196:H259" si="9">+G196*B196</f>
        <v>192756652000</v>
      </c>
      <c r="J196" s="3">
        <v>238782786</v>
      </c>
      <c r="K196" s="3">
        <f t="shared" ref="K196:K259" si="10">+J196*E196</f>
        <v>597183808646.69995</v>
      </c>
      <c r="M196" s="4">
        <f t="shared" ref="M196:M259" si="11">1- (H196/K196)</f>
        <v>0.67722391463222542</v>
      </c>
    </row>
    <row r="197" spans="1:13" x14ac:dyDescent="0.45">
      <c r="A197" s="2">
        <v>45658</v>
      </c>
      <c r="B197" s="3">
        <v>9302.75</v>
      </c>
      <c r="D197" s="2">
        <v>45658</v>
      </c>
      <c r="E197" s="3">
        <v>2407.1</v>
      </c>
      <c r="G197" s="3">
        <v>20240000</v>
      </c>
      <c r="H197" s="3">
        <f t="shared" si="9"/>
        <v>188287660000</v>
      </c>
      <c r="J197" s="3">
        <v>238782786</v>
      </c>
      <c r="K197" s="3">
        <f t="shared" si="10"/>
        <v>574774044180.59998</v>
      </c>
      <c r="M197" s="4">
        <f t="shared" si="11"/>
        <v>0.67241446981409259</v>
      </c>
    </row>
    <row r="198" spans="1:13" x14ac:dyDescent="0.45">
      <c r="A198" s="2">
        <v>45657</v>
      </c>
      <c r="B198" s="3">
        <v>10576</v>
      </c>
      <c r="D198" s="2">
        <v>45657</v>
      </c>
      <c r="E198" s="3">
        <v>2368.6999999999998</v>
      </c>
      <c r="G198" s="3">
        <v>20240000</v>
      </c>
      <c r="H198" s="3">
        <f t="shared" si="9"/>
        <v>214058240000</v>
      </c>
      <c r="J198" s="3">
        <v>238782786</v>
      </c>
      <c r="K198" s="3">
        <f t="shared" si="10"/>
        <v>565604785198.19995</v>
      </c>
      <c r="M198" s="4">
        <f t="shared" si="11"/>
        <v>0.62154096711719042</v>
      </c>
    </row>
    <row r="199" spans="1:13" x14ac:dyDescent="0.45">
      <c r="A199" s="2">
        <v>45656</v>
      </c>
      <c r="B199" s="3">
        <v>10510.55</v>
      </c>
      <c r="D199" s="2">
        <v>45656</v>
      </c>
      <c r="E199" s="3">
        <v>2361.9</v>
      </c>
      <c r="G199" s="3">
        <v>20240000</v>
      </c>
      <c r="H199" s="3">
        <f t="shared" si="9"/>
        <v>212733532000</v>
      </c>
      <c r="J199" s="3">
        <v>238782786</v>
      </c>
      <c r="K199" s="3">
        <f t="shared" si="10"/>
        <v>563981062253.40002</v>
      </c>
      <c r="M199" s="4">
        <f t="shared" si="11"/>
        <v>0.62280022107476807</v>
      </c>
    </row>
    <row r="200" spans="1:13" x14ac:dyDescent="0.45">
      <c r="A200" s="2">
        <v>45653</v>
      </c>
      <c r="B200" s="3">
        <v>10759.5</v>
      </c>
      <c r="D200" s="2">
        <v>45653</v>
      </c>
      <c r="E200" s="3">
        <v>2423.1</v>
      </c>
      <c r="G200" s="3">
        <v>20240000</v>
      </c>
      <c r="H200" s="3">
        <f t="shared" si="9"/>
        <v>217772280000</v>
      </c>
      <c r="J200" s="3">
        <v>238782786</v>
      </c>
      <c r="K200" s="3">
        <f t="shared" si="10"/>
        <v>578594568756.59998</v>
      </c>
      <c r="M200" s="4">
        <f t="shared" si="11"/>
        <v>0.62361852018764585</v>
      </c>
    </row>
    <row r="201" spans="1:13" x14ac:dyDescent="0.45">
      <c r="A201" s="2">
        <v>45652</v>
      </c>
      <c r="B201" s="3">
        <v>10545.7</v>
      </c>
      <c r="D201" s="2">
        <v>45652</v>
      </c>
      <c r="E201" s="3">
        <v>2437.0500000000002</v>
      </c>
      <c r="G201" s="3">
        <v>20240000</v>
      </c>
      <c r="H201" s="3">
        <f t="shared" si="9"/>
        <v>213444968000</v>
      </c>
      <c r="J201" s="3">
        <v>238782786</v>
      </c>
      <c r="K201" s="3">
        <f t="shared" si="10"/>
        <v>581925588621.30005</v>
      </c>
      <c r="M201" s="4">
        <f t="shared" si="11"/>
        <v>0.63320917283308598</v>
      </c>
    </row>
    <row r="202" spans="1:13" x14ac:dyDescent="0.45">
      <c r="A202" s="2">
        <v>45650</v>
      </c>
      <c r="B202" s="3">
        <v>10880.85</v>
      </c>
      <c r="D202" s="2">
        <v>45650</v>
      </c>
      <c r="E202" s="3">
        <v>2425.4</v>
      </c>
      <c r="G202" s="3">
        <v>20240000</v>
      </c>
      <c r="H202" s="3">
        <f t="shared" si="9"/>
        <v>220228404000</v>
      </c>
      <c r="J202" s="3">
        <v>238782786</v>
      </c>
      <c r="K202" s="3">
        <f t="shared" si="10"/>
        <v>579143769164.40002</v>
      </c>
      <c r="M202" s="4">
        <f t="shared" si="11"/>
        <v>0.61973448437898271</v>
      </c>
    </row>
    <row r="203" spans="1:13" x14ac:dyDescent="0.45">
      <c r="A203" s="2">
        <v>45649</v>
      </c>
      <c r="B203" s="3">
        <v>10821.55</v>
      </c>
      <c r="D203" s="2">
        <v>45649</v>
      </c>
      <c r="E203" s="3">
        <v>2388.15</v>
      </c>
      <c r="G203" s="3">
        <v>20240000</v>
      </c>
      <c r="H203" s="3">
        <f t="shared" si="9"/>
        <v>219028172000</v>
      </c>
      <c r="J203" s="3">
        <v>238782786</v>
      </c>
      <c r="K203" s="3">
        <f t="shared" si="10"/>
        <v>570249110385.90002</v>
      </c>
      <c r="M203" s="4">
        <f t="shared" si="11"/>
        <v>0.61590791110260767</v>
      </c>
    </row>
    <row r="204" spans="1:13" x14ac:dyDescent="0.45">
      <c r="A204" s="2">
        <v>45646</v>
      </c>
      <c r="B204" s="3">
        <v>11039.5</v>
      </c>
      <c r="D204" s="2">
        <v>45646</v>
      </c>
      <c r="E204" s="3">
        <v>2391.75</v>
      </c>
      <c r="G204" s="3">
        <v>20240000</v>
      </c>
      <c r="H204" s="3">
        <f t="shared" si="9"/>
        <v>223439480000</v>
      </c>
      <c r="J204" s="3">
        <v>238782786</v>
      </c>
      <c r="K204" s="3">
        <f t="shared" si="10"/>
        <v>571108728415.5</v>
      </c>
      <c r="M204" s="4">
        <f t="shared" si="11"/>
        <v>0.60876192416124209</v>
      </c>
    </row>
    <row r="205" spans="1:13" x14ac:dyDescent="0.45">
      <c r="A205" s="2">
        <v>45645</v>
      </c>
      <c r="B205" s="3">
        <v>10888.65</v>
      </c>
      <c r="D205" s="2">
        <v>45645</v>
      </c>
      <c r="E205" s="3">
        <v>2458.9499999999998</v>
      </c>
      <c r="G205" s="3">
        <v>20240000</v>
      </c>
      <c r="H205" s="3">
        <f t="shared" si="9"/>
        <v>220386276000</v>
      </c>
      <c r="J205" s="3">
        <v>238782786</v>
      </c>
      <c r="K205" s="3">
        <f t="shared" si="10"/>
        <v>587154931634.69995</v>
      </c>
      <c r="M205" s="4">
        <f t="shared" si="11"/>
        <v>0.62465396418212504</v>
      </c>
    </row>
    <row r="206" spans="1:13" x14ac:dyDescent="0.45">
      <c r="A206" s="2">
        <v>45644</v>
      </c>
      <c r="B206" s="3">
        <v>11305.55</v>
      </c>
      <c r="D206" s="2">
        <v>45644</v>
      </c>
      <c r="E206" s="3">
        <v>2479</v>
      </c>
      <c r="G206" s="3">
        <v>20240000</v>
      </c>
      <c r="H206" s="3">
        <f t="shared" si="9"/>
        <v>228824332000</v>
      </c>
      <c r="J206" s="3">
        <v>238782786</v>
      </c>
      <c r="K206" s="3">
        <f t="shared" si="10"/>
        <v>591942526494</v>
      </c>
      <c r="M206" s="4">
        <f t="shared" si="11"/>
        <v>0.61343488301930715</v>
      </c>
    </row>
    <row r="207" spans="1:13" x14ac:dyDescent="0.45">
      <c r="A207" s="2">
        <v>45643</v>
      </c>
      <c r="B207" s="3">
        <v>11208.15</v>
      </c>
      <c r="D207" s="2">
        <v>45643</v>
      </c>
      <c r="E207" s="3">
        <v>2453.75</v>
      </c>
      <c r="G207" s="3">
        <v>20240000</v>
      </c>
      <c r="H207" s="3">
        <f t="shared" si="9"/>
        <v>226852956000</v>
      </c>
      <c r="J207" s="3">
        <v>238782786</v>
      </c>
      <c r="K207" s="3">
        <f t="shared" si="10"/>
        <v>585913261147.5</v>
      </c>
      <c r="M207" s="4">
        <f t="shared" si="11"/>
        <v>0.61282160510292472</v>
      </c>
    </row>
    <row r="208" spans="1:13" x14ac:dyDescent="0.45">
      <c r="A208" s="2">
        <v>45642</v>
      </c>
      <c r="B208" s="3">
        <v>11583.25</v>
      </c>
      <c r="D208" s="2">
        <v>45642</v>
      </c>
      <c r="E208" s="3">
        <v>2527.1</v>
      </c>
      <c r="G208" s="3">
        <v>20240000</v>
      </c>
      <c r="H208" s="3">
        <f t="shared" si="9"/>
        <v>234444980000</v>
      </c>
      <c r="J208" s="3">
        <v>238782786</v>
      </c>
      <c r="K208" s="3">
        <f t="shared" si="10"/>
        <v>603427978500.59998</v>
      </c>
      <c r="M208" s="4">
        <f t="shared" si="11"/>
        <v>0.61147810782232914</v>
      </c>
    </row>
    <row r="209" spans="1:13" x14ac:dyDescent="0.45">
      <c r="A209" s="2">
        <v>45639</v>
      </c>
      <c r="B209" s="3">
        <v>11582.35</v>
      </c>
      <c r="D209" s="2">
        <v>45639</v>
      </c>
      <c r="E209" s="3">
        <v>2521.3000000000002</v>
      </c>
      <c r="G209" s="3">
        <v>20240000</v>
      </c>
      <c r="H209" s="3">
        <f t="shared" si="9"/>
        <v>234426764000</v>
      </c>
      <c r="J209" s="3">
        <v>238782786</v>
      </c>
      <c r="K209" s="3">
        <f t="shared" si="10"/>
        <v>602043038341.80005</v>
      </c>
      <c r="M209" s="4">
        <f t="shared" si="11"/>
        <v>0.61061460880657492</v>
      </c>
    </row>
    <row r="210" spans="1:13" x14ac:dyDescent="0.45">
      <c r="A210" s="2">
        <v>45638</v>
      </c>
      <c r="B210" s="3">
        <v>11618.75</v>
      </c>
      <c r="D210" s="2">
        <v>45638</v>
      </c>
      <c r="E210" s="3">
        <v>2524.9</v>
      </c>
      <c r="G210" s="3">
        <v>20240000</v>
      </c>
      <c r="H210" s="3">
        <f t="shared" si="9"/>
        <v>235163500000</v>
      </c>
      <c r="J210" s="3">
        <v>238782786</v>
      </c>
      <c r="K210" s="3">
        <f t="shared" si="10"/>
        <v>602902656371.40002</v>
      </c>
      <c r="M210" s="4">
        <f t="shared" si="11"/>
        <v>0.60994781244563856</v>
      </c>
    </row>
    <row r="211" spans="1:13" x14ac:dyDescent="0.45">
      <c r="A211" s="2">
        <v>45637</v>
      </c>
      <c r="B211" s="3">
        <v>11754.65</v>
      </c>
      <c r="D211" s="2">
        <v>45637</v>
      </c>
      <c r="E211" s="3">
        <v>2529.75</v>
      </c>
      <c r="G211" s="3">
        <v>20240000</v>
      </c>
      <c r="H211" s="3">
        <f t="shared" si="9"/>
        <v>237914116000</v>
      </c>
      <c r="J211" s="3">
        <v>238782786</v>
      </c>
      <c r="K211" s="3">
        <f t="shared" si="10"/>
        <v>604060752883.5</v>
      </c>
      <c r="M211" s="4">
        <f t="shared" si="11"/>
        <v>0.60614207285556843</v>
      </c>
    </row>
    <row r="212" spans="1:13" x14ac:dyDescent="0.45">
      <c r="A212" s="2">
        <v>45636</v>
      </c>
      <c r="B212" s="3">
        <v>11778.6</v>
      </c>
      <c r="D212" s="2">
        <v>45636</v>
      </c>
      <c r="E212" s="3">
        <v>2518.6</v>
      </c>
      <c r="G212" s="3">
        <v>20240000</v>
      </c>
      <c r="H212" s="3">
        <f t="shared" si="9"/>
        <v>238398864000</v>
      </c>
      <c r="J212" s="3">
        <v>238782786</v>
      </c>
      <c r="K212" s="3">
        <f t="shared" si="10"/>
        <v>601398324819.59998</v>
      </c>
      <c r="M212" s="4">
        <f t="shared" si="11"/>
        <v>0.60359240429957639</v>
      </c>
    </row>
    <row r="213" spans="1:13" x14ac:dyDescent="0.45">
      <c r="A213" s="2">
        <v>45635</v>
      </c>
      <c r="B213" s="3">
        <v>11650.9</v>
      </c>
      <c r="D213" s="2">
        <v>45635</v>
      </c>
      <c r="E213" s="3">
        <v>2489.35</v>
      </c>
      <c r="G213" s="3">
        <v>20240000</v>
      </c>
      <c r="H213" s="3">
        <f t="shared" si="9"/>
        <v>235814216000</v>
      </c>
      <c r="J213" s="3">
        <v>238782786</v>
      </c>
      <c r="K213" s="3">
        <f t="shared" si="10"/>
        <v>594413928329.09998</v>
      </c>
      <c r="M213" s="4">
        <f t="shared" si="11"/>
        <v>0.6032828223543234</v>
      </c>
    </row>
    <row r="214" spans="1:13" x14ac:dyDescent="0.45">
      <c r="A214" s="2">
        <v>45632</v>
      </c>
      <c r="B214" s="3">
        <v>11731.2</v>
      </c>
      <c r="D214" s="2">
        <v>45632</v>
      </c>
      <c r="E214" s="3">
        <v>2520.25</v>
      </c>
      <c r="G214" s="3">
        <v>20240000</v>
      </c>
      <c r="H214" s="3">
        <f t="shared" si="9"/>
        <v>237439488000</v>
      </c>
      <c r="J214" s="3">
        <v>238782786</v>
      </c>
      <c r="K214" s="3">
        <f t="shared" si="10"/>
        <v>601792316416.5</v>
      </c>
      <c r="M214" s="4">
        <f t="shared" si="11"/>
        <v>0.6054461289670765</v>
      </c>
    </row>
    <row r="215" spans="1:13" x14ac:dyDescent="0.45">
      <c r="A215" s="2">
        <v>45631</v>
      </c>
      <c r="B215" s="3">
        <v>11671.9</v>
      </c>
      <c r="D215" s="2">
        <v>45631</v>
      </c>
      <c r="E215" s="3">
        <v>2514.3000000000002</v>
      </c>
      <c r="G215" s="3">
        <v>20240000</v>
      </c>
      <c r="H215" s="3">
        <f t="shared" si="9"/>
        <v>236239256000</v>
      </c>
      <c r="J215" s="3">
        <v>238782786</v>
      </c>
      <c r="K215" s="3">
        <f t="shared" si="10"/>
        <v>600371558839.80005</v>
      </c>
      <c r="M215" s="4">
        <f t="shared" si="11"/>
        <v>0.60651158016791262</v>
      </c>
    </row>
    <row r="216" spans="1:13" x14ac:dyDescent="0.45">
      <c r="A216" s="2">
        <v>45630</v>
      </c>
      <c r="B216" s="3">
        <v>11793.9</v>
      </c>
      <c r="D216" s="2">
        <v>45630</v>
      </c>
      <c r="E216" s="3">
        <v>2517.4</v>
      </c>
      <c r="G216" s="3">
        <v>20240000</v>
      </c>
      <c r="H216" s="3">
        <f t="shared" si="9"/>
        <v>238708536000</v>
      </c>
      <c r="J216" s="3">
        <v>238782786</v>
      </c>
      <c r="K216" s="3">
        <f t="shared" si="10"/>
        <v>601111785476.40002</v>
      </c>
      <c r="M216" s="4">
        <f t="shared" si="11"/>
        <v>0.60288827840762438</v>
      </c>
    </row>
    <row r="217" spans="1:13" x14ac:dyDescent="0.45">
      <c r="A217" s="2">
        <v>45629</v>
      </c>
      <c r="B217" s="3">
        <v>11629.3</v>
      </c>
      <c r="D217" s="2">
        <v>45629</v>
      </c>
      <c r="E217" s="3">
        <v>2554.1</v>
      </c>
      <c r="G217" s="3">
        <v>20240000</v>
      </c>
      <c r="H217" s="3">
        <f t="shared" si="9"/>
        <v>235377032000</v>
      </c>
      <c r="J217" s="3">
        <v>238782786</v>
      </c>
      <c r="K217" s="3">
        <f t="shared" si="10"/>
        <v>609875113722.59998</v>
      </c>
      <c r="M217" s="4">
        <f t="shared" si="11"/>
        <v>0.61405699838563899</v>
      </c>
    </row>
    <row r="218" spans="1:13" x14ac:dyDescent="0.45">
      <c r="A218" s="2">
        <v>45628</v>
      </c>
      <c r="B218" s="3">
        <v>11918</v>
      </c>
      <c r="D218" s="2">
        <v>45628</v>
      </c>
      <c r="E218" s="3">
        <v>2492.1</v>
      </c>
      <c r="G218" s="3">
        <v>20240000</v>
      </c>
      <c r="H218" s="3">
        <f t="shared" si="9"/>
        <v>241220320000</v>
      </c>
      <c r="J218" s="3">
        <v>238782786</v>
      </c>
      <c r="K218" s="3">
        <f t="shared" si="10"/>
        <v>595070580990.59998</v>
      </c>
      <c r="M218" s="4">
        <f t="shared" si="11"/>
        <v>0.59463578320668076</v>
      </c>
    </row>
    <row r="219" spans="1:13" x14ac:dyDescent="0.45">
      <c r="A219" s="2">
        <v>45625</v>
      </c>
      <c r="B219" s="3">
        <v>11805.2</v>
      </c>
      <c r="D219" s="2">
        <v>45625</v>
      </c>
      <c r="E219" s="3">
        <v>2435.85</v>
      </c>
      <c r="G219" s="3">
        <v>20240000</v>
      </c>
      <c r="H219" s="3">
        <f t="shared" si="9"/>
        <v>238937248000</v>
      </c>
      <c r="J219" s="3">
        <v>238782786</v>
      </c>
      <c r="K219" s="3">
        <f t="shared" si="10"/>
        <v>581639049278.09998</v>
      </c>
      <c r="M219" s="4">
        <f t="shared" si="11"/>
        <v>0.5892001262697949</v>
      </c>
    </row>
    <row r="220" spans="1:13" x14ac:dyDescent="0.45">
      <c r="A220" s="2">
        <v>45624</v>
      </c>
      <c r="B220" s="3">
        <v>11868.9</v>
      </c>
      <c r="D220" s="2">
        <v>45624</v>
      </c>
      <c r="E220" s="3">
        <v>2417.15</v>
      </c>
      <c r="G220" s="3">
        <v>20240000</v>
      </c>
      <c r="H220" s="3">
        <f t="shared" si="9"/>
        <v>240226536000</v>
      </c>
      <c r="J220" s="3">
        <v>238782786</v>
      </c>
      <c r="K220" s="3">
        <f t="shared" si="10"/>
        <v>577173811179.90002</v>
      </c>
      <c r="M220" s="4">
        <f t="shared" si="11"/>
        <v>0.58378822575315448</v>
      </c>
    </row>
    <row r="221" spans="1:13" x14ac:dyDescent="0.45">
      <c r="A221" s="2">
        <v>45623</v>
      </c>
      <c r="B221" s="3">
        <v>12032.55</v>
      </c>
      <c r="D221" s="2">
        <v>45623</v>
      </c>
      <c r="E221" s="3">
        <v>2441.6</v>
      </c>
      <c r="G221" s="3">
        <v>20240000</v>
      </c>
      <c r="H221" s="3">
        <f t="shared" si="9"/>
        <v>243538812000</v>
      </c>
      <c r="J221" s="3">
        <v>238782786</v>
      </c>
      <c r="K221" s="3">
        <f t="shared" si="10"/>
        <v>583012050297.59998</v>
      </c>
      <c r="M221" s="4">
        <f t="shared" si="11"/>
        <v>0.58227482283481957</v>
      </c>
    </row>
    <row r="222" spans="1:13" x14ac:dyDescent="0.45">
      <c r="A222" s="2">
        <v>45622</v>
      </c>
      <c r="B222" s="3">
        <v>11857.55</v>
      </c>
      <c r="D222" s="2">
        <v>45622</v>
      </c>
      <c r="E222" s="3">
        <v>2422.65</v>
      </c>
      <c r="G222" s="3">
        <v>20240000</v>
      </c>
      <c r="H222" s="3">
        <f t="shared" si="9"/>
        <v>239996812000</v>
      </c>
      <c r="J222" s="3">
        <v>238782786</v>
      </c>
      <c r="K222" s="3">
        <f t="shared" si="10"/>
        <v>578487116502.90002</v>
      </c>
      <c r="M222" s="4">
        <f t="shared" si="11"/>
        <v>0.58513023859400537</v>
      </c>
    </row>
    <row r="223" spans="1:13" x14ac:dyDescent="0.45">
      <c r="A223" s="2">
        <v>45621</v>
      </c>
      <c r="B223" s="3">
        <v>11819</v>
      </c>
      <c r="D223" s="2">
        <v>45621</v>
      </c>
      <c r="E223" s="3">
        <v>2457.5</v>
      </c>
      <c r="G223" s="3">
        <v>20240000</v>
      </c>
      <c r="H223" s="3">
        <f t="shared" si="9"/>
        <v>239216560000</v>
      </c>
      <c r="J223" s="3">
        <v>238782786</v>
      </c>
      <c r="K223" s="3">
        <f t="shared" si="10"/>
        <v>586808696595</v>
      </c>
      <c r="M223" s="4">
        <f t="shared" si="11"/>
        <v>0.59234319227361243</v>
      </c>
    </row>
    <row r="224" spans="1:13" x14ac:dyDescent="0.45">
      <c r="A224" s="2">
        <v>45618</v>
      </c>
      <c r="B224" s="3">
        <v>11537.25</v>
      </c>
      <c r="D224" s="2">
        <v>45618</v>
      </c>
      <c r="E224" s="3">
        <v>2414</v>
      </c>
      <c r="G224" s="3">
        <v>20240000</v>
      </c>
      <c r="H224" s="3">
        <f t="shared" si="9"/>
        <v>233513940000</v>
      </c>
      <c r="J224" s="3">
        <v>238782786</v>
      </c>
      <c r="K224" s="3">
        <f t="shared" si="10"/>
        <v>576421645404</v>
      </c>
      <c r="M224" s="4">
        <f t="shared" si="11"/>
        <v>0.5948904038183096</v>
      </c>
    </row>
    <row r="225" spans="1:13" x14ac:dyDescent="0.45">
      <c r="A225" s="2">
        <v>45617</v>
      </c>
      <c r="B225" s="3">
        <v>11308.15</v>
      </c>
      <c r="D225" s="2">
        <v>45617</v>
      </c>
      <c r="E225" s="3">
        <v>2389.1999999999998</v>
      </c>
      <c r="G225" s="3">
        <v>20240000</v>
      </c>
      <c r="H225" s="3">
        <f t="shared" si="9"/>
        <v>228876956000</v>
      </c>
      <c r="J225" s="3">
        <v>238782786</v>
      </c>
      <c r="K225" s="3">
        <f t="shared" si="10"/>
        <v>570499832311.19995</v>
      </c>
      <c r="M225" s="4">
        <f t="shared" si="11"/>
        <v>0.59881328085097363</v>
      </c>
    </row>
    <row r="226" spans="1:13" x14ac:dyDescent="0.45">
      <c r="A226" s="2">
        <v>45615</v>
      </c>
      <c r="B226" s="3">
        <v>11653.7</v>
      </c>
      <c r="D226" s="2">
        <v>45615</v>
      </c>
      <c r="E226" s="3">
        <v>2429.3000000000002</v>
      </c>
      <c r="G226" s="3">
        <v>20240000</v>
      </c>
      <c r="H226" s="3">
        <f t="shared" si="9"/>
        <v>235870888000</v>
      </c>
      <c r="J226" s="3">
        <v>238782786</v>
      </c>
      <c r="K226" s="3">
        <f t="shared" si="10"/>
        <v>580075022029.80005</v>
      </c>
      <c r="M226" s="4">
        <f t="shared" si="11"/>
        <v>0.59337865096373232</v>
      </c>
    </row>
    <row r="227" spans="1:13" x14ac:dyDescent="0.45">
      <c r="A227" s="2">
        <v>45614</v>
      </c>
      <c r="B227" s="3">
        <v>11411.75</v>
      </c>
      <c r="D227" s="2">
        <v>45614</v>
      </c>
      <c r="E227" s="3">
        <v>2413.5</v>
      </c>
      <c r="G227" s="3">
        <v>20240000</v>
      </c>
      <c r="H227" s="3">
        <f t="shared" si="9"/>
        <v>230973820000</v>
      </c>
      <c r="J227" s="3">
        <v>238782786</v>
      </c>
      <c r="K227" s="3">
        <f t="shared" si="10"/>
        <v>576302254011</v>
      </c>
      <c r="M227" s="4">
        <f t="shared" si="11"/>
        <v>0.59921409574151796</v>
      </c>
    </row>
    <row r="228" spans="1:13" x14ac:dyDescent="0.45">
      <c r="A228" s="2">
        <v>45610</v>
      </c>
      <c r="B228" s="3">
        <v>11263.15</v>
      </c>
      <c r="D228" s="2">
        <v>45610</v>
      </c>
      <c r="E228" s="3">
        <v>2395.8000000000002</v>
      </c>
      <c r="G228" s="3">
        <v>20240000</v>
      </c>
      <c r="H228" s="3">
        <f t="shared" si="9"/>
        <v>227966156000</v>
      </c>
      <c r="J228" s="3">
        <v>238782786</v>
      </c>
      <c r="K228" s="3">
        <f t="shared" si="10"/>
        <v>572075798698.80005</v>
      </c>
      <c r="M228" s="4">
        <f t="shared" si="11"/>
        <v>0.60151057513966788</v>
      </c>
    </row>
    <row r="229" spans="1:13" x14ac:dyDescent="0.45">
      <c r="A229" s="2">
        <v>45609</v>
      </c>
      <c r="B229" s="3">
        <v>11294.2</v>
      </c>
      <c r="D229" s="2">
        <v>45609</v>
      </c>
      <c r="E229" s="3">
        <v>2388.5500000000002</v>
      </c>
      <c r="G229" s="3">
        <v>20240000</v>
      </c>
      <c r="H229" s="3">
        <f t="shared" si="9"/>
        <v>228594608000</v>
      </c>
      <c r="J229" s="3">
        <v>238782786</v>
      </c>
      <c r="K229" s="3">
        <f t="shared" si="10"/>
        <v>570344623500.30005</v>
      </c>
      <c r="M229" s="4">
        <f t="shared" si="11"/>
        <v>0.59919915331703</v>
      </c>
    </row>
    <row r="230" spans="1:13" x14ac:dyDescent="0.45">
      <c r="A230" s="2">
        <v>45608</v>
      </c>
      <c r="B230" s="3">
        <v>11884.65</v>
      </c>
      <c r="D230" s="2">
        <v>45608</v>
      </c>
      <c r="E230" s="3">
        <v>2440.9</v>
      </c>
      <c r="G230" s="3">
        <v>20240000</v>
      </c>
      <c r="H230" s="3">
        <f t="shared" si="9"/>
        <v>240545316000</v>
      </c>
      <c r="J230" s="3">
        <v>238782786</v>
      </c>
      <c r="K230" s="3">
        <f t="shared" si="10"/>
        <v>582844902347.40002</v>
      </c>
      <c r="M230" s="4">
        <f t="shared" si="11"/>
        <v>0.58729103569198782</v>
      </c>
    </row>
    <row r="231" spans="1:13" x14ac:dyDescent="0.45">
      <c r="A231" s="2">
        <v>45607</v>
      </c>
      <c r="B231" s="3">
        <v>11850</v>
      </c>
      <c r="D231" s="2">
        <v>45607</v>
      </c>
      <c r="E231" s="3">
        <v>2460</v>
      </c>
      <c r="G231" s="3">
        <v>20240000</v>
      </c>
      <c r="H231" s="3">
        <f t="shared" si="9"/>
        <v>239844000000</v>
      </c>
      <c r="J231" s="3">
        <v>238782786</v>
      </c>
      <c r="K231" s="3">
        <f t="shared" si="10"/>
        <v>587405653560</v>
      </c>
      <c r="M231" s="4">
        <f t="shared" si="11"/>
        <v>0.5916893231339978</v>
      </c>
    </row>
    <row r="232" spans="1:13" x14ac:dyDescent="0.45">
      <c r="A232" s="2">
        <v>45604</v>
      </c>
      <c r="B232" s="3">
        <v>11970.25</v>
      </c>
      <c r="D232" s="2">
        <v>45604</v>
      </c>
      <c r="E232" s="3">
        <v>2465</v>
      </c>
      <c r="G232" s="3">
        <v>20240000</v>
      </c>
      <c r="H232" s="3">
        <f t="shared" si="9"/>
        <v>242277860000</v>
      </c>
      <c r="J232" s="3">
        <v>238782786</v>
      </c>
      <c r="K232" s="3">
        <f t="shared" si="10"/>
        <v>588599567490</v>
      </c>
      <c r="M232" s="4">
        <f t="shared" si="11"/>
        <v>0.58838253817759356</v>
      </c>
    </row>
    <row r="233" spans="1:13" x14ac:dyDescent="0.45">
      <c r="A233" s="2">
        <v>45603</v>
      </c>
      <c r="B233" s="3">
        <v>12345.6</v>
      </c>
      <c r="D233" s="2">
        <v>45603</v>
      </c>
      <c r="E233" s="3">
        <v>2479.1</v>
      </c>
      <c r="G233" s="3">
        <v>20240000</v>
      </c>
      <c r="H233" s="3">
        <f t="shared" si="9"/>
        <v>249874944000</v>
      </c>
      <c r="J233" s="3">
        <v>238782786</v>
      </c>
      <c r="K233" s="3">
        <f t="shared" si="10"/>
        <v>591966404772.59998</v>
      </c>
      <c r="M233" s="4">
        <f t="shared" si="11"/>
        <v>0.57788999175386002</v>
      </c>
    </row>
    <row r="234" spans="1:13" x14ac:dyDescent="0.45">
      <c r="A234" s="2">
        <v>45602</v>
      </c>
      <c r="B234" s="3">
        <v>12537.35</v>
      </c>
      <c r="D234" s="2">
        <v>45602</v>
      </c>
      <c r="E234" s="3">
        <v>2485.9</v>
      </c>
      <c r="G234" s="3">
        <v>20240000</v>
      </c>
      <c r="H234" s="3">
        <f t="shared" si="9"/>
        <v>253755964000</v>
      </c>
      <c r="J234" s="3">
        <v>238782786</v>
      </c>
      <c r="K234" s="3">
        <f t="shared" si="10"/>
        <v>593590127717.40002</v>
      </c>
      <c r="M234" s="4">
        <f t="shared" si="11"/>
        <v>0.57250642800311247</v>
      </c>
    </row>
    <row r="235" spans="1:13" x14ac:dyDescent="0.45">
      <c r="A235" s="2">
        <v>45601</v>
      </c>
      <c r="B235" s="3">
        <v>12462.5</v>
      </c>
      <c r="D235" s="2">
        <v>45601</v>
      </c>
      <c r="E235" s="3">
        <v>2460.1</v>
      </c>
      <c r="G235" s="3">
        <v>20240000</v>
      </c>
      <c r="H235" s="3">
        <f t="shared" si="9"/>
        <v>252241000000</v>
      </c>
      <c r="J235" s="3">
        <v>238782786</v>
      </c>
      <c r="K235" s="3">
        <f t="shared" si="10"/>
        <v>587429531838.59998</v>
      </c>
      <c r="M235" s="4">
        <f t="shared" si="11"/>
        <v>0.57060211254529702</v>
      </c>
    </row>
    <row r="236" spans="1:13" x14ac:dyDescent="0.45">
      <c r="A236" s="2">
        <v>45600</v>
      </c>
      <c r="B236" s="3">
        <v>12496.25</v>
      </c>
      <c r="D236" s="2">
        <v>45600</v>
      </c>
      <c r="E236" s="3">
        <v>2412.0500000000002</v>
      </c>
      <c r="G236" s="3">
        <v>20240000</v>
      </c>
      <c r="H236" s="3">
        <f t="shared" si="9"/>
        <v>252924100000</v>
      </c>
      <c r="J236" s="3">
        <v>238782786</v>
      </c>
      <c r="K236" s="3">
        <f t="shared" si="10"/>
        <v>575956018971.30005</v>
      </c>
      <c r="M236" s="4">
        <f t="shared" si="11"/>
        <v>0.56086212893175236</v>
      </c>
    </row>
    <row r="237" spans="1:13" x14ac:dyDescent="0.45">
      <c r="A237" s="2">
        <v>45597</v>
      </c>
      <c r="B237" s="3">
        <v>12564.25</v>
      </c>
      <c r="D237" s="2">
        <v>45597</v>
      </c>
      <c r="E237" s="3">
        <v>2510.5500000000002</v>
      </c>
      <c r="G237" s="3">
        <v>20240000</v>
      </c>
      <c r="H237" s="3">
        <f t="shared" si="9"/>
        <v>254300420000</v>
      </c>
      <c r="J237" s="3">
        <v>238782786</v>
      </c>
      <c r="K237" s="3">
        <f t="shared" si="10"/>
        <v>599476123392.30005</v>
      </c>
      <c r="M237" s="4">
        <f t="shared" si="11"/>
        <v>0.57579558204758619</v>
      </c>
    </row>
    <row r="238" spans="1:13" x14ac:dyDescent="0.45">
      <c r="A238" s="2">
        <v>45596</v>
      </c>
      <c r="B238" s="3">
        <v>12337.85</v>
      </c>
      <c r="D238" s="2">
        <v>45596</v>
      </c>
      <c r="E238" s="3">
        <v>2493.5</v>
      </c>
      <c r="G238" s="3">
        <v>20240000</v>
      </c>
      <c r="H238" s="3">
        <f t="shared" si="9"/>
        <v>249718084000</v>
      </c>
      <c r="J238" s="3">
        <v>238782786</v>
      </c>
      <c r="K238" s="3">
        <f t="shared" si="10"/>
        <v>595404876891</v>
      </c>
      <c r="M238" s="4">
        <f t="shared" si="11"/>
        <v>0.58059113438246901</v>
      </c>
    </row>
    <row r="239" spans="1:13" x14ac:dyDescent="0.45">
      <c r="A239" s="2">
        <v>45595</v>
      </c>
      <c r="B239" s="3">
        <v>12099.85</v>
      </c>
      <c r="D239" s="2">
        <v>45595</v>
      </c>
      <c r="E239" s="3">
        <v>2459.4499999999998</v>
      </c>
      <c r="G239" s="3">
        <v>20240000</v>
      </c>
      <c r="H239" s="3">
        <f t="shared" si="9"/>
        <v>244900964000</v>
      </c>
      <c r="J239" s="3">
        <v>238782786</v>
      </c>
      <c r="K239" s="3">
        <f t="shared" si="10"/>
        <v>587274323027.69995</v>
      </c>
      <c r="M239" s="4">
        <f t="shared" si="11"/>
        <v>0.58298710773287332</v>
      </c>
    </row>
    <row r="240" spans="1:13" x14ac:dyDescent="0.45">
      <c r="A240" s="2">
        <v>45594</v>
      </c>
      <c r="B240" s="3">
        <v>12238.6</v>
      </c>
      <c r="D240" s="2">
        <v>45594</v>
      </c>
      <c r="E240" s="3">
        <v>2449.3000000000002</v>
      </c>
      <c r="G240" s="3">
        <v>20240000</v>
      </c>
      <c r="H240" s="3">
        <f t="shared" si="9"/>
        <v>247709264000</v>
      </c>
      <c r="J240" s="3">
        <v>238782786</v>
      </c>
      <c r="K240" s="3">
        <f t="shared" si="10"/>
        <v>584850677749.80005</v>
      </c>
      <c r="M240" s="4">
        <f t="shared" si="11"/>
        <v>0.57645725067284548</v>
      </c>
    </row>
    <row r="241" spans="1:13" x14ac:dyDescent="0.45">
      <c r="A241" s="2">
        <v>45593</v>
      </c>
      <c r="B241" s="3">
        <v>12238.6</v>
      </c>
      <c r="D241" s="2">
        <v>45593</v>
      </c>
      <c r="E241" s="3">
        <v>2460.75</v>
      </c>
      <c r="G241" s="3">
        <v>20240000</v>
      </c>
      <c r="H241" s="3">
        <f t="shared" si="9"/>
        <v>247709264000</v>
      </c>
      <c r="J241" s="3">
        <v>238782786</v>
      </c>
      <c r="K241" s="3">
        <f t="shared" si="10"/>
        <v>587584740649.5</v>
      </c>
      <c r="M241" s="4">
        <f t="shared" si="11"/>
        <v>0.57842801750401307</v>
      </c>
    </row>
    <row r="242" spans="1:13" x14ac:dyDescent="0.45">
      <c r="A242" s="2">
        <v>45590</v>
      </c>
      <c r="B242" s="3">
        <v>12238.6</v>
      </c>
      <c r="D242" s="2">
        <v>45590</v>
      </c>
      <c r="E242" s="3">
        <v>2450.15</v>
      </c>
      <c r="G242" s="3">
        <v>20240000</v>
      </c>
      <c r="H242" s="3">
        <f t="shared" si="9"/>
        <v>247709264000</v>
      </c>
      <c r="J242" s="3">
        <v>238782786</v>
      </c>
      <c r="K242" s="3">
        <f t="shared" si="10"/>
        <v>585053643117.90002</v>
      </c>
      <c r="M242" s="4">
        <f t="shared" si="11"/>
        <v>0.57660418507968914</v>
      </c>
    </row>
    <row r="243" spans="1:13" x14ac:dyDescent="0.45">
      <c r="A243" s="2">
        <v>45589</v>
      </c>
      <c r="B243" s="3">
        <v>12691.45</v>
      </c>
      <c r="D243" s="2">
        <v>45589</v>
      </c>
      <c r="E243" s="3">
        <v>2482.4</v>
      </c>
      <c r="G243" s="3">
        <v>20240000</v>
      </c>
      <c r="H243" s="3">
        <f t="shared" si="9"/>
        <v>256874948000</v>
      </c>
      <c r="J243" s="3">
        <v>238782786</v>
      </c>
      <c r="K243" s="3">
        <f t="shared" si="10"/>
        <v>592754387966.40002</v>
      </c>
      <c r="M243" s="4">
        <f t="shared" si="11"/>
        <v>0.56664184489417768</v>
      </c>
    </row>
    <row r="244" spans="1:13" x14ac:dyDescent="0.45">
      <c r="A244" s="2">
        <v>45588</v>
      </c>
      <c r="B244" s="3">
        <v>12951.3</v>
      </c>
      <c r="D244" s="2">
        <v>45588</v>
      </c>
      <c r="E244" s="3">
        <v>2565.15</v>
      </c>
      <c r="G244" s="3">
        <v>20240000</v>
      </c>
      <c r="H244" s="3">
        <f t="shared" si="9"/>
        <v>262134312000</v>
      </c>
      <c r="J244" s="3">
        <v>238782786</v>
      </c>
      <c r="K244" s="3">
        <f t="shared" si="10"/>
        <v>612513663507.90002</v>
      </c>
      <c r="M244" s="4">
        <f t="shared" si="11"/>
        <v>0.57203516000158738</v>
      </c>
    </row>
    <row r="245" spans="1:13" x14ac:dyDescent="0.45">
      <c r="A245" s="2">
        <v>45587</v>
      </c>
      <c r="B245" s="3">
        <v>13210</v>
      </c>
      <c r="D245" s="2">
        <v>45587</v>
      </c>
      <c r="E245" s="3">
        <v>2661.25</v>
      </c>
      <c r="G245" s="3">
        <v>20240000</v>
      </c>
      <c r="H245" s="3">
        <f t="shared" si="9"/>
        <v>267370400000</v>
      </c>
      <c r="J245" s="3">
        <v>238782786</v>
      </c>
      <c r="K245" s="3">
        <f t="shared" si="10"/>
        <v>635460689242.5</v>
      </c>
      <c r="M245" s="4">
        <f t="shared" si="11"/>
        <v>0.57924950429472122</v>
      </c>
    </row>
    <row r="246" spans="1:13" x14ac:dyDescent="0.45">
      <c r="A246" s="2">
        <v>45586</v>
      </c>
      <c r="B246" s="3">
        <v>14058.45</v>
      </c>
      <c r="D246" s="2">
        <v>45586</v>
      </c>
      <c r="E246" s="3">
        <v>2737.3</v>
      </c>
      <c r="G246" s="3">
        <v>20240000</v>
      </c>
      <c r="H246" s="3">
        <f t="shared" si="9"/>
        <v>284543028000</v>
      </c>
      <c r="J246" s="3">
        <v>238782786</v>
      </c>
      <c r="K246" s="3">
        <f t="shared" si="10"/>
        <v>653620120117.80005</v>
      </c>
      <c r="M246" s="4">
        <f t="shared" si="11"/>
        <v>0.56466605105620427</v>
      </c>
    </row>
    <row r="247" spans="1:13" x14ac:dyDescent="0.45">
      <c r="A247" s="2">
        <v>45583</v>
      </c>
      <c r="B247" s="3">
        <v>13486.8</v>
      </c>
      <c r="D247" s="2">
        <v>45583</v>
      </c>
      <c r="E247" s="3">
        <v>2714.95</v>
      </c>
      <c r="G247" s="3">
        <v>20240000</v>
      </c>
      <c r="H247" s="3">
        <f t="shared" si="9"/>
        <v>272972832000</v>
      </c>
      <c r="J247" s="3">
        <v>238782786</v>
      </c>
      <c r="K247" s="3">
        <f t="shared" si="10"/>
        <v>648283324850.69995</v>
      </c>
      <c r="M247" s="4">
        <f t="shared" si="11"/>
        <v>0.57892973405899983</v>
      </c>
    </row>
    <row r="248" spans="1:13" x14ac:dyDescent="0.45">
      <c r="A248" s="2">
        <v>45582</v>
      </c>
      <c r="B248" s="3">
        <v>13283.35</v>
      </c>
      <c r="D248" s="2">
        <v>45582</v>
      </c>
      <c r="E248" s="3">
        <v>2679.95</v>
      </c>
      <c r="G248" s="3">
        <v>20240000</v>
      </c>
      <c r="H248" s="3">
        <f t="shared" si="9"/>
        <v>268855004000</v>
      </c>
      <c r="J248" s="3">
        <v>238782786</v>
      </c>
      <c r="K248" s="3">
        <f t="shared" si="10"/>
        <v>639925927340.69995</v>
      </c>
      <c r="M248" s="4">
        <f t="shared" si="11"/>
        <v>0.57986543049245731</v>
      </c>
    </row>
    <row r="249" spans="1:13" x14ac:dyDescent="0.45">
      <c r="A249" s="2">
        <v>45581</v>
      </c>
      <c r="B249" s="3">
        <v>13458.85</v>
      </c>
      <c r="D249" s="2">
        <v>45581</v>
      </c>
      <c r="E249" s="3">
        <v>2767.65</v>
      </c>
      <c r="G249" s="3">
        <v>20240000</v>
      </c>
      <c r="H249" s="3">
        <f t="shared" si="9"/>
        <v>272407124000</v>
      </c>
      <c r="J249" s="3">
        <v>238782786</v>
      </c>
      <c r="K249" s="3">
        <f t="shared" si="10"/>
        <v>660867177672.90002</v>
      </c>
      <c r="M249" s="4">
        <f t="shared" si="11"/>
        <v>0.58780352058151464</v>
      </c>
    </row>
    <row r="250" spans="1:13" x14ac:dyDescent="0.45">
      <c r="A250" s="2">
        <v>45580</v>
      </c>
      <c r="B250" s="3">
        <v>13583.65</v>
      </c>
      <c r="D250" s="2">
        <v>45580</v>
      </c>
      <c r="E250" s="3">
        <v>2833.4</v>
      </c>
      <c r="G250" s="3">
        <v>20240000</v>
      </c>
      <c r="H250" s="3">
        <f t="shared" si="9"/>
        <v>274933076000</v>
      </c>
      <c r="J250" s="3">
        <v>238782786</v>
      </c>
      <c r="K250" s="3">
        <f t="shared" si="10"/>
        <v>676567145852.40002</v>
      </c>
      <c r="M250" s="4">
        <f t="shared" si="11"/>
        <v>0.59363519543412857</v>
      </c>
    </row>
    <row r="251" spans="1:13" x14ac:dyDescent="0.45">
      <c r="A251" s="2">
        <v>45579</v>
      </c>
      <c r="B251" s="3">
        <v>13399.45</v>
      </c>
      <c r="D251" s="2">
        <v>45579</v>
      </c>
      <c r="E251" s="3">
        <v>2829.4</v>
      </c>
      <c r="G251" s="3">
        <v>20240000</v>
      </c>
      <c r="H251" s="3">
        <f t="shared" si="9"/>
        <v>271204868000</v>
      </c>
      <c r="J251" s="3">
        <v>238782786</v>
      </c>
      <c r="K251" s="3">
        <f t="shared" si="10"/>
        <v>675612014708.40002</v>
      </c>
      <c r="M251" s="4">
        <f t="shared" si="11"/>
        <v>0.59857897418083317</v>
      </c>
    </row>
    <row r="252" spans="1:13" x14ac:dyDescent="0.45">
      <c r="A252" s="2">
        <v>45576</v>
      </c>
      <c r="B252" s="3">
        <v>13321.75</v>
      </c>
      <c r="D252" s="2">
        <v>45576</v>
      </c>
      <c r="E252" s="3">
        <v>2793.2</v>
      </c>
      <c r="G252" s="3">
        <v>20240000</v>
      </c>
      <c r="H252" s="3">
        <f t="shared" si="9"/>
        <v>269632220000</v>
      </c>
      <c r="J252" s="3">
        <v>238782786</v>
      </c>
      <c r="K252" s="3">
        <f t="shared" si="10"/>
        <v>666968077855.19995</v>
      </c>
      <c r="M252" s="4">
        <f t="shared" si="11"/>
        <v>0.59573444524201402</v>
      </c>
    </row>
    <row r="253" spans="1:13" x14ac:dyDescent="0.45">
      <c r="A253" s="2">
        <v>45575</v>
      </c>
      <c r="B253" s="3">
        <v>13345.45</v>
      </c>
      <c r="D253" s="2">
        <v>45575</v>
      </c>
      <c r="E253" s="3">
        <v>2791.45</v>
      </c>
      <c r="G253" s="3">
        <v>20240000</v>
      </c>
      <c r="H253" s="3">
        <f t="shared" si="9"/>
        <v>270111908000</v>
      </c>
      <c r="J253" s="3">
        <v>238782786</v>
      </c>
      <c r="K253" s="3">
        <f t="shared" si="10"/>
        <v>666550207979.69995</v>
      </c>
      <c r="M253" s="4">
        <f t="shared" si="11"/>
        <v>0.59476134765796007</v>
      </c>
    </row>
    <row r="254" spans="1:13" x14ac:dyDescent="0.45">
      <c r="A254" s="2">
        <v>45574</v>
      </c>
      <c r="B254" s="3">
        <v>12709.4</v>
      </c>
      <c r="D254" s="2">
        <v>45574</v>
      </c>
      <c r="E254" s="3">
        <v>2781.2</v>
      </c>
      <c r="G254" s="3">
        <v>20240000</v>
      </c>
      <c r="H254" s="3">
        <f t="shared" si="9"/>
        <v>257238256000</v>
      </c>
      <c r="J254" s="3">
        <v>238782786</v>
      </c>
      <c r="K254" s="3">
        <f t="shared" si="10"/>
        <v>664102684423.19995</v>
      </c>
      <c r="M254" s="4">
        <f t="shared" si="11"/>
        <v>0.6126528893292732</v>
      </c>
    </row>
    <row r="255" spans="1:13" x14ac:dyDescent="0.45">
      <c r="A255" s="2">
        <v>45573</v>
      </c>
      <c r="B255" s="3">
        <v>12995.1</v>
      </c>
      <c r="D255" s="2">
        <v>45573</v>
      </c>
      <c r="E255" s="3">
        <v>2741.8</v>
      </c>
      <c r="G255" s="3">
        <v>20240000</v>
      </c>
      <c r="H255" s="3">
        <f t="shared" si="9"/>
        <v>263020824000</v>
      </c>
      <c r="J255" s="3">
        <v>238782786</v>
      </c>
      <c r="K255" s="3">
        <f t="shared" si="10"/>
        <v>654694642654.80005</v>
      </c>
      <c r="M255" s="4">
        <f t="shared" si="11"/>
        <v>0.59825419842532201</v>
      </c>
    </row>
    <row r="256" spans="1:13" x14ac:dyDescent="0.45">
      <c r="A256" s="2">
        <v>45572</v>
      </c>
      <c r="B256" s="3">
        <v>12671.4</v>
      </c>
      <c r="D256" s="2">
        <v>45572</v>
      </c>
      <c r="E256" s="3">
        <v>2632.2</v>
      </c>
      <c r="G256" s="3">
        <v>20240000</v>
      </c>
      <c r="H256" s="3">
        <f t="shared" si="9"/>
        <v>256469136000</v>
      </c>
      <c r="J256" s="3">
        <v>238782786</v>
      </c>
      <c r="K256" s="3">
        <f t="shared" si="10"/>
        <v>628524049309.19995</v>
      </c>
      <c r="M256" s="4">
        <f t="shared" si="11"/>
        <v>0.59195016279507384</v>
      </c>
    </row>
    <row r="257" spans="1:13" x14ac:dyDescent="0.45">
      <c r="A257" s="2">
        <v>45569</v>
      </c>
      <c r="B257" s="3">
        <v>12978.85</v>
      </c>
      <c r="D257" s="2">
        <v>45569</v>
      </c>
      <c r="E257" s="3">
        <v>2687.35</v>
      </c>
      <c r="G257" s="3">
        <v>20240000</v>
      </c>
      <c r="H257" s="3">
        <f t="shared" si="9"/>
        <v>262691924000</v>
      </c>
      <c r="J257" s="3">
        <v>238782786</v>
      </c>
      <c r="K257" s="3">
        <f t="shared" si="10"/>
        <v>641692919957.09998</v>
      </c>
      <c r="M257" s="4">
        <f t="shared" si="11"/>
        <v>0.59062673775867414</v>
      </c>
    </row>
    <row r="258" spans="1:13" x14ac:dyDescent="0.45">
      <c r="A258" s="2">
        <v>45568</v>
      </c>
      <c r="B258" s="3">
        <v>13335.8</v>
      </c>
      <c r="D258" s="2">
        <v>45568</v>
      </c>
      <c r="E258" s="3">
        <v>2725.7</v>
      </c>
      <c r="G258" s="3">
        <v>20240000</v>
      </c>
      <c r="H258" s="3">
        <f t="shared" si="9"/>
        <v>269916592000</v>
      </c>
      <c r="J258" s="3">
        <v>238782786</v>
      </c>
      <c r="K258" s="3">
        <f t="shared" si="10"/>
        <v>650850239800.19995</v>
      </c>
      <c r="M258" s="4">
        <f t="shared" si="11"/>
        <v>0.58528617569095487</v>
      </c>
    </row>
    <row r="259" spans="1:13" x14ac:dyDescent="0.45">
      <c r="A259" s="2">
        <v>45566</v>
      </c>
      <c r="B259" s="3">
        <v>13799.05</v>
      </c>
      <c r="D259" s="2">
        <v>45566</v>
      </c>
      <c r="E259" s="3">
        <v>2836.7</v>
      </c>
      <c r="G259" s="3">
        <v>20240000</v>
      </c>
      <c r="H259" s="3">
        <f t="shared" si="9"/>
        <v>279292772000</v>
      </c>
      <c r="J259" s="3">
        <v>238782786</v>
      </c>
      <c r="K259" s="3">
        <f t="shared" si="10"/>
        <v>677355129046.19995</v>
      </c>
      <c r="M259" s="4">
        <f t="shared" si="11"/>
        <v>0.58767157725183417</v>
      </c>
    </row>
    <row r="260" spans="1:13" x14ac:dyDescent="0.45">
      <c r="A260" s="2">
        <v>45565</v>
      </c>
      <c r="B260" s="3">
        <v>14299.65</v>
      </c>
      <c r="D260" s="2">
        <v>45565</v>
      </c>
      <c r="E260" s="3">
        <v>2841.3</v>
      </c>
      <c r="G260" s="3">
        <v>20240000</v>
      </c>
      <c r="H260" s="3">
        <f t="shared" ref="H260:H323" si="12">+G260*B260</f>
        <v>289424916000</v>
      </c>
      <c r="J260" s="3">
        <v>238782786</v>
      </c>
      <c r="K260" s="3">
        <f t="shared" ref="K260:K323" si="13">+J260*E260</f>
        <v>678453529861.80005</v>
      </c>
      <c r="M260" s="4">
        <f t="shared" ref="M260:M323" si="14">1- (H260/K260)</f>
        <v>0.57340495220217158</v>
      </c>
    </row>
    <row r="261" spans="1:13" x14ac:dyDescent="0.45">
      <c r="A261" s="2">
        <v>45562</v>
      </c>
      <c r="B261" s="3">
        <v>14015.5</v>
      </c>
      <c r="D261" s="2">
        <v>45562</v>
      </c>
      <c r="E261" s="3">
        <v>2945.9</v>
      </c>
      <c r="G261" s="3">
        <v>20240000</v>
      </c>
      <c r="H261" s="3">
        <f t="shared" si="12"/>
        <v>283673720000</v>
      </c>
      <c r="J261" s="3">
        <v>238782786</v>
      </c>
      <c r="K261" s="3">
        <f t="shared" si="13"/>
        <v>703430209277.40002</v>
      </c>
      <c r="M261" s="4">
        <f t="shared" si="14"/>
        <v>0.59672798202482036</v>
      </c>
    </row>
    <row r="262" spans="1:13" x14ac:dyDescent="0.45">
      <c r="A262" s="2">
        <v>45561</v>
      </c>
      <c r="B262" s="3">
        <v>14368.05</v>
      </c>
      <c r="D262" s="2">
        <v>45561</v>
      </c>
      <c r="E262" s="3">
        <v>2888.5</v>
      </c>
      <c r="G262" s="3">
        <v>20240000</v>
      </c>
      <c r="H262" s="3">
        <f t="shared" si="12"/>
        <v>290809332000</v>
      </c>
      <c r="J262" s="3">
        <v>238782786</v>
      </c>
      <c r="K262" s="3">
        <f t="shared" si="13"/>
        <v>689724077361</v>
      </c>
      <c r="M262" s="4">
        <f t="shared" si="14"/>
        <v>0.57836859471009727</v>
      </c>
    </row>
    <row r="263" spans="1:13" x14ac:dyDescent="0.45">
      <c r="A263" s="2">
        <v>45560</v>
      </c>
      <c r="B263" s="3">
        <v>14752.7</v>
      </c>
      <c r="D263" s="2">
        <v>45560</v>
      </c>
      <c r="E263" s="3">
        <v>2871</v>
      </c>
      <c r="G263" s="3">
        <v>20240000</v>
      </c>
      <c r="H263" s="3">
        <f t="shared" si="12"/>
        <v>298594648000</v>
      </c>
      <c r="J263" s="3">
        <v>238782786</v>
      </c>
      <c r="K263" s="3">
        <f t="shared" si="13"/>
        <v>685545378606</v>
      </c>
      <c r="M263" s="4">
        <f t="shared" si="14"/>
        <v>0.56444218381696687</v>
      </c>
    </row>
    <row r="264" spans="1:13" x14ac:dyDescent="0.45">
      <c r="A264" s="2">
        <v>45559</v>
      </c>
      <c r="B264" s="3">
        <v>14683.5</v>
      </c>
      <c r="D264" s="2">
        <v>45559</v>
      </c>
      <c r="E264" s="3">
        <v>2869.2</v>
      </c>
      <c r="G264" s="3">
        <v>20240000</v>
      </c>
      <c r="H264" s="3">
        <f t="shared" si="12"/>
        <v>297194040000</v>
      </c>
      <c r="J264" s="3">
        <v>238782786</v>
      </c>
      <c r="K264" s="3">
        <f t="shared" si="13"/>
        <v>685115569591.19995</v>
      </c>
      <c r="M264" s="4">
        <f t="shared" si="14"/>
        <v>0.56621327380235709</v>
      </c>
    </row>
    <row r="265" spans="1:13" x14ac:dyDescent="0.45">
      <c r="A265" s="2">
        <v>45558</v>
      </c>
      <c r="B265" s="3">
        <v>14005.65</v>
      </c>
      <c r="D265" s="2">
        <v>45558</v>
      </c>
      <c r="E265" s="3">
        <v>2845.1</v>
      </c>
      <c r="G265" s="3">
        <v>20240000</v>
      </c>
      <c r="H265" s="3">
        <f t="shared" si="12"/>
        <v>283474356000</v>
      </c>
      <c r="J265" s="3">
        <v>238782786</v>
      </c>
      <c r="K265" s="3">
        <f t="shared" si="13"/>
        <v>679360904448.59998</v>
      </c>
      <c r="M265" s="4">
        <f t="shared" si="14"/>
        <v>0.5827337809053339</v>
      </c>
    </row>
    <row r="266" spans="1:13" x14ac:dyDescent="0.45">
      <c r="A266" s="2">
        <v>45555</v>
      </c>
      <c r="B266" s="3">
        <v>13970.55</v>
      </c>
      <c r="D266" s="2">
        <v>45555</v>
      </c>
      <c r="E266" s="3">
        <v>2817.7</v>
      </c>
      <c r="G266" s="3">
        <v>20240000</v>
      </c>
      <c r="H266" s="3">
        <f t="shared" si="12"/>
        <v>282763932000</v>
      </c>
      <c r="J266" s="3">
        <v>238782786</v>
      </c>
      <c r="K266" s="3">
        <f t="shared" si="13"/>
        <v>672818256112.19995</v>
      </c>
      <c r="M266" s="4">
        <f t="shared" si="14"/>
        <v>0.57973207559212547</v>
      </c>
    </row>
    <row r="267" spans="1:13" x14ac:dyDescent="0.45">
      <c r="A267" s="2">
        <v>45554</v>
      </c>
      <c r="B267" s="3">
        <v>14041.25</v>
      </c>
      <c r="D267" s="2">
        <v>45554</v>
      </c>
      <c r="E267" s="3">
        <v>2770</v>
      </c>
      <c r="G267" s="3">
        <v>20240000</v>
      </c>
      <c r="H267" s="3">
        <f t="shared" si="12"/>
        <v>284194900000</v>
      </c>
      <c r="J267" s="3">
        <v>238782786</v>
      </c>
      <c r="K267" s="3">
        <f t="shared" si="13"/>
        <v>661428317220</v>
      </c>
      <c r="M267" s="4">
        <f t="shared" si="14"/>
        <v>0.5703315195296168</v>
      </c>
    </row>
    <row r="268" spans="1:13" x14ac:dyDescent="0.45">
      <c r="A268" s="2">
        <v>45553</v>
      </c>
      <c r="B268" s="3">
        <v>13955.55</v>
      </c>
      <c r="D268" s="2">
        <v>45553</v>
      </c>
      <c r="E268" s="3">
        <v>2784.4</v>
      </c>
      <c r="G268" s="3">
        <v>20240000</v>
      </c>
      <c r="H268" s="3">
        <f t="shared" si="12"/>
        <v>282460332000</v>
      </c>
      <c r="J268" s="3">
        <v>238782786</v>
      </c>
      <c r="K268" s="3">
        <f t="shared" si="13"/>
        <v>664866789338.40002</v>
      </c>
      <c r="M268" s="4">
        <f t="shared" si="14"/>
        <v>0.57516251897455661</v>
      </c>
    </row>
    <row r="269" spans="1:13" x14ac:dyDescent="0.45">
      <c r="A269" s="2">
        <v>45552</v>
      </c>
      <c r="B269" s="3">
        <v>14279.65</v>
      </c>
      <c r="D269" s="2">
        <v>45552</v>
      </c>
      <c r="E269" s="3">
        <v>2818.85</v>
      </c>
      <c r="G269" s="3">
        <v>20240000</v>
      </c>
      <c r="H269" s="3">
        <f t="shared" si="12"/>
        <v>289020116000</v>
      </c>
      <c r="J269" s="3">
        <v>238782786</v>
      </c>
      <c r="K269" s="3">
        <f t="shared" si="13"/>
        <v>673092856316.09998</v>
      </c>
      <c r="M269" s="4">
        <f t="shared" si="14"/>
        <v>0.57060884945082602</v>
      </c>
    </row>
    <row r="270" spans="1:13" x14ac:dyDescent="0.45">
      <c r="A270" s="2">
        <v>45551</v>
      </c>
      <c r="B270" s="3">
        <v>14214.35</v>
      </c>
      <c r="D270" s="2">
        <v>45551</v>
      </c>
      <c r="E270" s="3">
        <v>2841.3</v>
      </c>
      <c r="G270" s="3">
        <v>20240000</v>
      </c>
      <c r="H270" s="3">
        <f t="shared" si="12"/>
        <v>287698444000</v>
      </c>
      <c r="J270" s="3">
        <v>238782786</v>
      </c>
      <c r="K270" s="3">
        <f t="shared" si="13"/>
        <v>678453529861.80005</v>
      </c>
      <c r="M270" s="4">
        <f t="shared" si="14"/>
        <v>0.57594966886147125</v>
      </c>
    </row>
    <row r="271" spans="1:13" x14ac:dyDescent="0.45">
      <c r="A271" s="2">
        <v>45548</v>
      </c>
      <c r="B271" s="3">
        <v>14254.8</v>
      </c>
      <c r="D271" s="2">
        <v>45548</v>
      </c>
      <c r="E271" s="3">
        <v>2828.4</v>
      </c>
      <c r="G271" s="3">
        <v>20240000</v>
      </c>
      <c r="H271" s="3">
        <f t="shared" si="12"/>
        <v>288517152000</v>
      </c>
      <c r="J271" s="3">
        <v>238782786</v>
      </c>
      <c r="K271" s="3">
        <f t="shared" si="13"/>
        <v>675373231922.40002</v>
      </c>
      <c r="M271" s="4">
        <f t="shared" si="14"/>
        <v>0.57280339468184538</v>
      </c>
    </row>
    <row r="272" spans="1:13" x14ac:dyDescent="0.45">
      <c r="A272" s="2">
        <v>45547</v>
      </c>
      <c r="B272" s="3">
        <v>14413</v>
      </c>
      <c r="D272" s="2">
        <v>45547</v>
      </c>
      <c r="E272" s="3">
        <v>2821.6</v>
      </c>
      <c r="G272" s="3">
        <v>20240000</v>
      </c>
      <c r="H272" s="3">
        <f t="shared" si="12"/>
        <v>291719120000</v>
      </c>
      <c r="J272" s="3">
        <v>238782786</v>
      </c>
      <c r="K272" s="3">
        <f t="shared" si="13"/>
        <v>673749508977.59998</v>
      </c>
      <c r="M272" s="4">
        <f t="shared" si="14"/>
        <v>0.56702139873515112</v>
      </c>
    </row>
    <row r="273" spans="1:13" x14ac:dyDescent="0.45">
      <c r="A273" s="2">
        <v>45546</v>
      </c>
      <c r="B273" s="3">
        <v>14406.7</v>
      </c>
      <c r="D273" s="2">
        <v>45546</v>
      </c>
      <c r="E273" s="3">
        <v>2758.65</v>
      </c>
      <c r="G273" s="3">
        <v>20240000</v>
      </c>
      <c r="H273" s="3">
        <f t="shared" si="12"/>
        <v>291591608000</v>
      </c>
      <c r="J273" s="3">
        <v>238782786</v>
      </c>
      <c r="K273" s="3">
        <f t="shared" si="13"/>
        <v>658718132598.90002</v>
      </c>
      <c r="M273" s="4">
        <f t="shared" si="14"/>
        <v>0.5573347786107582</v>
      </c>
    </row>
    <row r="274" spans="1:13" x14ac:dyDescent="0.45">
      <c r="A274" s="2">
        <v>45545</v>
      </c>
      <c r="B274" s="3">
        <v>14336.05</v>
      </c>
      <c r="D274" s="2">
        <v>45545</v>
      </c>
      <c r="E274" s="3">
        <v>2756.25</v>
      </c>
      <c r="G274" s="3">
        <v>20240000</v>
      </c>
      <c r="H274" s="3">
        <f t="shared" si="12"/>
        <v>290161652000</v>
      </c>
      <c r="J274" s="3">
        <v>238782786</v>
      </c>
      <c r="K274" s="3">
        <f t="shared" si="13"/>
        <v>658145053912.5</v>
      </c>
      <c r="M274" s="4">
        <f t="shared" si="14"/>
        <v>0.55912203506648728</v>
      </c>
    </row>
    <row r="275" spans="1:13" x14ac:dyDescent="0.45">
      <c r="A275" s="2">
        <v>45544</v>
      </c>
      <c r="B275" s="3">
        <v>14015.1</v>
      </c>
      <c r="D275" s="2">
        <v>45544</v>
      </c>
      <c r="E275" s="3">
        <v>2763.85</v>
      </c>
      <c r="G275" s="3">
        <v>20240000</v>
      </c>
      <c r="H275" s="3">
        <f t="shared" si="12"/>
        <v>283665624000</v>
      </c>
      <c r="J275" s="3">
        <v>238782786</v>
      </c>
      <c r="K275" s="3">
        <f t="shared" si="13"/>
        <v>659959803086.09998</v>
      </c>
      <c r="M275" s="4">
        <f t="shared" si="14"/>
        <v>0.57017742190732745</v>
      </c>
    </row>
    <row r="276" spans="1:13" x14ac:dyDescent="0.45">
      <c r="A276" s="2">
        <v>45541</v>
      </c>
      <c r="B276" s="3">
        <v>14168.05</v>
      </c>
      <c r="D276" s="2">
        <v>45541</v>
      </c>
      <c r="E276" s="3">
        <v>2751.1</v>
      </c>
      <c r="G276" s="3">
        <v>20240000</v>
      </c>
      <c r="H276" s="3">
        <f t="shared" si="12"/>
        <v>286761332000</v>
      </c>
      <c r="J276" s="3">
        <v>238782786</v>
      </c>
      <c r="K276" s="3">
        <f t="shared" si="13"/>
        <v>656915322564.59998</v>
      </c>
      <c r="M276" s="4">
        <f t="shared" si="14"/>
        <v>0.56347291325085447</v>
      </c>
    </row>
    <row r="277" spans="1:13" x14ac:dyDescent="0.45">
      <c r="A277" s="2">
        <v>45540</v>
      </c>
      <c r="B277" s="3">
        <v>14158.1</v>
      </c>
      <c r="D277" s="2">
        <v>45540</v>
      </c>
      <c r="E277" s="3">
        <v>2759.75</v>
      </c>
      <c r="G277" s="3">
        <v>20240000</v>
      </c>
      <c r="H277" s="3">
        <f t="shared" si="12"/>
        <v>286559944000</v>
      </c>
      <c r="J277" s="3">
        <v>238782786</v>
      </c>
      <c r="K277" s="3">
        <f t="shared" si="13"/>
        <v>658980793663.5</v>
      </c>
      <c r="M277" s="4">
        <f t="shared" si="14"/>
        <v>0.56514674364496253</v>
      </c>
    </row>
    <row r="278" spans="1:13" x14ac:dyDescent="0.45">
      <c r="A278" s="2">
        <v>45539</v>
      </c>
      <c r="B278" s="3">
        <v>14002.25</v>
      </c>
      <c r="D278" s="2">
        <v>45539</v>
      </c>
      <c r="E278" s="3">
        <v>2777</v>
      </c>
      <c r="G278" s="3">
        <v>20240000</v>
      </c>
      <c r="H278" s="3">
        <f t="shared" si="12"/>
        <v>283405540000</v>
      </c>
      <c r="J278" s="3">
        <v>238782786</v>
      </c>
      <c r="K278" s="3">
        <f t="shared" si="13"/>
        <v>663099796722</v>
      </c>
      <c r="M278" s="4">
        <f t="shared" si="14"/>
        <v>0.57260499641079543</v>
      </c>
    </row>
    <row r="279" spans="1:13" x14ac:dyDescent="0.45">
      <c r="A279" s="2">
        <v>45538</v>
      </c>
      <c r="B279" s="3">
        <v>13923</v>
      </c>
      <c r="D279" s="2">
        <v>45538</v>
      </c>
      <c r="E279" s="3">
        <v>2781.85</v>
      </c>
      <c r="G279" s="3">
        <v>20240000</v>
      </c>
      <c r="H279" s="3">
        <f t="shared" si="12"/>
        <v>281801520000</v>
      </c>
      <c r="J279" s="3">
        <v>238782786</v>
      </c>
      <c r="K279" s="3">
        <f t="shared" si="13"/>
        <v>664257893234.09998</v>
      </c>
      <c r="M279" s="4">
        <f t="shared" si="14"/>
        <v>0.57576489060900538</v>
      </c>
    </row>
    <row r="280" spans="1:13" x14ac:dyDescent="0.45">
      <c r="A280" s="2">
        <v>45537</v>
      </c>
      <c r="B280" s="3">
        <v>13693.2</v>
      </c>
      <c r="D280" s="2">
        <v>45537</v>
      </c>
      <c r="E280" s="3">
        <v>2790.65</v>
      </c>
      <c r="G280" s="3">
        <v>20240000</v>
      </c>
      <c r="H280" s="3">
        <f t="shared" si="12"/>
        <v>277150368000</v>
      </c>
      <c r="J280" s="3">
        <v>238782786</v>
      </c>
      <c r="K280" s="3">
        <f t="shared" si="13"/>
        <v>666359181750.90002</v>
      </c>
      <c r="M280" s="4">
        <f t="shared" si="14"/>
        <v>0.58408261551709961</v>
      </c>
    </row>
    <row r="281" spans="1:13" x14ac:dyDescent="0.45">
      <c r="A281" s="2">
        <v>45534</v>
      </c>
      <c r="B281" s="3">
        <v>13924.4</v>
      </c>
      <c r="D281" s="2">
        <v>45534</v>
      </c>
      <c r="E281" s="3">
        <v>2812.2</v>
      </c>
      <c r="G281" s="3">
        <v>20240000</v>
      </c>
      <c r="H281" s="3">
        <f t="shared" si="12"/>
        <v>281829856000</v>
      </c>
      <c r="J281" s="3">
        <v>238782786</v>
      </c>
      <c r="K281" s="3">
        <f t="shared" si="13"/>
        <v>671504950789.19995</v>
      </c>
      <c r="M281" s="4">
        <f t="shared" si="14"/>
        <v>0.58030114942745592</v>
      </c>
    </row>
    <row r="282" spans="1:13" x14ac:dyDescent="0.45">
      <c r="A282" s="2">
        <v>45533</v>
      </c>
      <c r="B282" s="3">
        <v>14306.35</v>
      </c>
      <c r="D282" s="2">
        <v>45533</v>
      </c>
      <c r="E282" s="3">
        <v>2754.25</v>
      </c>
      <c r="G282" s="3">
        <v>20240000</v>
      </c>
      <c r="H282" s="3">
        <f t="shared" si="12"/>
        <v>289560524000</v>
      </c>
      <c r="J282" s="3">
        <v>238782786</v>
      </c>
      <c r="K282" s="3">
        <f t="shared" si="13"/>
        <v>657667488340.5</v>
      </c>
      <c r="M282" s="4">
        <f t="shared" si="14"/>
        <v>0.55971592159641126</v>
      </c>
    </row>
    <row r="283" spans="1:13" x14ac:dyDescent="0.45">
      <c r="A283" s="2">
        <v>45532</v>
      </c>
      <c r="B283" s="3">
        <v>14484.85</v>
      </c>
      <c r="D283" s="2">
        <v>45532</v>
      </c>
      <c r="E283" s="3">
        <v>2739.15</v>
      </c>
      <c r="G283" s="3">
        <v>20240000</v>
      </c>
      <c r="H283" s="3">
        <f t="shared" si="12"/>
        <v>293173364000</v>
      </c>
      <c r="J283" s="3">
        <v>238782786</v>
      </c>
      <c r="K283" s="3">
        <f t="shared" si="13"/>
        <v>654061868271.90002</v>
      </c>
      <c r="M283" s="4">
        <f t="shared" si="14"/>
        <v>0.55176508795017398</v>
      </c>
    </row>
    <row r="284" spans="1:13" x14ac:dyDescent="0.45">
      <c r="A284" s="2">
        <v>45531</v>
      </c>
      <c r="B284" s="3">
        <v>14326.15</v>
      </c>
      <c r="D284" s="2">
        <v>45531</v>
      </c>
      <c r="E284" s="3">
        <v>2740.7</v>
      </c>
      <c r="G284" s="3">
        <v>20240000</v>
      </c>
      <c r="H284" s="3">
        <f t="shared" si="12"/>
        <v>289961276000</v>
      </c>
      <c r="J284" s="3">
        <v>238782786</v>
      </c>
      <c r="K284" s="3">
        <f t="shared" si="13"/>
        <v>654431981590.19995</v>
      </c>
      <c r="M284" s="4">
        <f t="shared" si="14"/>
        <v>0.55692679429354142</v>
      </c>
    </row>
    <row r="285" spans="1:13" x14ac:dyDescent="0.45">
      <c r="A285" s="2">
        <v>45530</v>
      </c>
      <c r="B285" s="3">
        <v>13961.55</v>
      </c>
      <c r="D285" s="2">
        <v>45530</v>
      </c>
      <c r="E285" s="3">
        <v>2776.25</v>
      </c>
      <c r="G285" s="3">
        <v>20240000</v>
      </c>
      <c r="H285" s="3">
        <f t="shared" si="12"/>
        <v>282581772000</v>
      </c>
      <c r="J285" s="3">
        <v>238782786</v>
      </c>
      <c r="K285" s="3">
        <f t="shared" si="13"/>
        <v>662920709632.5</v>
      </c>
      <c r="M285" s="4">
        <f t="shared" si="14"/>
        <v>0.57373217053868564</v>
      </c>
    </row>
    <row r="286" spans="1:13" x14ac:dyDescent="0.45">
      <c r="A286" s="2">
        <v>45527</v>
      </c>
      <c r="B286" s="3">
        <v>13466.15</v>
      </c>
      <c r="D286" s="2">
        <v>45527</v>
      </c>
      <c r="E286" s="3">
        <v>2766.75</v>
      </c>
      <c r="G286" s="3">
        <v>20240000</v>
      </c>
      <c r="H286" s="3">
        <f t="shared" si="12"/>
        <v>272554876000</v>
      </c>
      <c r="J286" s="3">
        <v>238782786</v>
      </c>
      <c r="K286" s="3">
        <f t="shared" si="13"/>
        <v>660652273165.5</v>
      </c>
      <c r="M286" s="4">
        <f t="shared" si="14"/>
        <v>0.5874457909694919</v>
      </c>
    </row>
    <row r="287" spans="1:13" x14ac:dyDescent="0.45">
      <c r="A287" s="2">
        <v>45526</v>
      </c>
      <c r="B287" s="3">
        <v>13276.95</v>
      </c>
      <c r="D287" s="2">
        <v>45526</v>
      </c>
      <c r="E287" s="3">
        <v>2705.95</v>
      </c>
      <c r="G287" s="3">
        <v>20240000</v>
      </c>
      <c r="H287" s="3">
        <f t="shared" si="12"/>
        <v>268725468000</v>
      </c>
      <c r="J287" s="3">
        <v>238782786</v>
      </c>
      <c r="K287" s="3">
        <f t="shared" si="13"/>
        <v>646134279776.69995</v>
      </c>
      <c r="M287" s="4">
        <f t="shared" si="14"/>
        <v>0.5841027532344053</v>
      </c>
    </row>
    <row r="288" spans="1:13" x14ac:dyDescent="0.45">
      <c r="A288" s="2">
        <v>45525</v>
      </c>
      <c r="B288" s="3">
        <v>13333.15</v>
      </c>
      <c r="D288" s="2">
        <v>45525</v>
      </c>
      <c r="E288" s="3">
        <v>2630.25</v>
      </c>
      <c r="G288" s="3">
        <v>20240000</v>
      </c>
      <c r="H288" s="3">
        <f t="shared" si="12"/>
        <v>269862956000</v>
      </c>
      <c r="J288" s="3">
        <v>238782786</v>
      </c>
      <c r="K288" s="3">
        <f t="shared" si="13"/>
        <v>628058422876.5</v>
      </c>
      <c r="M288" s="4">
        <f t="shared" si="14"/>
        <v>0.57032189017698243</v>
      </c>
    </row>
    <row r="289" spans="1:13" x14ac:dyDescent="0.45">
      <c r="A289" s="2">
        <v>45524</v>
      </c>
      <c r="B289" s="3">
        <v>13464.15</v>
      </c>
      <c r="D289" s="2">
        <v>45524</v>
      </c>
      <c r="E289" s="3">
        <v>2636.35</v>
      </c>
      <c r="G289" s="3">
        <v>20240000</v>
      </c>
      <c r="H289" s="3">
        <f t="shared" si="12"/>
        <v>272514396000</v>
      </c>
      <c r="J289" s="3">
        <v>238782786</v>
      </c>
      <c r="K289" s="3">
        <f t="shared" si="13"/>
        <v>629514997871.09998</v>
      </c>
      <c r="M289" s="4">
        <f t="shared" si="14"/>
        <v>0.56710420415463991</v>
      </c>
    </row>
    <row r="290" spans="1:13" x14ac:dyDescent="0.45">
      <c r="A290" s="2">
        <v>45523</v>
      </c>
      <c r="B290" s="3">
        <v>13356.6</v>
      </c>
      <c r="D290" s="2">
        <v>45523</v>
      </c>
      <c r="E290" s="3">
        <v>2607.9</v>
      </c>
      <c r="G290" s="3">
        <v>20240000</v>
      </c>
      <c r="H290" s="3">
        <f t="shared" si="12"/>
        <v>270337584000</v>
      </c>
      <c r="J290" s="3">
        <v>238782786</v>
      </c>
      <c r="K290" s="3">
        <f t="shared" si="13"/>
        <v>622721627609.40002</v>
      </c>
      <c r="M290" s="4">
        <f t="shared" si="14"/>
        <v>0.56587731658234885</v>
      </c>
    </row>
    <row r="291" spans="1:13" x14ac:dyDescent="0.45">
      <c r="A291" s="2">
        <v>45520</v>
      </c>
      <c r="B291" s="3">
        <v>13486.35</v>
      </c>
      <c r="D291" s="2">
        <v>45520</v>
      </c>
      <c r="E291" s="3">
        <v>2600.8000000000002</v>
      </c>
      <c r="G291" s="3">
        <v>20240000</v>
      </c>
      <c r="H291" s="3">
        <f t="shared" si="12"/>
        <v>272963724000</v>
      </c>
      <c r="J291" s="3">
        <v>238782786</v>
      </c>
      <c r="K291" s="3">
        <f t="shared" si="13"/>
        <v>621026269828.80005</v>
      </c>
      <c r="M291" s="4">
        <f t="shared" si="14"/>
        <v>0.56046348236565158</v>
      </c>
    </row>
    <row r="292" spans="1:13" x14ac:dyDescent="0.45">
      <c r="A292" s="2">
        <v>45518</v>
      </c>
      <c r="B292" s="3">
        <v>13407.85</v>
      </c>
      <c r="D292" s="2">
        <v>45518</v>
      </c>
      <c r="E292" s="3">
        <v>2604.6</v>
      </c>
      <c r="G292" s="3">
        <v>20240000</v>
      </c>
      <c r="H292" s="3">
        <f t="shared" si="12"/>
        <v>271374884000</v>
      </c>
      <c r="J292" s="3">
        <v>238782786</v>
      </c>
      <c r="K292" s="3">
        <f t="shared" si="13"/>
        <v>621933644415.59998</v>
      </c>
      <c r="M292" s="4">
        <f t="shared" si="14"/>
        <v>0.56365942502596489</v>
      </c>
    </row>
    <row r="293" spans="1:13" x14ac:dyDescent="0.45">
      <c r="A293" s="2">
        <v>45517</v>
      </c>
      <c r="B293" s="3">
        <v>13297.5</v>
      </c>
      <c r="D293" s="2">
        <v>45517</v>
      </c>
      <c r="E293" s="3">
        <v>2634.2</v>
      </c>
      <c r="G293" s="3">
        <v>20240000</v>
      </c>
      <c r="H293" s="3">
        <f t="shared" si="12"/>
        <v>269141400000</v>
      </c>
      <c r="J293" s="3">
        <v>238782786</v>
      </c>
      <c r="K293" s="3">
        <f t="shared" si="13"/>
        <v>629001614881.19995</v>
      </c>
      <c r="M293" s="4">
        <f t="shared" si="14"/>
        <v>0.57211334020051297</v>
      </c>
    </row>
    <row r="294" spans="1:13" x14ac:dyDescent="0.45">
      <c r="A294" s="2">
        <v>45516</v>
      </c>
      <c r="B294" s="3">
        <v>13820.45</v>
      </c>
      <c r="D294" s="2">
        <v>45516</v>
      </c>
      <c r="E294" s="3">
        <v>2576.1999999999998</v>
      </c>
      <c r="G294" s="3">
        <v>20240000</v>
      </c>
      <c r="H294" s="3">
        <f t="shared" si="12"/>
        <v>279725908000</v>
      </c>
      <c r="J294" s="3">
        <v>238782786</v>
      </c>
      <c r="K294" s="3">
        <f t="shared" si="13"/>
        <v>615152213293.19995</v>
      </c>
      <c r="M294" s="4">
        <f t="shared" si="14"/>
        <v>0.54527367055627529</v>
      </c>
    </row>
    <row r="295" spans="1:13" x14ac:dyDescent="0.45">
      <c r="A295" s="2">
        <v>45513</v>
      </c>
      <c r="B295" s="3">
        <v>13981.35</v>
      </c>
      <c r="D295" s="2">
        <v>45513</v>
      </c>
      <c r="E295" s="3">
        <v>2581.1</v>
      </c>
      <c r="G295" s="3">
        <v>20240000</v>
      </c>
      <c r="H295" s="3">
        <f t="shared" si="12"/>
        <v>282982524000</v>
      </c>
      <c r="J295" s="3">
        <v>238782786</v>
      </c>
      <c r="K295" s="3">
        <f t="shared" si="13"/>
        <v>616322248944.59998</v>
      </c>
      <c r="M295" s="4">
        <f t="shared" si="14"/>
        <v>0.54085297993933568</v>
      </c>
    </row>
    <row r="296" spans="1:13" x14ac:dyDescent="0.45">
      <c r="A296" s="2">
        <v>45512</v>
      </c>
      <c r="B296" s="3">
        <v>13423.75</v>
      </c>
      <c r="D296" s="2">
        <v>45512</v>
      </c>
      <c r="E296" s="3">
        <v>2527.8000000000002</v>
      </c>
      <c r="G296" s="3">
        <v>20240000</v>
      </c>
      <c r="H296" s="3">
        <f t="shared" si="12"/>
        <v>271696700000</v>
      </c>
      <c r="J296" s="3">
        <v>238782786</v>
      </c>
      <c r="K296" s="3">
        <f t="shared" si="13"/>
        <v>603595126450.80005</v>
      </c>
      <c r="M296" s="4">
        <f t="shared" si="14"/>
        <v>0.54986929467505163</v>
      </c>
    </row>
    <row r="297" spans="1:13" x14ac:dyDescent="0.45">
      <c r="A297" s="2">
        <v>45511</v>
      </c>
      <c r="B297" s="3">
        <v>13275</v>
      </c>
      <c r="D297" s="2">
        <v>45511</v>
      </c>
      <c r="E297" s="3">
        <v>2574</v>
      </c>
      <c r="G297" s="3">
        <v>20240000</v>
      </c>
      <c r="H297" s="3">
        <f t="shared" si="12"/>
        <v>268686000000</v>
      </c>
      <c r="J297" s="3">
        <v>238782786</v>
      </c>
      <c r="K297" s="3">
        <f t="shared" si="13"/>
        <v>614626891164</v>
      </c>
      <c r="M297" s="4">
        <f t="shared" si="14"/>
        <v>0.56284698267732169</v>
      </c>
    </row>
    <row r="298" spans="1:13" x14ac:dyDescent="0.45">
      <c r="A298" s="2">
        <v>45510</v>
      </c>
      <c r="B298" s="3">
        <v>12899.4</v>
      </c>
      <c r="D298" s="2">
        <v>45510</v>
      </c>
      <c r="E298" s="3">
        <v>2494.9499999999998</v>
      </c>
      <c r="G298" s="3">
        <v>20240000</v>
      </c>
      <c r="H298" s="3">
        <f t="shared" si="12"/>
        <v>261083856000</v>
      </c>
      <c r="J298" s="3">
        <v>238782786</v>
      </c>
      <c r="K298" s="3">
        <f t="shared" si="13"/>
        <v>595751111930.69995</v>
      </c>
      <c r="M298" s="4">
        <f t="shared" si="14"/>
        <v>0.5617568297037937</v>
      </c>
    </row>
    <row r="299" spans="1:13" x14ac:dyDescent="0.45">
      <c r="A299" s="2">
        <v>45509</v>
      </c>
      <c r="B299" s="3">
        <v>13202.4</v>
      </c>
      <c r="D299" s="2">
        <v>45509</v>
      </c>
      <c r="E299" s="3">
        <v>2493.1999999999998</v>
      </c>
      <c r="G299" s="3">
        <v>20240000</v>
      </c>
      <c r="H299" s="3">
        <f t="shared" si="12"/>
        <v>267216576000</v>
      </c>
      <c r="J299" s="3">
        <v>238782786</v>
      </c>
      <c r="K299" s="3">
        <f t="shared" si="13"/>
        <v>595333242055.19995</v>
      </c>
      <c r="M299" s="4">
        <f t="shared" si="14"/>
        <v>0.55114789982578638</v>
      </c>
    </row>
    <row r="300" spans="1:13" x14ac:dyDescent="0.45">
      <c r="A300" s="2">
        <v>45506</v>
      </c>
      <c r="B300" s="3">
        <v>13543.9</v>
      </c>
      <c r="D300" s="2">
        <v>45506</v>
      </c>
      <c r="E300" s="3">
        <v>2566.0500000000002</v>
      </c>
      <c r="G300" s="3">
        <v>20240000</v>
      </c>
      <c r="H300" s="3">
        <f t="shared" si="12"/>
        <v>274128536000</v>
      </c>
      <c r="J300" s="3">
        <v>238782786</v>
      </c>
      <c r="K300" s="3">
        <f t="shared" si="13"/>
        <v>612728568015.30005</v>
      </c>
      <c r="M300" s="4">
        <f t="shared" si="14"/>
        <v>0.55261016001272045</v>
      </c>
    </row>
    <row r="301" spans="1:13" x14ac:dyDescent="0.45">
      <c r="A301" s="2">
        <v>45505</v>
      </c>
      <c r="B301" s="3">
        <v>13566.1</v>
      </c>
      <c r="D301" s="2">
        <v>45505</v>
      </c>
      <c r="E301" s="3">
        <v>2584.9</v>
      </c>
      <c r="G301" s="3">
        <v>20240000</v>
      </c>
      <c r="H301" s="3">
        <f t="shared" si="12"/>
        <v>274577864000</v>
      </c>
      <c r="J301" s="3">
        <v>238782786</v>
      </c>
      <c r="K301" s="3">
        <f t="shared" si="13"/>
        <v>617229623531.40002</v>
      </c>
      <c r="M301" s="4">
        <f t="shared" si="14"/>
        <v>0.55514470865957799</v>
      </c>
    </row>
    <row r="302" spans="1:13" x14ac:dyDescent="0.45">
      <c r="A302" s="2">
        <v>45504</v>
      </c>
      <c r="B302" s="3">
        <v>13759.35</v>
      </c>
      <c r="D302" s="2">
        <v>45504</v>
      </c>
      <c r="E302" s="3">
        <v>2530.15</v>
      </c>
      <c r="G302" s="3">
        <v>20240000</v>
      </c>
      <c r="H302" s="3">
        <f t="shared" si="12"/>
        <v>278489244000</v>
      </c>
      <c r="J302" s="3">
        <v>238782786</v>
      </c>
      <c r="K302" s="3">
        <f t="shared" si="13"/>
        <v>604156265997.90002</v>
      </c>
      <c r="M302" s="4">
        <f t="shared" si="14"/>
        <v>0.53904435048767996</v>
      </c>
    </row>
    <row r="303" spans="1:13" x14ac:dyDescent="0.45">
      <c r="A303" s="2">
        <v>45503</v>
      </c>
      <c r="B303" s="3">
        <v>13896.1</v>
      </c>
      <c r="D303" s="2">
        <v>45503</v>
      </c>
      <c r="E303" s="3">
        <v>2495.9499999999998</v>
      </c>
      <c r="G303" s="3">
        <v>20240000</v>
      </c>
      <c r="H303" s="3">
        <f t="shared" si="12"/>
        <v>281257064000</v>
      </c>
      <c r="J303" s="3">
        <v>238782786</v>
      </c>
      <c r="K303" s="3">
        <f t="shared" si="13"/>
        <v>595989894716.69995</v>
      </c>
      <c r="M303" s="4">
        <f t="shared" si="14"/>
        <v>0.52808417308200539</v>
      </c>
    </row>
    <row r="304" spans="1:13" x14ac:dyDescent="0.45">
      <c r="A304" s="2">
        <v>45502</v>
      </c>
      <c r="B304" s="3">
        <v>13786.85</v>
      </c>
      <c r="D304" s="2">
        <v>45502</v>
      </c>
      <c r="E304" s="3">
        <v>2486</v>
      </c>
      <c r="G304" s="3">
        <v>20240000</v>
      </c>
      <c r="H304" s="3">
        <f t="shared" si="12"/>
        <v>279045844000</v>
      </c>
      <c r="J304" s="3">
        <v>238782786</v>
      </c>
      <c r="K304" s="3">
        <f t="shared" si="13"/>
        <v>593614005996</v>
      </c>
      <c r="M304" s="4">
        <f t="shared" si="14"/>
        <v>0.52992038398453767</v>
      </c>
    </row>
    <row r="305" spans="1:13" x14ac:dyDescent="0.45">
      <c r="A305" s="2">
        <v>45499</v>
      </c>
      <c r="B305" s="3">
        <v>13438.6</v>
      </c>
      <c r="D305" s="2">
        <v>45499</v>
      </c>
      <c r="E305" s="3">
        <v>2506.9</v>
      </c>
      <c r="G305" s="3">
        <v>20240000</v>
      </c>
      <c r="H305" s="3">
        <f t="shared" si="12"/>
        <v>271997264000</v>
      </c>
      <c r="J305" s="3">
        <v>238782786</v>
      </c>
      <c r="K305" s="3">
        <f t="shared" si="13"/>
        <v>598604566223.40002</v>
      </c>
      <c r="M305" s="4">
        <f t="shared" si="14"/>
        <v>0.5456144517639876</v>
      </c>
    </row>
    <row r="306" spans="1:13" x14ac:dyDescent="0.45">
      <c r="A306" s="2">
        <v>45498</v>
      </c>
      <c r="B306" s="3">
        <v>13102.75</v>
      </c>
      <c r="D306" s="2">
        <v>45498</v>
      </c>
      <c r="E306" s="3">
        <v>2449.4499999999998</v>
      </c>
      <c r="G306" s="3">
        <v>20240000</v>
      </c>
      <c r="H306" s="3">
        <f t="shared" si="12"/>
        <v>265199660000</v>
      </c>
      <c r="J306" s="3">
        <v>238782786</v>
      </c>
      <c r="K306" s="3">
        <f t="shared" si="13"/>
        <v>584886495167.69995</v>
      </c>
      <c r="M306" s="4">
        <f t="shared" si="14"/>
        <v>0.54657927274596863</v>
      </c>
    </row>
    <row r="307" spans="1:13" x14ac:dyDescent="0.45">
      <c r="A307" s="2">
        <v>45497</v>
      </c>
      <c r="B307" s="3">
        <v>12798.9</v>
      </c>
      <c r="D307" s="2">
        <v>45497</v>
      </c>
      <c r="E307" s="3">
        <v>2448.4</v>
      </c>
      <c r="G307" s="3">
        <v>20240000</v>
      </c>
      <c r="H307" s="3">
        <f t="shared" si="12"/>
        <v>259049736000</v>
      </c>
      <c r="J307" s="3">
        <v>238782786</v>
      </c>
      <c r="K307" s="3">
        <f t="shared" si="13"/>
        <v>584635773242.40002</v>
      </c>
      <c r="M307" s="4">
        <f t="shared" si="14"/>
        <v>0.55690406256992153</v>
      </c>
    </row>
    <row r="308" spans="1:13" x14ac:dyDescent="0.45">
      <c r="A308" s="2">
        <v>45496</v>
      </c>
      <c r="B308" s="3">
        <v>12802.55</v>
      </c>
      <c r="D308" s="2">
        <v>45496</v>
      </c>
      <c r="E308" s="3">
        <v>2473</v>
      </c>
      <c r="G308" s="3">
        <v>20240000</v>
      </c>
      <c r="H308" s="3">
        <f t="shared" si="12"/>
        <v>259123612000</v>
      </c>
      <c r="J308" s="3">
        <v>238782786</v>
      </c>
      <c r="K308" s="3">
        <f t="shared" si="13"/>
        <v>590509829778</v>
      </c>
      <c r="M308" s="4">
        <f t="shared" si="14"/>
        <v>0.56118662394254037</v>
      </c>
    </row>
    <row r="309" spans="1:13" x14ac:dyDescent="0.45">
      <c r="A309" s="2">
        <v>45495</v>
      </c>
      <c r="B309" s="3">
        <v>12713.4</v>
      </c>
      <c r="D309" s="2">
        <v>45495</v>
      </c>
      <c r="E309" s="3">
        <v>2423.1999999999998</v>
      </c>
      <c r="G309" s="3">
        <v>20240000</v>
      </c>
      <c r="H309" s="3">
        <f t="shared" si="12"/>
        <v>257319216000</v>
      </c>
      <c r="J309" s="3">
        <v>238782786</v>
      </c>
      <c r="K309" s="3">
        <f t="shared" si="13"/>
        <v>578618447035.19995</v>
      </c>
      <c r="M309" s="4">
        <f t="shared" si="14"/>
        <v>0.5552868780480722</v>
      </c>
    </row>
    <row r="310" spans="1:13" x14ac:dyDescent="0.45">
      <c r="A310" s="2">
        <v>45492</v>
      </c>
      <c r="B310" s="3">
        <v>12604.1</v>
      </c>
      <c r="D310" s="2">
        <v>45492</v>
      </c>
      <c r="E310" s="3">
        <v>2405.3000000000002</v>
      </c>
      <c r="G310" s="3">
        <v>20240000</v>
      </c>
      <c r="H310" s="3">
        <f t="shared" si="12"/>
        <v>255106984000</v>
      </c>
      <c r="J310" s="3">
        <v>238782786</v>
      </c>
      <c r="K310" s="3">
        <f t="shared" si="13"/>
        <v>574344235165.80005</v>
      </c>
      <c r="M310" s="4">
        <f t="shared" si="14"/>
        <v>0.5558291206207433</v>
      </c>
    </row>
    <row r="311" spans="1:13" x14ac:dyDescent="0.45">
      <c r="A311" s="2">
        <v>45491</v>
      </c>
      <c r="B311" s="3">
        <v>13012.45</v>
      </c>
      <c r="D311" s="2">
        <v>45491</v>
      </c>
      <c r="E311" s="3">
        <v>2405.6</v>
      </c>
      <c r="G311" s="3">
        <v>20240000</v>
      </c>
      <c r="H311" s="3">
        <f t="shared" si="12"/>
        <v>263371988000</v>
      </c>
      <c r="J311" s="3">
        <v>238782786</v>
      </c>
      <c r="K311" s="3">
        <f t="shared" si="13"/>
        <v>574415870001.59998</v>
      </c>
      <c r="M311" s="4">
        <f t="shared" si="14"/>
        <v>0.54149597573049923</v>
      </c>
    </row>
    <row r="312" spans="1:13" x14ac:dyDescent="0.45">
      <c r="A312" s="2">
        <v>45489</v>
      </c>
      <c r="B312" s="3">
        <v>12927.3</v>
      </c>
      <c r="D312" s="2">
        <v>45489</v>
      </c>
      <c r="E312" s="3">
        <v>2457.8000000000002</v>
      </c>
      <c r="G312" s="3">
        <v>20240000</v>
      </c>
      <c r="H312" s="3">
        <f t="shared" si="12"/>
        <v>261648552000</v>
      </c>
      <c r="J312" s="3">
        <v>238782786</v>
      </c>
      <c r="K312" s="3">
        <f t="shared" si="13"/>
        <v>586880331430.80005</v>
      </c>
      <c r="M312" s="4">
        <f t="shared" si="14"/>
        <v>0.55417052167669834</v>
      </c>
    </row>
    <row r="313" spans="1:13" x14ac:dyDescent="0.45">
      <c r="A313" s="2">
        <v>45488</v>
      </c>
      <c r="B313" s="3">
        <v>12981.75</v>
      </c>
      <c r="D313" s="2">
        <v>45488</v>
      </c>
      <c r="E313" s="3">
        <v>2449.65</v>
      </c>
      <c r="G313" s="3">
        <v>20240000</v>
      </c>
      <c r="H313" s="3">
        <f t="shared" si="12"/>
        <v>262750620000</v>
      </c>
      <c r="J313" s="3">
        <v>238782786</v>
      </c>
      <c r="K313" s="3">
        <f t="shared" si="13"/>
        <v>584934251724.90002</v>
      </c>
      <c r="M313" s="4">
        <f t="shared" si="14"/>
        <v>0.55080315569625071</v>
      </c>
    </row>
    <row r="314" spans="1:13" x14ac:dyDescent="0.45">
      <c r="A314" s="2">
        <v>45485</v>
      </c>
      <c r="B314" s="3">
        <v>13552.05</v>
      </c>
      <c r="D314" s="2">
        <v>45485</v>
      </c>
      <c r="E314" s="3">
        <v>2438</v>
      </c>
      <c r="G314" s="3">
        <v>20240000</v>
      </c>
      <c r="H314" s="3">
        <f t="shared" si="12"/>
        <v>274293492000</v>
      </c>
      <c r="J314" s="3">
        <v>238782786</v>
      </c>
      <c r="K314" s="3">
        <f t="shared" si="13"/>
        <v>582152432268</v>
      </c>
      <c r="M314" s="4">
        <f t="shared" si="14"/>
        <v>0.52882874519413481</v>
      </c>
    </row>
    <row r="315" spans="1:13" x14ac:dyDescent="0.45">
      <c r="A315" s="2">
        <v>45484</v>
      </c>
      <c r="B315" s="3">
        <v>13876.5</v>
      </c>
      <c r="D315" s="2">
        <v>45484</v>
      </c>
      <c r="E315" s="3">
        <v>2476.0500000000002</v>
      </c>
      <c r="G315" s="3">
        <v>20240000</v>
      </c>
      <c r="H315" s="3">
        <f t="shared" si="12"/>
        <v>280860360000</v>
      </c>
      <c r="J315" s="3">
        <v>238782786</v>
      </c>
      <c r="K315" s="3">
        <f t="shared" si="13"/>
        <v>591238117275.30005</v>
      </c>
      <c r="M315" s="4">
        <f t="shared" si="14"/>
        <v>0.52496235984524309</v>
      </c>
    </row>
    <row r="316" spans="1:13" x14ac:dyDescent="0.45">
      <c r="A316" s="2">
        <v>45483</v>
      </c>
      <c r="B316" s="3">
        <v>13933.7</v>
      </c>
      <c r="D316" s="2">
        <v>45483</v>
      </c>
      <c r="E316" s="3">
        <v>2437.75</v>
      </c>
      <c r="G316" s="3">
        <v>20240000</v>
      </c>
      <c r="H316" s="3">
        <f t="shared" si="12"/>
        <v>282018088000</v>
      </c>
      <c r="J316" s="3">
        <v>238782786</v>
      </c>
      <c r="K316" s="3">
        <f t="shared" si="13"/>
        <v>582092736571.5</v>
      </c>
      <c r="M316" s="4">
        <f t="shared" si="14"/>
        <v>0.51551003769421033</v>
      </c>
    </row>
    <row r="317" spans="1:13" x14ac:dyDescent="0.45">
      <c r="A317" s="2">
        <v>45482</v>
      </c>
      <c r="B317" s="3">
        <v>14092.2</v>
      </c>
      <c r="D317" s="2">
        <v>45482</v>
      </c>
      <c r="E317" s="3">
        <v>2438.3000000000002</v>
      </c>
      <c r="G317" s="3">
        <v>20240000</v>
      </c>
      <c r="H317" s="3">
        <f t="shared" si="12"/>
        <v>285226128000</v>
      </c>
      <c r="J317" s="3">
        <v>238782786</v>
      </c>
      <c r="K317" s="3">
        <f t="shared" si="13"/>
        <v>582224067103.80005</v>
      </c>
      <c r="M317" s="4">
        <f t="shared" si="14"/>
        <v>0.51010934773132743</v>
      </c>
    </row>
    <row r="318" spans="1:13" x14ac:dyDescent="0.45">
      <c r="A318" s="2">
        <v>45481</v>
      </c>
      <c r="B318" s="3">
        <v>13981.45</v>
      </c>
      <c r="D318" s="2">
        <v>45481</v>
      </c>
      <c r="E318" s="3">
        <v>2397.3000000000002</v>
      </c>
      <c r="G318" s="3">
        <v>20240000</v>
      </c>
      <c r="H318" s="3">
        <f t="shared" si="12"/>
        <v>282984548000</v>
      </c>
      <c r="J318" s="3">
        <v>238782786</v>
      </c>
      <c r="K318" s="3">
        <f t="shared" si="13"/>
        <v>572433972877.80005</v>
      </c>
      <c r="M318" s="4">
        <f t="shared" si="14"/>
        <v>0.50564683193530524</v>
      </c>
    </row>
    <row r="319" spans="1:13" x14ac:dyDescent="0.45">
      <c r="A319" s="2">
        <v>45478</v>
      </c>
      <c r="B319" s="3">
        <v>14101.9</v>
      </c>
      <c r="D319" s="2">
        <v>45478</v>
      </c>
      <c r="E319" s="3">
        <v>2430.9499999999998</v>
      </c>
      <c r="G319" s="3">
        <v>20240000</v>
      </c>
      <c r="H319" s="3">
        <f t="shared" si="12"/>
        <v>285422456000</v>
      </c>
      <c r="J319" s="3">
        <v>238782786</v>
      </c>
      <c r="K319" s="3">
        <f t="shared" si="13"/>
        <v>580469013626.69995</v>
      </c>
      <c r="M319" s="4">
        <f t="shared" si="14"/>
        <v>0.50828993572505254</v>
      </c>
    </row>
    <row r="320" spans="1:13" x14ac:dyDescent="0.45">
      <c r="A320" s="2">
        <v>45477</v>
      </c>
      <c r="B320" s="3">
        <v>13852.55</v>
      </c>
      <c r="D320" s="2">
        <v>45477</v>
      </c>
      <c r="E320" s="3">
        <v>2366.9</v>
      </c>
      <c r="G320" s="3">
        <v>20240000</v>
      </c>
      <c r="H320" s="3">
        <f t="shared" si="12"/>
        <v>280375612000</v>
      </c>
      <c r="J320" s="3">
        <v>238782786</v>
      </c>
      <c r="K320" s="3">
        <f t="shared" si="13"/>
        <v>565174976183.40002</v>
      </c>
      <c r="M320" s="4">
        <f t="shared" si="14"/>
        <v>0.50391361292503911</v>
      </c>
    </row>
    <row r="321" spans="1:13" x14ac:dyDescent="0.45">
      <c r="A321" s="2">
        <v>45476</v>
      </c>
      <c r="B321" s="3">
        <v>13966.1</v>
      </c>
      <c r="D321" s="2">
        <v>45476</v>
      </c>
      <c r="E321" s="3">
        <v>2315.9</v>
      </c>
      <c r="G321" s="3">
        <v>20240000</v>
      </c>
      <c r="H321" s="3">
        <f t="shared" si="12"/>
        <v>282673864000</v>
      </c>
      <c r="J321" s="3">
        <v>238782786</v>
      </c>
      <c r="K321" s="3">
        <f t="shared" si="13"/>
        <v>552997054097.40002</v>
      </c>
      <c r="M321" s="4">
        <f t="shared" si="14"/>
        <v>0.48883296591628445</v>
      </c>
    </row>
    <row r="322" spans="1:13" x14ac:dyDescent="0.45">
      <c r="A322" s="2">
        <v>45475</v>
      </c>
      <c r="B322" s="3">
        <v>14031.8</v>
      </c>
      <c r="D322" s="2">
        <v>45475</v>
      </c>
      <c r="E322" s="3">
        <v>2338.9499999999998</v>
      </c>
      <c r="G322" s="3">
        <v>20240000</v>
      </c>
      <c r="H322" s="3">
        <f t="shared" si="12"/>
        <v>284003632000</v>
      </c>
      <c r="J322" s="3">
        <v>238782786</v>
      </c>
      <c r="K322" s="3">
        <f t="shared" si="13"/>
        <v>558500997314.69995</v>
      </c>
      <c r="M322" s="4">
        <f t="shared" si="14"/>
        <v>0.49148948101166634</v>
      </c>
    </row>
    <row r="323" spans="1:13" x14ac:dyDescent="0.45">
      <c r="A323" s="2">
        <v>45474</v>
      </c>
      <c r="B323" s="3">
        <v>14177.9</v>
      </c>
      <c r="D323" s="2">
        <v>45474</v>
      </c>
      <c r="E323" s="3">
        <v>2354.4499999999998</v>
      </c>
      <c r="G323" s="3">
        <v>20240000</v>
      </c>
      <c r="H323" s="3">
        <f t="shared" si="12"/>
        <v>286960696000</v>
      </c>
      <c r="J323" s="3">
        <v>238782786</v>
      </c>
      <c r="K323" s="3">
        <f t="shared" si="13"/>
        <v>562202130497.69995</v>
      </c>
      <c r="M323" s="4">
        <f t="shared" si="14"/>
        <v>0.48957735939925617</v>
      </c>
    </row>
    <row r="324" spans="1:13" x14ac:dyDescent="0.45">
      <c r="A324" s="2">
        <v>45471</v>
      </c>
      <c r="B324" s="3">
        <v>13259</v>
      </c>
      <c r="D324" s="2">
        <v>45471</v>
      </c>
      <c r="E324" s="3">
        <v>2365</v>
      </c>
      <c r="G324" s="3">
        <v>20240000</v>
      </c>
      <c r="H324" s="3">
        <f t="shared" ref="H324:H387" si="15">+G324*B324</f>
        <v>268362160000</v>
      </c>
      <c r="J324" s="3">
        <v>238782786</v>
      </c>
      <c r="K324" s="3">
        <f t="shared" ref="K324:K387" si="16">+J324*E324</f>
        <v>564721288890</v>
      </c>
      <c r="M324" s="4">
        <f t="shared" ref="M324:M387" si="17">1- (H324/K324)</f>
        <v>0.52478830658662612</v>
      </c>
    </row>
    <row r="325" spans="1:13" x14ac:dyDescent="0.45">
      <c r="A325" s="2">
        <v>45470</v>
      </c>
      <c r="B325" s="3">
        <v>12641.1</v>
      </c>
      <c r="D325" s="2">
        <v>45470</v>
      </c>
      <c r="E325" s="3">
        <v>2343.1</v>
      </c>
      <c r="G325" s="3">
        <v>20240000</v>
      </c>
      <c r="H325" s="3">
        <f t="shared" si="15"/>
        <v>255855864000</v>
      </c>
      <c r="J325" s="3">
        <v>238782786</v>
      </c>
      <c r="K325" s="3">
        <f t="shared" si="16"/>
        <v>559491945876.59998</v>
      </c>
      <c r="M325" s="4">
        <f t="shared" si="17"/>
        <v>0.54269964762561407</v>
      </c>
    </row>
    <row r="326" spans="1:13" x14ac:dyDescent="0.45">
      <c r="A326" s="2">
        <v>45469</v>
      </c>
      <c r="B326" s="3">
        <v>12546.8</v>
      </c>
      <c r="D326" s="2">
        <v>45469</v>
      </c>
      <c r="E326" s="3">
        <v>2377.1999999999998</v>
      </c>
      <c r="G326" s="3">
        <v>20240000</v>
      </c>
      <c r="H326" s="3">
        <f t="shared" si="15"/>
        <v>253947232000</v>
      </c>
      <c r="J326" s="3">
        <v>238782786</v>
      </c>
      <c r="K326" s="3">
        <f t="shared" si="16"/>
        <v>567634438879.19995</v>
      </c>
      <c r="M326" s="4">
        <f t="shared" si="17"/>
        <v>0.55262187315233824</v>
      </c>
    </row>
    <row r="327" spans="1:13" x14ac:dyDescent="0.45">
      <c r="A327" s="2">
        <v>45468</v>
      </c>
      <c r="B327" s="3">
        <v>12165.85</v>
      </c>
      <c r="D327" s="2">
        <v>45468</v>
      </c>
      <c r="E327" s="3">
        <v>2415.65</v>
      </c>
      <c r="G327" s="3">
        <v>20240000</v>
      </c>
      <c r="H327" s="3">
        <f t="shared" si="15"/>
        <v>246236804000</v>
      </c>
      <c r="J327" s="3">
        <v>238782786</v>
      </c>
      <c r="K327" s="3">
        <f t="shared" si="16"/>
        <v>576815637000.90002</v>
      </c>
      <c r="M327" s="4">
        <f t="shared" si="17"/>
        <v>0.57311004035832713</v>
      </c>
    </row>
    <row r="328" spans="1:13" x14ac:dyDescent="0.45">
      <c r="A328" s="2">
        <v>45467</v>
      </c>
      <c r="B328" s="3">
        <v>12191.8</v>
      </c>
      <c r="D328" s="2">
        <v>45467</v>
      </c>
      <c r="E328" s="3">
        <v>2438.1</v>
      </c>
      <c r="G328" s="3">
        <v>20240000</v>
      </c>
      <c r="H328" s="3">
        <f t="shared" si="15"/>
        <v>246762032000</v>
      </c>
      <c r="J328" s="3">
        <v>238782786</v>
      </c>
      <c r="K328" s="3">
        <f t="shared" si="16"/>
        <v>582176310546.59998</v>
      </c>
      <c r="M328" s="4">
        <f t="shared" si="17"/>
        <v>0.57613865846187151</v>
      </c>
    </row>
    <row r="329" spans="1:13" x14ac:dyDescent="0.45">
      <c r="A329" s="2">
        <v>45464</v>
      </c>
      <c r="B329" s="3">
        <v>11844.15</v>
      </c>
      <c r="D329" s="2">
        <v>45464</v>
      </c>
      <c r="E329" s="3">
        <v>2434.15</v>
      </c>
      <c r="G329" s="3">
        <v>20240000</v>
      </c>
      <c r="H329" s="3">
        <f t="shared" si="15"/>
        <v>239725596000</v>
      </c>
      <c r="J329" s="3">
        <v>238782786</v>
      </c>
      <c r="K329" s="3">
        <f t="shared" si="16"/>
        <v>581233118541.90002</v>
      </c>
      <c r="M329" s="4">
        <f t="shared" si="17"/>
        <v>0.58755688835938447</v>
      </c>
    </row>
    <row r="330" spans="1:13" x14ac:dyDescent="0.45">
      <c r="A330" s="2">
        <v>45463</v>
      </c>
      <c r="B330" s="3">
        <v>11914.4</v>
      </c>
      <c r="D330" s="2">
        <v>45463</v>
      </c>
      <c r="E330" s="3">
        <v>2425.6999999999998</v>
      </c>
      <c r="G330" s="3">
        <v>20240000</v>
      </c>
      <c r="H330" s="3">
        <f t="shared" si="15"/>
        <v>241147456000</v>
      </c>
      <c r="J330" s="3">
        <v>238782786</v>
      </c>
      <c r="K330" s="3">
        <f t="shared" si="16"/>
        <v>579215404000.19995</v>
      </c>
      <c r="M330" s="4">
        <f t="shared" si="17"/>
        <v>0.58366532669093729</v>
      </c>
    </row>
    <row r="331" spans="1:13" x14ac:dyDescent="0.45">
      <c r="A331" s="2">
        <v>45462</v>
      </c>
      <c r="B331" s="3">
        <v>11988</v>
      </c>
      <c r="D331" s="2">
        <v>45462</v>
      </c>
      <c r="E331" s="3">
        <v>2437.9</v>
      </c>
      <c r="G331" s="3">
        <v>20240000</v>
      </c>
      <c r="H331" s="3">
        <f t="shared" si="15"/>
        <v>242637120000</v>
      </c>
      <c r="J331" s="3">
        <v>238782786</v>
      </c>
      <c r="K331" s="3">
        <f t="shared" si="16"/>
        <v>582128553989.40002</v>
      </c>
      <c r="M331" s="4">
        <f t="shared" si="17"/>
        <v>0.58318979830627216</v>
      </c>
    </row>
    <row r="332" spans="1:13" x14ac:dyDescent="0.45">
      <c r="A332" s="2">
        <v>45461</v>
      </c>
      <c r="B332" s="3">
        <v>11903.95</v>
      </c>
      <c r="D332" s="2">
        <v>45461</v>
      </c>
      <c r="E332" s="3">
        <v>2468.6999999999998</v>
      </c>
      <c r="G332" s="3">
        <v>20240000</v>
      </c>
      <c r="H332" s="3">
        <f t="shared" si="15"/>
        <v>240935948000</v>
      </c>
      <c r="J332" s="3">
        <v>238782786</v>
      </c>
      <c r="K332" s="3">
        <f t="shared" si="16"/>
        <v>589483063798.19995</v>
      </c>
      <c r="M332" s="4">
        <f t="shared" si="17"/>
        <v>0.59127587746527599</v>
      </c>
    </row>
    <row r="333" spans="1:13" x14ac:dyDescent="0.45">
      <c r="A333" s="2">
        <v>45457</v>
      </c>
      <c r="B333" s="3">
        <v>11973.25</v>
      </c>
      <c r="D333" s="2">
        <v>45457</v>
      </c>
      <c r="E333" s="3">
        <v>2502.4</v>
      </c>
      <c r="G333" s="3">
        <v>20240000</v>
      </c>
      <c r="H333" s="3">
        <f t="shared" si="15"/>
        <v>242338580000</v>
      </c>
      <c r="J333" s="3">
        <v>238782786</v>
      </c>
      <c r="K333" s="3">
        <f t="shared" si="16"/>
        <v>597530043686.40002</v>
      </c>
      <c r="M333" s="4">
        <f t="shared" si="17"/>
        <v>0.59443281126934289</v>
      </c>
    </row>
    <row r="334" spans="1:13" x14ac:dyDescent="0.45">
      <c r="A334" s="2">
        <v>45456</v>
      </c>
      <c r="B334" s="3">
        <v>11872.55</v>
      </c>
      <c r="D334" s="2">
        <v>45456</v>
      </c>
      <c r="E334" s="3">
        <v>2441.9499999999998</v>
      </c>
      <c r="G334" s="3">
        <v>20240000</v>
      </c>
      <c r="H334" s="3">
        <f t="shared" si="15"/>
        <v>240300412000</v>
      </c>
      <c r="J334" s="3">
        <v>238782786</v>
      </c>
      <c r="K334" s="3">
        <f t="shared" si="16"/>
        <v>583095624272.69995</v>
      </c>
      <c r="M334" s="4">
        <f t="shared" si="17"/>
        <v>0.58788850062161124</v>
      </c>
    </row>
    <row r="335" spans="1:13" x14ac:dyDescent="0.45">
      <c r="A335" s="2">
        <v>45455</v>
      </c>
      <c r="B335" s="3">
        <v>11996.1</v>
      </c>
      <c r="D335" s="2">
        <v>45455</v>
      </c>
      <c r="E335" s="3">
        <v>2420.9499999999998</v>
      </c>
      <c r="G335" s="3">
        <v>20240000</v>
      </c>
      <c r="H335" s="3">
        <f t="shared" si="15"/>
        <v>242801064000</v>
      </c>
      <c r="J335" s="3">
        <v>238782786</v>
      </c>
      <c r="K335" s="3">
        <f t="shared" si="16"/>
        <v>578081185766.69995</v>
      </c>
      <c r="M335" s="4">
        <f t="shared" si="17"/>
        <v>0.5799879498275371</v>
      </c>
    </row>
    <row r="336" spans="1:13" x14ac:dyDescent="0.45">
      <c r="A336" s="2">
        <v>45454</v>
      </c>
      <c r="B336" s="3">
        <v>12019.15</v>
      </c>
      <c r="D336" s="2">
        <v>45454</v>
      </c>
      <c r="E336" s="3">
        <v>2439.5500000000002</v>
      </c>
      <c r="G336" s="3">
        <v>20240000</v>
      </c>
      <c r="H336" s="3">
        <f t="shared" si="15"/>
        <v>243267596000</v>
      </c>
      <c r="J336" s="3">
        <v>238782786</v>
      </c>
      <c r="K336" s="3">
        <f t="shared" si="16"/>
        <v>582522545586.30005</v>
      </c>
      <c r="M336" s="4">
        <f t="shared" si="17"/>
        <v>0.58238938931512962</v>
      </c>
    </row>
    <row r="337" spans="1:13" x14ac:dyDescent="0.45">
      <c r="A337" s="2">
        <v>45453</v>
      </c>
      <c r="B337" s="3">
        <v>11951.15</v>
      </c>
      <c r="D337" s="2">
        <v>45453</v>
      </c>
      <c r="E337" s="3">
        <v>2436.9</v>
      </c>
      <c r="G337" s="3">
        <v>20240000</v>
      </c>
      <c r="H337" s="3">
        <f t="shared" si="15"/>
        <v>241891276000</v>
      </c>
      <c r="J337" s="3">
        <v>238782786</v>
      </c>
      <c r="K337" s="3">
        <f t="shared" si="16"/>
        <v>581889771203.40002</v>
      </c>
      <c r="M337" s="4">
        <f t="shared" si="17"/>
        <v>0.5843005188083179</v>
      </c>
    </row>
    <row r="338" spans="1:13" x14ac:dyDescent="0.45">
      <c r="A338" s="2">
        <v>45450</v>
      </c>
      <c r="B338" s="3">
        <v>11980.45</v>
      </c>
      <c r="D338" s="2">
        <v>45450</v>
      </c>
      <c r="E338" s="3">
        <v>2406.9</v>
      </c>
      <c r="G338" s="3">
        <v>20240000</v>
      </c>
      <c r="H338" s="3">
        <f t="shared" si="15"/>
        <v>242484308000</v>
      </c>
      <c r="J338" s="3">
        <v>238782786</v>
      </c>
      <c r="K338" s="3">
        <f t="shared" si="16"/>
        <v>574726287623.40002</v>
      </c>
      <c r="M338" s="4">
        <f t="shared" si="17"/>
        <v>0.57808732048308131</v>
      </c>
    </row>
    <row r="339" spans="1:13" x14ac:dyDescent="0.45">
      <c r="A339" s="2">
        <v>45449</v>
      </c>
      <c r="B339" s="3">
        <v>11969.5</v>
      </c>
      <c r="D339" s="2">
        <v>45449</v>
      </c>
      <c r="E339" s="3">
        <v>2396.85</v>
      </c>
      <c r="G339" s="3">
        <v>20240000</v>
      </c>
      <c r="H339" s="3">
        <f t="shared" si="15"/>
        <v>242262680000</v>
      </c>
      <c r="J339" s="3">
        <v>238782786</v>
      </c>
      <c r="K339" s="3">
        <f t="shared" si="16"/>
        <v>572326520624.09998</v>
      </c>
      <c r="M339" s="4">
        <f t="shared" si="17"/>
        <v>0.5767054797044493</v>
      </c>
    </row>
    <row r="340" spans="1:13" x14ac:dyDescent="0.45">
      <c r="A340" s="2">
        <v>45448</v>
      </c>
      <c r="B340" s="3">
        <v>11791.6</v>
      </c>
      <c r="D340" s="2">
        <v>45448</v>
      </c>
      <c r="E340" s="3">
        <v>2351.8000000000002</v>
      </c>
      <c r="G340" s="3">
        <v>20240000</v>
      </c>
      <c r="H340" s="3">
        <f t="shared" si="15"/>
        <v>238661984000</v>
      </c>
      <c r="J340" s="3">
        <v>238782786</v>
      </c>
      <c r="K340" s="3">
        <f t="shared" si="16"/>
        <v>561569356114.80005</v>
      </c>
      <c r="M340" s="4">
        <f t="shared" si="17"/>
        <v>0.57500888999503919</v>
      </c>
    </row>
    <row r="341" spans="1:13" x14ac:dyDescent="0.45">
      <c r="A341" s="2">
        <v>45447</v>
      </c>
      <c r="B341" s="3">
        <v>10969.95</v>
      </c>
      <c r="D341" s="2">
        <v>45447</v>
      </c>
      <c r="E341" s="3">
        <v>2211.1999999999998</v>
      </c>
      <c r="G341" s="3">
        <v>20240000</v>
      </c>
      <c r="H341" s="3">
        <f t="shared" si="15"/>
        <v>222031788000</v>
      </c>
      <c r="J341" s="3">
        <v>238782786</v>
      </c>
      <c r="K341" s="3">
        <f t="shared" si="16"/>
        <v>527996496403.19995</v>
      </c>
      <c r="M341" s="4">
        <f t="shared" si="17"/>
        <v>0.57948245961380895</v>
      </c>
    </row>
    <row r="342" spans="1:13" x14ac:dyDescent="0.45">
      <c r="A342" s="2">
        <v>45446</v>
      </c>
      <c r="B342" s="3">
        <v>11650.1</v>
      </c>
      <c r="D342" s="2">
        <v>45446</v>
      </c>
      <c r="E342" s="3">
        <v>2249</v>
      </c>
      <c r="G342" s="3">
        <v>20240000</v>
      </c>
      <c r="H342" s="3">
        <f t="shared" si="15"/>
        <v>235798024000</v>
      </c>
      <c r="J342" s="3">
        <v>238782786</v>
      </c>
      <c r="K342" s="3">
        <f t="shared" si="16"/>
        <v>537022485714</v>
      </c>
      <c r="M342" s="4">
        <f t="shared" si="17"/>
        <v>0.56091592014719094</v>
      </c>
    </row>
    <row r="343" spans="1:13" x14ac:dyDescent="0.45">
      <c r="A343" s="2">
        <v>45443</v>
      </c>
      <c r="B343" s="3">
        <v>11508.55</v>
      </c>
      <c r="D343" s="2">
        <v>45443</v>
      </c>
      <c r="E343" s="3">
        <v>2178.8000000000002</v>
      </c>
      <c r="G343" s="3">
        <v>20240000</v>
      </c>
      <c r="H343" s="3">
        <f t="shared" si="15"/>
        <v>232933052000</v>
      </c>
      <c r="J343" s="3">
        <v>238782786</v>
      </c>
      <c r="K343" s="3">
        <f t="shared" si="16"/>
        <v>520259934136.80005</v>
      </c>
      <c r="M343" s="4">
        <f t="shared" si="17"/>
        <v>0.55227562855387724</v>
      </c>
    </row>
    <row r="344" spans="1:13" x14ac:dyDescent="0.45">
      <c r="A344" s="2">
        <v>45442</v>
      </c>
      <c r="B344" s="3">
        <v>10982.4</v>
      </c>
      <c r="D344" s="2">
        <v>45442</v>
      </c>
      <c r="E344" s="3">
        <v>2230</v>
      </c>
      <c r="G344" s="3">
        <v>20240000</v>
      </c>
      <c r="H344" s="3">
        <f t="shared" si="15"/>
        <v>222283776000</v>
      </c>
      <c r="J344" s="3">
        <v>238782786</v>
      </c>
      <c r="K344" s="3">
        <f t="shared" si="16"/>
        <v>532485612780</v>
      </c>
      <c r="M344" s="4">
        <f t="shared" si="17"/>
        <v>0.5825544002221934</v>
      </c>
    </row>
    <row r="345" spans="1:13" x14ac:dyDescent="0.45">
      <c r="A345" s="2">
        <v>45441</v>
      </c>
      <c r="B345" s="3">
        <v>11393.45</v>
      </c>
      <c r="D345" s="2">
        <v>45441</v>
      </c>
      <c r="E345" s="3">
        <v>2255.4499999999998</v>
      </c>
      <c r="G345" s="3">
        <v>20240000</v>
      </c>
      <c r="H345" s="3">
        <f t="shared" si="15"/>
        <v>230603428000</v>
      </c>
      <c r="J345" s="3">
        <v>238782786</v>
      </c>
      <c r="K345" s="3">
        <f t="shared" si="16"/>
        <v>538562634683.69995</v>
      </c>
      <c r="M345" s="4">
        <f t="shared" si="17"/>
        <v>0.57181688229181671</v>
      </c>
    </row>
    <row r="346" spans="1:13" x14ac:dyDescent="0.45">
      <c r="A346" s="2">
        <v>45440</v>
      </c>
      <c r="B346" s="3">
        <v>11243</v>
      </c>
      <c r="D346" s="2">
        <v>45440</v>
      </c>
      <c r="E346" s="3">
        <v>2252</v>
      </c>
      <c r="G346" s="3">
        <v>20240000</v>
      </c>
      <c r="H346" s="3">
        <f t="shared" si="15"/>
        <v>227558320000</v>
      </c>
      <c r="J346" s="3">
        <v>238782786</v>
      </c>
      <c r="K346" s="3">
        <f t="shared" si="16"/>
        <v>537738834072</v>
      </c>
      <c r="M346" s="4">
        <f t="shared" si="17"/>
        <v>0.57682371891048634</v>
      </c>
    </row>
    <row r="347" spans="1:13" x14ac:dyDescent="0.45">
      <c r="A347" s="2">
        <v>45439</v>
      </c>
      <c r="B347" s="3">
        <v>11524.6</v>
      </c>
      <c r="D347" s="2">
        <v>45439</v>
      </c>
      <c r="E347" s="3">
        <v>2249.35</v>
      </c>
      <c r="G347" s="3">
        <v>20240000</v>
      </c>
      <c r="H347" s="3">
        <f t="shared" si="15"/>
        <v>233257904000</v>
      </c>
      <c r="J347" s="3">
        <v>238782786</v>
      </c>
      <c r="K347" s="3">
        <f t="shared" si="16"/>
        <v>537106059689.09998</v>
      </c>
      <c r="M347" s="4">
        <f t="shared" si="17"/>
        <v>0.56571351264400249</v>
      </c>
    </row>
    <row r="348" spans="1:13" x14ac:dyDescent="0.45">
      <c r="A348" s="2">
        <v>45436</v>
      </c>
      <c r="B348" s="3">
        <v>11115.65</v>
      </c>
      <c r="D348" s="2">
        <v>45436</v>
      </c>
      <c r="E348" s="3">
        <v>2239.5500000000002</v>
      </c>
      <c r="G348" s="3">
        <v>20240000</v>
      </c>
      <c r="H348" s="3">
        <f t="shared" si="15"/>
        <v>224980756000</v>
      </c>
      <c r="J348" s="3">
        <v>238782786</v>
      </c>
      <c r="K348" s="3">
        <f t="shared" si="16"/>
        <v>534765988386.30005</v>
      </c>
      <c r="M348" s="4">
        <f t="shared" si="17"/>
        <v>0.57929120234647358</v>
      </c>
    </row>
    <row r="349" spans="1:13" x14ac:dyDescent="0.45">
      <c r="A349" s="2">
        <v>45435</v>
      </c>
      <c r="B349" s="3">
        <v>11212.15</v>
      </c>
      <c r="D349" s="2">
        <v>45435</v>
      </c>
      <c r="E349" s="3">
        <v>2175.9</v>
      </c>
      <c r="G349" s="3">
        <v>20240000</v>
      </c>
      <c r="H349" s="3">
        <f t="shared" si="15"/>
        <v>226933916000</v>
      </c>
      <c r="J349" s="3">
        <v>238782786</v>
      </c>
      <c r="K349" s="3">
        <f t="shared" si="16"/>
        <v>519567464057.40002</v>
      </c>
      <c r="M349" s="4">
        <f t="shared" si="17"/>
        <v>0.56322531394127262</v>
      </c>
    </row>
    <row r="350" spans="1:13" x14ac:dyDescent="0.45">
      <c r="A350" s="2">
        <v>45434</v>
      </c>
      <c r="B350" s="3">
        <v>10992.5</v>
      </c>
      <c r="D350" s="2">
        <v>45434</v>
      </c>
      <c r="E350" s="3">
        <v>2141.6</v>
      </c>
      <c r="G350" s="3">
        <v>20240000</v>
      </c>
      <c r="H350" s="3">
        <f t="shared" si="15"/>
        <v>222488200000</v>
      </c>
      <c r="J350" s="3">
        <v>238782786</v>
      </c>
      <c r="K350" s="3">
        <f t="shared" si="16"/>
        <v>511377214497.59998</v>
      </c>
      <c r="M350" s="4">
        <f t="shared" si="17"/>
        <v>0.56492351694124188</v>
      </c>
    </row>
    <row r="351" spans="1:13" x14ac:dyDescent="0.45">
      <c r="A351" s="2">
        <v>45433</v>
      </c>
      <c r="B351" s="3">
        <v>10945.75</v>
      </c>
      <c r="D351" s="2">
        <v>45433</v>
      </c>
      <c r="E351" s="3">
        <v>2155.6</v>
      </c>
      <c r="G351" s="3">
        <v>20240000</v>
      </c>
      <c r="H351" s="3">
        <f t="shared" si="15"/>
        <v>221541980000</v>
      </c>
      <c r="J351" s="3">
        <v>238782786</v>
      </c>
      <c r="K351" s="3">
        <f t="shared" si="16"/>
        <v>514720173501.59998</v>
      </c>
      <c r="M351" s="4">
        <f t="shared" si="17"/>
        <v>0.56958753240062898</v>
      </c>
    </row>
    <row r="352" spans="1:13" x14ac:dyDescent="0.45">
      <c r="A352" s="2">
        <v>45430</v>
      </c>
      <c r="B352" s="3">
        <v>10417.950000000001</v>
      </c>
      <c r="D352" s="2">
        <v>45430</v>
      </c>
      <c r="E352" s="3">
        <v>2190.75</v>
      </c>
      <c r="G352" s="3">
        <v>20240000</v>
      </c>
      <c r="H352" s="3">
        <f t="shared" si="15"/>
        <v>210859308000</v>
      </c>
      <c r="J352" s="3">
        <v>238782786</v>
      </c>
      <c r="K352" s="3">
        <f t="shared" si="16"/>
        <v>523113388429.5</v>
      </c>
      <c r="M352" s="4">
        <f t="shared" si="17"/>
        <v>0.59691471741328317</v>
      </c>
    </row>
    <row r="353" spans="1:13" x14ac:dyDescent="0.45">
      <c r="A353" s="2">
        <v>45429</v>
      </c>
      <c r="B353" s="3">
        <v>10520</v>
      </c>
      <c r="D353" s="2">
        <v>45429</v>
      </c>
      <c r="E353" s="3">
        <v>2184.1999999999998</v>
      </c>
      <c r="G353" s="3">
        <v>20240000</v>
      </c>
      <c r="H353" s="3">
        <f t="shared" si="15"/>
        <v>212924800000</v>
      </c>
      <c r="J353" s="3">
        <v>238782786</v>
      </c>
      <c r="K353" s="3">
        <f t="shared" si="16"/>
        <v>521549361181.19995</v>
      </c>
      <c r="M353" s="4">
        <f t="shared" si="17"/>
        <v>0.59174564126055107</v>
      </c>
    </row>
    <row r="354" spans="1:13" x14ac:dyDescent="0.45">
      <c r="A354" s="2">
        <v>45428</v>
      </c>
      <c r="B354" s="3">
        <v>10530.15</v>
      </c>
      <c r="D354" s="2">
        <v>45428</v>
      </c>
      <c r="E354" s="3">
        <v>2127.6999999999998</v>
      </c>
      <c r="G354" s="3">
        <v>20240000</v>
      </c>
      <c r="H354" s="3">
        <f t="shared" si="15"/>
        <v>213130236000</v>
      </c>
      <c r="J354" s="3">
        <v>238782786</v>
      </c>
      <c r="K354" s="3">
        <f t="shared" si="16"/>
        <v>508058133772.19995</v>
      </c>
      <c r="M354" s="4">
        <f t="shared" si="17"/>
        <v>0.58050029744123322</v>
      </c>
    </row>
    <row r="355" spans="1:13" x14ac:dyDescent="0.45">
      <c r="A355" s="2">
        <v>45427</v>
      </c>
      <c r="B355" s="3">
        <v>10503.4</v>
      </c>
      <c r="D355" s="2">
        <v>45427</v>
      </c>
      <c r="E355" s="3">
        <v>2094.9499999999998</v>
      </c>
      <c r="G355" s="3">
        <v>20240000</v>
      </c>
      <c r="H355" s="3">
        <f t="shared" si="15"/>
        <v>212588816000</v>
      </c>
      <c r="J355" s="3">
        <v>238782786</v>
      </c>
      <c r="K355" s="3">
        <f t="shared" si="16"/>
        <v>500237997530.69995</v>
      </c>
      <c r="M355" s="4">
        <f t="shared" si="17"/>
        <v>0.5750246541658337</v>
      </c>
    </row>
    <row r="356" spans="1:13" x14ac:dyDescent="0.45">
      <c r="A356" s="2">
        <v>45426</v>
      </c>
      <c r="B356" s="3">
        <v>10490.35</v>
      </c>
      <c r="D356" s="2">
        <v>45426</v>
      </c>
      <c r="E356" s="3">
        <v>2134.15</v>
      </c>
      <c r="G356" s="3">
        <v>20240000</v>
      </c>
      <c r="H356" s="3">
        <f t="shared" si="15"/>
        <v>212324684000</v>
      </c>
      <c r="J356" s="3">
        <v>238782786</v>
      </c>
      <c r="K356" s="3">
        <f t="shared" si="16"/>
        <v>509598282741.90002</v>
      </c>
      <c r="M356" s="4">
        <f t="shared" si="17"/>
        <v>0.58334890208502199</v>
      </c>
    </row>
    <row r="357" spans="1:13" x14ac:dyDescent="0.45">
      <c r="A357" s="2">
        <v>45425</v>
      </c>
      <c r="B357" s="3">
        <v>10415.25</v>
      </c>
      <c r="D357" s="2">
        <v>45425</v>
      </c>
      <c r="E357" s="3">
        <v>2067.9</v>
      </c>
      <c r="G357" s="3">
        <v>20240000</v>
      </c>
      <c r="H357" s="3">
        <f t="shared" si="15"/>
        <v>210804660000</v>
      </c>
      <c r="J357" s="3">
        <v>238782786</v>
      </c>
      <c r="K357" s="3">
        <f t="shared" si="16"/>
        <v>493778923169.40002</v>
      </c>
      <c r="M357" s="4">
        <f t="shared" si="17"/>
        <v>0.57307886159474741</v>
      </c>
    </row>
    <row r="358" spans="1:13" x14ac:dyDescent="0.45">
      <c r="A358" s="2">
        <v>45422</v>
      </c>
      <c r="B358" s="3">
        <v>10183.85</v>
      </c>
      <c r="D358" s="2">
        <v>45422</v>
      </c>
      <c r="E358" s="3">
        <v>2064.85</v>
      </c>
      <c r="G358" s="3">
        <v>20240000</v>
      </c>
      <c r="H358" s="3">
        <f t="shared" si="15"/>
        <v>206121124000</v>
      </c>
      <c r="J358" s="3">
        <v>238782786</v>
      </c>
      <c r="K358" s="3">
        <f t="shared" si="16"/>
        <v>493050635672.09998</v>
      </c>
      <c r="M358" s="4">
        <f t="shared" si="17"/>
        <v>0.58194735167712164</v>
      </c>
    </row>
    <row r="359" spans="1:13" x14ac:dyDescent="0.45">
      <c r="A359" s="2">
        <v>45421</v>
      </c>
      <c r="B359" s="3">
        <v>9722.4</v>
      </c>
      <c r="D359" s="2">
        <v>45421</v>
      </c>
      <c r="E359" s="3">
        <v>2062.35</v>
      </c>
      <c r="G359" s="3">
        <v>20240000</v>
      </c>
      <c r="H359" s="3">
        <f t="shared" si="15"/>
        <v>196781376000</v>
      </c>
      <c r="J359" s="3">
        <v>238782786</v>
      </c>
      <c r="K359" s="3">
        <f t="shared" si="16"/>
        <v>492453678707.09998</v>
      </c>
      <c r="M359" s="4">
        <f t="shared" si="17"/>
        <v>0.60040632346044265</v>
      </c>
    </row>
    <row r="360" spans="1:13" x14ac:dyDescent="0.45">
      <c r="A360" s="2">
        <v>45420</v>
      </c>
      <c r="B360" s="3">
        <v>9950.6</v>
      </c>
      <c r="D360" s="2">
        <v>45420</v>
      </c>
      <c r="E360" s="3">
        <v>2006.15</v>
      </c>
      <c r="G360" s="3">
        <v>20240000</v>
      </c>
      <c r="H360" s="3">
        <f t="shared" si="15"/>
        <v>201400144000</v>
      </c>
      <c r="J360" s="3">
        <v>238782786</v>
      </c>
      <c r="K360" s="3">
        <f t="shared" si="16"/>
        <v>479034086133.90002</v>
      </c>
      <c r="M360" s="4">
        <f t="shared" si="17"/>
        <v>0.57957032739481407</v>
      </c>
    </row>
    <row r="361" spans="1:13" x14ac:dyDescent="0.45">
      <c r="A361" s="2">
        <v>45419</v>
      </c>
      <c r="B361" s="3">
        <v>9769.7999999999993</v>
      </c>
      <c r="D361" s="2">
        <v>45419</v>
      </c>
      <c r="E361" s="3">
        <v>1980.65</v>
      </c>
      <c r="G361" s="3">
        <v>20240000</v>
      </c>
      <c r="H361" s="3">
        <f t="shared" si="15"/>
        <v>197740752000</v>
      </c>
      <c r="J361" s="3">
        <v>238782786</v>
      </c>
      <c r="K361" s="3">
        <f t="shared" si="16"/>
        <v>472945125090.90002</v>
      </c>
      <c r="M361" s="4">
        <f t="shared" si="17"/>
        <v>0.58189493556573979</v>
      </c>
    </row>
    <row r="362" spans="1:13" x14ac:dyDescent="0.45">
      <c r="A362" s="2">
        <v>45418</v>
      </c>
      <c r="B362" s="3">
        <v>9593</v>
      </c>
      <c r="D362" s="2">
        <v>45418</v>
      </c>
      <c r="E362" s="3">
        <v>2054.5500000000002</v>
      </c>
      <c r="G362" s="3">
        <v>20240000</v>
      </c>
      <c r="H362" s="3">
        <f t="shared" si="15"/>
        <v>194162320000</v>
      </c>
      <c r="J362" s="3">
        <v>238782786</v>
      </c>
      <c r="K362" s="3">
        <f t="shared" si="16"/>
        <v>490591172976.30005</v>
      </c>
      <c r="M362" s="4">
        <f t="shared" si="17"/>
        <v>0.6042278567262771</v>
      </c>
    </row>
    <row r="363" spans="1:13" x14ac:dyDescent="0.45">
      <c r="A363" s="2">
        <v>45415</v>
      </c>
      <c r="B363" s="3">
        <v>9034.4500000000007</v>
      </c>
      <c r="D363" s="2">
        <v>45415</v>
      </c>
      <c r="E363" s="3">
        <v>2053.1</v>
      </c>
      <c r="G363" s="3">
        <v>20240000</v>
      </c>
      <c r="H363" s="3">
        <f t="shared" si="15"/>
        <v>182857268000</v>
      </c>
      <c r="J363" s="3">
        <v>238782786</v>
      </c>
      <c r="K363" s="3">
        <f t="shared" si="16"/>
        <v>490244937936.59998</v>
      </c>
      <c r="M363" s="4">
        <f t="shared" si="17"/>
        <v>0.6270083506223828</v>
      </c>
    </row>
    <row r="364" spans="1:13" x14ac:dyDescent="0.45">
      <c r="A364" s="2">
        <v>45414</v>
      </c>
      <c r="B364" s="3">
        <v>8987.25</v>
      </c>
      <c r="D364" s="2">
        <v>45414</v>
      </c>
      <c r="E364" s="3">
        <v>2074.5500000000002</v>
      </c>
      <c r="G364" s="3">
        <v>20240000</v>
      </c>
      <c r="H364" s="3">
        <f t="shared" si="15"/>
        <v>181901940000</v>
      </c>
      <c r="J364" s="3">
        <v>238782786</v>
      </c>
      <c r="K364" s="3">
        <f t="shared" si="16"/>
        <v>495366828696.30005</v>
      </c>
      <c r="M364" s="4">
        <f t="shared" si="17"/>
        <v>0.63279345837764889</v>
      </c>
    </row>
    <row r="365" spans="1:13" x14ac:dyDescent="0.45">
      <c r="A365" s="2">
        <v>45412</v>
      </c>
      <c r="B365" s="3">
        <v>8711.35</v>
      </c>
      <c r="D365" s="2">
        <v>45412</v>
      </c>
      <c r="E365" s="3">
        <v>2062</v>
      </c>
      <c r="G365" s="3">
        <v>20240000</v>
      </c>
      <c r="H365" s="3">
        <f t="shared" si="15"/>
        <v>176317724000</v>
      </c>
      <c r="J365" s="3">
        <v>238782786</v>
      </c>
      <c r="K365" s="3">
        <f t="shared" si="16"/>
        <v>492370104732</v>
      </c>
      <c r="M365" s="4">
        <f t="shared" si="17"/>
        <v>0.64190002133462021</v>
      </c>
    </row>
    <row r="366" spans="1:13" x14ac:dyDescent="0.45">
      <c r="A366" s="2">
        <v>45411</v>
      </c>
      <c r="B366" s="3">
        <v>8544.2999999999993</v>
      </c>
      <c r="D366" s="2">
        <v>45411</v>
      </c>
      <c r="E366" s="3">
        <v>2036.25</v>
      </c>
      <c r="G366" s="3">
        <v>20240000</v>
      </c>
      <c r="H366" s="3">
        <f t="shared" si="15"/>
        <v>172936632000</v>
      </c>
      <c r="J366" s="3">
        <v>238782786</v>
      </c>
      <c r="K366" s="3">
        <f t="shared" si="16"/>
        <v>486221447992.5</v>
      </c>
      <c r="M366" s="4">
        <f t="shared" si="17"/>
        <v>0.64432537331700024</v>
      </c>
    </row>
    <row r="367" spans="1:13" x14ac:dyDescent="0.45">
      <c r="A367" s="2">
        <v>45408</v>
      </c>
      <c r="B367" s="3">
        <v>8421.6</v>
      </c>
      <c r="D367" s="2">
        <v>45408</v>
      </c>
      <c r="E367" s="3">
        <v>2017</v>
      </c>
      <c r="G367" s="3">
        <v>20240000</v>
      </c>
      <c r="H367" s="3">
        <f t="shared" si="15"/>
        <v>170453184000</v>
      </c>
      <c r="J367" s="3">
        <v>238782786</v>
      </c>
      <c r="K367" s="3">
        <f t="shared" si="16"/>
        <v>481624879362</v>
      </c>
      <c r="M367" s="4">
        <f t="shared" si="17"/>
        <v>0.64608725316309168</v>
      </c>
    </row>
    <row r="368" spans="1:13" x14ac:dyDescent="0.45">
      <c r="A368" s="2">
        <v>45407</v>
      </c>
      <c r="B368" s="3">
        <v>8519.5</v>
      </c>
      <c r="D368" s="2">
        <v>45407</v>
      </c>
      <c r="E368" s="3">
        <v>2006.45</v>
      </c>
      <c r="G368" s="3">
        <v>20240000</v>
      </c>
      <c r="H368" s="3">
        <f t="shared" si="15"/>
        <v>172434680000</v>
      </c>
      <c r="J368" s="3">
        <v>238782786</v>
      </c>
      <c r="K368" s="3">
        <f t="shared" si="16"/>
        <v>479105720969.70001</v>
      </c>
      <c r="M368" s="4">
        <f t="shared" si="17"/>
        <v>0.64009054274911226</v>
      </c>
    </row>
    <row r="369" spans="1:13" x14ac:dyDescent="0.45">
      <c r="A369" s="2">
        <v>45406</v>
      </c>
      <c r="B369" s="3">
        <v>8385.15</v>
      </c>
      <c r="D369" s="2">
        <v>45406</v>
      </c>
      <c r="E369" s="3">
        <v>1964.35</v>
      </c>
      <c r="G369" s="3">
        <v>20240000</v>
      </c>
      <c r="H369" s="3">
        <f t="shared" si="15"/>
        <v>169715436000</v>
      </c>
      <c r="J369" s="3">
        <v>238782786</v>
      </c>
      <c r="K369" s="3">
        <f t="shared" si="16"/>
        <v>469052965679.09998</v>
      </c>
      <c r="M369" s="4">
        <f t="shared" si="17"/>
        <v>0.63817426086564844</v>
      </c>
    </row>
    <row r="370" spans="1:13" x14ac:dyDescent="0.45">
      <c r="A370" s="2">
        <v>45405</v>
      </c>
      <c r="B370" s="3">
        <v>8268.9500000000007</v>
      </c>
      <c r="D370" s="2">
        <v>45405</v>
      </c>
      <c r="E370" s="3">
        <v>1951.95</v>
      </c>
      <c r="G370" s="3">
        <v>20240000</v>
      </c>
      <c r="H370" s="3">
        <f t="shared" si="15"/>
        <v>167363548000</v>
      </c>
      <c r="J370" s="3">
        <v>238782786</v>
      </c>
      <c r="K370" s="3">
        <f t="shared" si="16"/>
        <v>466092059132.70001</v>
      </c>
      <c r="M370" s="4">
        <f t="shared" si="17"/>
        <v>0.6409216919262074</v>
      </c>
    </row>
    <row r="371" spans="1:13" x14ac:dyDescent="0.45">
      <c r="A371" s="2">
        <v>45404</v>
      </c>
      <c r="B371" s="3">
        <v>8259.4</v>
      </c>
      <c r="D371" s="2">
        <v>45404</v>
      </c>
      <c r="E371" s="3">
        <v>1944.3</v>
      </c>
      <c r="G371" s="3">
        <v>20240000</v>
      </c>
      <c r="H371" s="3">
        <f t="shared" si="15"/>
        <v>167170256000</v>
      </c>
      <c r="J371" s="3">
        <v>238782786</v>
      </c>
      <c r="K371" s="3">
        <f t="shared" si="16"/>
        <v>464265370819.79999</v>
      </c>
      <c r="M371" s="4">
        <f t="shared" si="17"/>
        <v>0.63992520978936962</v>
      </c>
    </row>
    <row r="372" spans="1:13" x14ac:dyDescent="0.45">
      <c r="A372" s="2">
        <v>45401</v>
      </c>
      <c r="B372" s="3">
        <v>8224.7000000000007</v>
      </c>
      <c r="D372" s="2">
        <v>45401</v>
      </c>
      <c r="E372" s="3">
        <v>1898.9</v>
      </c>
      <c r="G372" s="3">
        <v>20240000</v>
      </c>
      <c r="H372" s="3">
        <f t="shared" si="15"/>
        <v>166467928000</v>
      </c>
      <c r="J372" s="3">
        <v>238782786</v>
      </c>
      <c r="K372" s="3">
        <f t="shared" si="16"/>
        <v>453424632335.40002</v>
      </c>
      <c r="M372" s="4">
        <f t="shared" si="17"/>
        <v>0.63286527433987527</v>
      </c>
    </row>
    <row r="373" spans="1:13" x14ac:dyDescent="0.45">
      <c r="A373" s="2">
        <v>45400</v>
      </c>
      <c r="B373" s="3">
        <v>8178.1</v>
      </c>
      <c r="D373" s="2">
        <v>45400</v>
      </c>
      <c r="E373" s="3">
        <v>1939.15</v>
      </c>
      <c r="G373" s="3">
        <v>20240000</v>
      </c>
      <c r="H373" s="3">
        <f t="shared" si="15"/>
        <v>165524744000</v>
      </c>
      <c r="J373" s="3">
        <v>238782786</v>
      </c>
      <c r="K373" s="3">
        <f t="shared" si="16"/>
        <v>463035639471.90002</v>
      </c>
      <c r="M373" s="4">
        <f t="shared" si="17"/>
        <v>0.64252267020140441</v>
      </c>
    </row>
    <row r="374" spans="1:13" x14ac:dyDescent="0.45">
      <c r="A374" s="2">
        <v>45398</v>
      </c>
      <c r="B374" s="3">
        <v>8233.15</v>
      </c>
      <c r="D374" s="2">
        <v>45398</v>
      </c>
      <c r="E374" s="3">
        <v>1974.6</v>
      </c>
      <c r="G374" s="3">
        <v>20240000</v>
      </c>
      <c r="H374" s="3">
        <f t="shared" si="15"/>
        <v>166638956000</v>
      </c>
      <c r="J374" s="3">
        <v>238782786</v>
      </c>
      <c r="K374" s="3">
        <f t="shared" si="16"/>
        <v>471500489235.59998</v>
      </c>
      <c r="M374" s="4">
        <f t="shared" si="17"/>
        <v>0.64657734232650266</v>
      </c>
    </row>
    <row r="375" spans="1:13" x14ac:dyDescent="0.45">
      <c r="A375" s="2">
        <v>45397</v>
      </c>
      <c r="B375" s="3">
        <v>8181</v>
      </c>
      <c r="D375" s="2">
        <v>45397</v>
      </c>
      <c r="E375" s="3">
        <v>1999.35</v>
      </c>
      <c r="G375" s="3">
        <v>20240000</v>
      </c>
      <c r="H375" s="3">
        <f t="shared" si="15"/>
        <v>165583440000</v>
      </c>
      <c r="J375" s="3">
        <v>238782786</v>
      </c>
      <c r="K375" s="3">
        <f t="shared" si="16"/>
        <v>477410363189.09998</v>
      </c>
      <c r="M375" s="4">
        <f t="shared" si="17"/>
        <v>0.65316328934733825</v>
      </c>
    </row>
    <row r="376" spans="1:13" x14ac:dyDescent="0.45">
      <c r="A376" s="2">
        <v>45394</v>
      </c>
      <c r="B376" s="3">
        <v>8308</v>
      </c>
      <c r="D376" s="2">
        <v>45394</v>
      </c>
      <c r="E376" s="3">
        <v>2045.75</v>
      </c>
      <c r="G376" s="3">
        <v>20240000</v>
      </c>
      <c r="H376" s="3">
        <f t="shared" si="15"/>
        <v>168153920000</v>
      </c>
      <c r="J376" s="3">
        <v>238782786</v>
      </c>
      <c r="K376" s="3">
        <f t="shared" si="16"/>
        <v>488489884459.5</v>
      </c>
      <c r="M376" s="4">
        <f t="shared" si="17"/>
        <v>0.65576785651138414</v>
      </c>
    </row>
    <row r="377" spans="1:13" x14ac:dyDescent="0.45">
      <c r="A377" s="2">
        <v>45392</v>
      </c>
      <c r="B377" s="3">
        <v>8323.65</v>
      </c>
      <c r="D377" s="2">
        <v>45392</v>
      </c>
      <c r="E377" s="3">
        <v>2097.0500000000002</v>
      </c>
      <c r="G377" s="3">
        <v>20240000</v>
      </c>
      <c r="H377" s="3">
        <f t="shared" si="15"/>
        <v>168470676000</v>
      </c>
      <c r="J377" s="3">
        <v>238782786</v>
      </c>
      <c r="K377" s="3">
        <f t="shared" si="16"/>
        <v>500739441381.30005</v>
      </c>
      <c r="M377" s="4">
        <f t="shared" si="17"/>
        <v>0.66355620892320732</v>
      </c>
    </row>
    <row r="378" spans="1:13" x14ac:dyDescent="0.45">
      <c r="A378" s="2">
        <v>45391</v>
      </c>
      <c r="B378" s="3">
        <v>8319.15</v>
      </c>
      <c r="D378" s="2">
        <v>45391</v>
      </c>
      <c r="E378" s="3">
        <v>2098.6</v>
      </c>
      <c r="G378" s="3">
        <v>20240000</v>
      </c>
      <c r="H378" s="3">
        <f t="shared" si="15"/>
        <v>168379596000</v>
      </c>
      <c r="J378" s="3">
        <v>238782786</v>
      </c>
      <c r="K378" s="3">
        <f t="shared" si="16"/>
        <v>501109554699.59998</v>
      </c>
      <c r="M378" s="4">
        <f t="shared" si="17"/>
        <v>0.66398645880751872</v>
      </c>
    </row>
    <row r="379" spans="1:13" x14ac:dyDescent="0.45">
      <c r="A379" s="2">
        <v>45390</v>
      </c>
      <c r="B379" s="3">
        <v>8318.0499999999993</v>
      </c>
      <c r="D379" s="2">
        <v>45390</v>
      </c>
      <c r="E379" s="3">
        <v>2133.1</v>
      </c>
      <c r="G379" s="3">
        <v>20240000</v>
      </c>
      <c r="H379" s="3">
        <f t="shared" si="15"/>
        <v>168357332000</v>
      </c>
      <c r="J379" s="3">
        <v>238782786</v>
      </c>
      <c r="K379" s="3">
        <f t="shared" si="16"/>
        <v>509347560816.59998</v>
      </c>
      <c r="M379" s="4">
        <f t="shared" si="17"/>
        <v>0.66946473302024867</v>
      </c>
    </row>
    <row r="380" spans="1:13" x14ac:dyDescent="0.45">
      <c r="A380" s="2">
        <v>45387</v>
      </c>
      <c r="B380" s="3">
        <v>8347</v>
      </c>
      <c r="D380" s="2">
        <v>45387</v>
      </c>
      <c r="E380" s="3">
        <v>2068.5500000000002</v>
      </c>
      <c r="G380" s="3">
        <v>20240000</v>
      </c>
      <c r="H380" s="3">
        <f t="shared" si="15"/>
        <v>168943280000</v>
      </c>
      <c r="J380" s="3">
        <v>238782786</v>
      </c>
      <c r="K380" s="3">
        <f t="shared" si="16"/>
        <v>493934131980.30005</v>
      </c>
      <c r="M380" s="4">
        <f t="shared" si="17"/>
        <v>0.65796394891224463</v>
      </c>
    </row>
    <row r="381" spans="1:13" x14ac:dyDescent="0.45">
      <c r="A381" s="2">
        <v>45386</v>
      </c>
      <c r="B381" s="3">
        <v>8314.9</v>
      </c>
      <c r="D381" s="2">
        <v>45386</v>
      </c>
      <c r="E381" s="3">
        <v>2087.1</v>
      </c>
      <c r="G381" s="3">
        <v>20240000</v>
      </c>
      <c r="H381" s="3">
        <f t="shared" si="15"/>
        <v>168293576000</v>
      </c>
      <c r="J381" s="3">
        <v>238782786</v>
      </c>
      <c r="K381" s="3">
        <f t="shared" si="16"/>
        <v>498363552660.59998</v>
      </c>
      <c r="M381" s="4">
        <f t="shared" si="17"/>
        <v>0.66230761639462665</v>
      </c>
    </row>
    <row r="382" spans="1:13" x14ac:dyDescent="0.45">
      <c r="A382" s="2">
        <v>45385</v>
      </c>
      <c r="B382" s="3">
        <v>8376.85</v>
      </c>
      <c r="D382" s="2">
        <v>45385</v>
      </c>
      <c r="E382" s="3">
        <v>2105.0500000000002</v>
      </c>
      <c r="G382" s="3">
        <v>20240000</v>
      </c>
      <c r="H382" s="3">
        <f t="shared" si="15"/>
        <v>169547444000</v>
      </c>
      <c r="J382" s="3">
        <v>238782786</v>
      </c>
      <c r="K382" s="3">
        <f t="shared" si="16"/>
        <v>502649703669.30005</v>
      </c>
      <c r="M382" s="4">
        <f t="shared" si="17"/>
        <v>0.66269264109315473</v>
      </c>
    </row>
    <row r="383" spans="1:13" x14ac:dyDescent="0.45">
      <c r="A383" s="2">
        <v>45384</v>
      </c>
      <c r="B383" s="3">
        <v>8334.7999999999993</v>
      </c>
      <c r="D383" s="2">
        <v>45384</v>
      </c>
      <c r="E383" s="3">
        <v>2150.35</v>
      </c>
      <c r="G383" s="3">
        <v>20240000</v>
      </c>
      <c r="H383" s="3">
        <f t="shared" si="15"/>
        <v>168696352000</v>
      </c>
      <c r="J383" s="3">
        <v>238782786</v>
      </c>
      <c r="K383" s="3">
        <f t="shared" si="16"/>
        <v>513466563875.09998</v>
      </c>
      <c r="M383" s="4">
        <f t="shared" si="17"/>
        <v>0.67145601316888248</v>
      </c>
    </row>
    <row r="384" spans="1:13" x14ac:dyDescent="0.45">
      <c r="A384" s="2">
        <v>45383</v>
      </c>
      <c r="B384" s="3">
        <v>8358.15</v>
      </c>
      <c r="D384" s="2">
        <v>45383</v>
      </c>
      <c r="E384" s="3">
        <v>2140.1</v>
      </c>
      <c r="G384" s="3">
        <v>20240000</v>
      </c>
      <c r="H384" s="3">
        <f t="shared" si="15"/>
        <v>169168956000</v>
      </c>
      <c r="J384" s="3">
        <v>238782786</v>
      </c>
      <c r="K384" s="3">
        <f t="shared" si="16"/>
        <v>511019040318.59998</v>
      </c>
      <c r="M384" s="4">
        <f t="shared" si="17"/>
        <v>0.66895762652105895</v>
      </c>
    </row>
    <row r="385" spans="1:13" x14ac:dyDescent="0.45">
      <c r="A385" s="2">
        <v>45379</v>
      </c>
      <c r="B385" s="3">
        <v>8159.5</v>
      </c>
      <c r="D385" s="2">
        <v>45379</v>
      </c>
      <c r="E385" s="3">
        <v>2151.4499999999998</v>
      </c>
      <c r="G385" s="3">
        <v>20240000</v>
      </c>
      <c r="H385" s="3">
        <f t="shared" si="15"/>
        <v>165148280000</v>
      </c>
      <c r="J385" s="3">
        <v>238782786</v>
      </c>
      <c r="K385" s="3">
        <f t="shared" si="16"/>
        <v>513729224939.69995</v>
      </c>
      <c r="M385" s="4">
        <f t="shared" si="17"/>
        <v>0.67853049430975121</v>
      </c>
    </row>
    <row r="386" spans="1:13" x14ac:dyDescent="0.45">
      <c r="A386" s="2">
        <v>45378</v>
      </c>
      <c r="B386" s="3">
        <v>8107.75</v>
      </c>
      <c r="D386" s="2">
        <v>45378</v>
      </c>
      <c r="E386" s="3">
        <v>2124.0500000000002</v>
      </c>
      <c r="G386" s="3">
        <v>20240000</v>
      </c>
      <c r="H386" s="3">
        <f t="shared" si="15"/>
        <v>164100860000</v>
      </c>
      <c r="J386" s="3">
        <v>238782786</v>
      </c>
      <c r="K386" s="3">
        <f t="shared" si="16"/>
        <v>507186576603.30005</v>
      </c>
      <c r="M386" s="4">
        <f t="shared" si="17"/>
        <v>0.67644873194593091</v>
      </c>
    </row>
    <row r="387" spans="1:13" x14ac:dyDescent="0.45">
      <c r="A387" s="2">
        <v>45377</v>
      </c>
      <c r="B387" s="3">
        <v>8113.75</v>
      </c>
      <c r="D387" s="2">
        <v>45377</v>
      </c>
      <c r="E387" s="3">
        <v>2082.9</v>
      </c>
      <c r="G387" s="3">
        <v>20240000</v>
      </c>
      <c r="H387" s="3">
        <f t="shared" si="15"/>
        <v>164222300000</v>
      </c>
      <c r="J387" s="3">
        <v>238782786</v>
      </c>
      <c r="K387" s="3">
        <f t="shared" si="16"/>
        <v>497360664959.40002</v>
      </c>
      <c r="M387" s="4">
        <f t="shared" si="17"/>
        <v>0.66981244885257341</v>
      </c>
    </row>
    <row r="388" spans="1:13" x14ac:dyDescent="0.45">
      <c r="A388" s="2">
        <v>45373</v>
      </c>
      <c r="B388" s="3">
        <v>8052.8</v>
      </c>
      <c r="D388" s="2">
        <v>45373</v>
      </c>
      <c r="E388" s="3">
        <v>2050.75</v>
      </c>
      <c r="G388" s="3">
        <v>20240000</v>
      </c>
      <c r="H388" s="3">
        <f t="shared" ref="H388:H451" si="18">+G388*B388</f>
        <v>162988672000</v>
      </c>
      <c r="J388" s="3">
        <v>238782786</v>
      </c>
      <c r="K388" s="3">
        <f t="shared" ref="K388:K451" si="19">+J388*E388</f>
        <v>489683798389.5</v>
      </c>
      <c r="M388" s="4">
        <f t="shared" ref="M388:M451" si="20">1- (H388/K388)</f>
        <v>0.66715526930634339</v>
      </c>
    </row>
    <row r="389" spans="1:13" x14ac:dyDescent="0.45">
      <c r="A389" s="2">
        <v>45372</v>
      </c>
      <c r="B389" s="3">
        <v>7982.65</v>
      </c>
      <c r="D389" s="2">
        <v>45372</v>
      </c>
      <c r="E389" s="3">
        <v>2056.75</v>
      </c>
      <c r="G389" s="3">
        <v>20240000</v>
      </c>
      <c r="H389" s="3">
        <f t="shared" si="18"/>
        <v>161568836000</v>
      </c>
      <c r="J389" s="3">
        <v>238782786</v>
      </c>
      <c r="K389" s="3">
        <f t="shared" si="19"/>
        <v>491116495105.5</v>
      </c>
      <c r="M389" s="4">
        <f t="shared" si="20"/>
        <v>0.67101728895240564</v>
      </c>
    </row>
    <row r="390" spans="1:13" x14ac:dyDescent="0.45">
      <c r="A390" s="2">
        <v>45371</v>
      </c>
      <c r="B390" s="3">
        <v>7938.95</v>
      </c>
      <c r="D390" s="2">
        <v>45371</v>
      </c>
      <c r="E390" s="3">
        <v>2034.05</v>
      </c>
      <c r="G390" s="3">
        <v>20240000</v>
      </c>
      <c r="H390" s="3">
        <f t="shared" si="18"/>
        <v>160684348000</v>
      </c>
      <c r="J390" s="3">
        <v>238782786</v>
      </c>
      <c r="K390" s="3">
        <f t="shared" si="19"/>
        <v>485696125863.29999</v>
      </c>
      <c r="M390" s="4">
        <f t="shared" si="20"/>
        <v>0.66916691436566067</v>
      </c>
    </row>
    <row r="391" spans="1:13" x14ac:dyDescent="0.45">
      <c r="A391" s="2">
        <v>45370</v>
      </c>
      <c r="B391" s="3">
        <v>8201.35</v>
      </c>
      <c r="D391" s="2">
        <v>45370</v>
      </c>
      <c r="E391" s="3">
        <v>2042.1</v>
      </c>
      <c r="G391" s="3">
        <v>20240000</v>
      </c>
      <c r="H391" s="3">
        <f t="shared" si="18"/>
        <v>165995324000</v>
      </c>
      <c r="J391" s="3">
        <v>238782786</v>
      </c>
      <c r="K391" s="3">
        <f t="shared" si="19"/>
        <v>487618327290.59998</v>
      </c>
      <c r="M391" s="4">
        <f t="shared" si="20"/>
        <v>0.65957939907153285</v>
      </c>
    </row>
    <row r="392" spans="1:13" x14ac:dyDescent="0.45">
      <c r="A392" s="2">
        <v>45369</v>
      </c>
      <c r="B392" s="3">
        <v>8391.7999999999993</v>
      </c>
      <c r="D392" s="2">
        <v>45369</v>
      </c>
      <c r="E392" s="3">
        <v>2032.5</v>
      </c>
      <c r="G392" s="3">
        <v>20240000</v>
      </c>
      <c r="H392" s="3">
        <f t="shared" si="18"/>
        <v>169850032000</v>
      </c>
      <c r="J392" s="3">
        <v>238782786</v>
      </c>
      <c r="K392" s="3">
        <f t="shared" si="19"/>
        <v>485326012545</v>
      </c>
      <c r="M392" s="4">
        <f t="shared" si="20"/>
        <v>0.65002899574798434</v>
      </c>
    </row>
    <row r="393" spans="1:13" x14ac:dyDescent="0.45">
      <c r="A393" s="2">
        <v>45366</v>
      </c>
      <c r="B393" s="3">
        <v>8311</v>
      </c>
      <c r="D393" s="2">
        <v>45366</v>
      </c>
      <c r="E393" s="3">
        <v>2067.1</v>
      </c>
      <c r="G393" s="3">
        <v>20240000</v>
      </c>
      <c r="H393" s="3">
        <f t="shared" si="18"/>
        <v>168214640000</v>
      </c>
      <c r="J393" s="3">
        <v>238782786</v>
      </c>
      <c r="K393" s="3">
        <f t="shared" si="19"/>
        <v>493587896940.59998</v>
      </c>
      <c r="M393" s="4">
        <f t="shared" si="20"/>
        <v>0.65920023354980373</v>
      </c>
    </row>
    <row r="394" spans="1:13" x14ac:dyDescent="0.45">
      <c r="A394" s="2">
        <v>45365</v>
      </c>
      <c r="B394" s="3">
        <v>8438.7999999999993</v>
      </c>
      <c r="D394" s="2">
        <v>45365</v>
      </c>
      <c r="E394" s="3">
        <v>2162.8000000000002</v>
      </c>
      <c r="G394" s="3">
        <v>20240000</v>
      </c>
      <c r="H394" s="3">
        <f t="shared" si="18"/>
        <v>170801312000</v>
      </c>
      <c r="J394" s="3">
        <v>238782786</v>
      </c>
      <c r="K394" s="3">
        <f t="shared" si="19"/>
        <v>516439409560.80005</v>
      </c>
      <c r="M394" s="4">
        <f t="shared" si="20"/>
        <v>0.66927134366981011</v>
      </c>
    </row>
    <row r="395" spans="1:13" x14ac:dyDescent="0.45">
      <c r="A395" s="2">
        <v>45364</v>
      </c>
      <c r="B395" s="3">
        <v>8471.9500000000007</v>
      </c>
      <c r="D395" s="2">
        <v>45364</v>
      </c>
      <c r="E395" s="3">
        <v>2144.3000000000002</v>
      </c>
      <c r="G395" s="3">
        <v>20240000</v>
      </c>
      <c r="H395" s="3">
        <f t="shared" si="18"/>
        <v>171472268000</v>
      </c>
      <c r="J395" s="3">
        <v>238782786</v>
      </c>
      <c r="K395" s="3">
        <f t="shared" si="19"/>
        <v>512021928019.80005</v>
      </c>
      <c r="M395" s="4">
        <f t="shared" si="20"/>
        <v>0.66510756939033067</v>
      </c>
    </row>
    <row r="396" spans="1:13" x14ac:dyDescent="0.45">
      <c r="A396" s="2">
        <v>45363</v>
      </c>
      <c r="B396" s="3">
        <v>8598.15</v>
      </c>
      <c r="D396" s="2">
        <v>45363</v>
      </c>
      <c r="E396" s="3">
        <v>2241.65</v>
      </c>
      <c r="G396" s="3">
        <v>20240000</v>
      </c>
      <c r="H396" s="3">
        <f t="shared" si="18"/>
        <v>174026556000</v>
      </c>
      <c r="J396" s="3">
        <v>238782786</v>
      </c>
      <c r="K396" s="3">
        <f t="shared" si="19"/>
        <v>535267432236.90002</v>
      </c>
      <c r="M396" s="4">
        <f t="shared" si="20"/>
        <v>0.6748792369587342</v>
      </c>
    </row>
    <row r="397" spans="1:13" x14ac:dyDescent="0.45">
      <c r="A397" s="2">
        <v>45362</v>
      </c>
      <c r="B397" s="3">
        <v>8808.1</v>
      </c>
      <c r="D397" s="2">
        <v>45362</v>
      </c>
      <c r="E397" s="3">
        <v>2267.6</v>
      </c>
      <c r="G397" s="3">
        <v>20240000</v>
      </c>
      <c r="H397" s="3">
        <f t="shared" si="18"/>
        <v>178275944000</v>
      </c>
      <c r="J397" s="3">
        <v>238782786</v>
      </c>
      <c r="K397" s="3">
        <f t="shared" si="19"/>
        <v>541463845533.59998</v>
      </c>
      <c r="M397" s="4">
        <f t="shared" si="20"/>
        <v>0.67075189697233939</v>
      </c>
    </row>
    <row r="398" spans="1:13" x14ac:dyDescent="0.45">
      <c r="A398" s="2">
        <v>45358</v>
      </c>
      <c r="B398" s="3">
        <v>8936.6</v>
      </c>
      <c r="D398" s="2">
        <v>45358</v>
      </c>
      <c r="E398" s="3">
        <v>2260.0500000000002</v>
      </c>
      <c r="G398" s="3">
        <v>20240000</v>
      </c>
      <c r="H398" s="3">
        <f t="shared" si="18"/>
        <v>180876784000</v>
      </c>
      <c r="J398" s="3">
        <v>238782786</v>
      </c>
      <c r="K398" s="3">
        <f t="shared" si="19"/>
        <v>539661035499.30005</v>
      </c>
      <c r="M398" s="4">
        <f t="shared" si="20"/>
        <v>0.66483260398325605</v>
      </c>
    </row>
    <row r="399" spans="1:13" x14ac:dyDescent="0.45">
      <c r="A399" s="2">
        <v>45357</v>
      </c>
      <c r="B399" s="3">
        <v>8920.2999999999993</v>
      </c>
      <c r="D399" s="2">
        <v>45357</v>
      </c>
      <c r="E399" s="3">
        <v>2279.5</v>
      </c>
      <c r="G399" s="3">
        <v>20240000</v>
      </c>
      <c r="H399" s="3">
        <f t="shared" si="18"/>
        <v>180546872000</v>
      </c>
      <c r="J399" s="3">
        <v>238782786</v>
      </c>
      <c r="K399" s="3">
        <f t="shared" si="19"/>
        <v>544305360687</v>
      </c>
      <c r="M399" s="4">
        <f t="shared" si="20"/>
        <v>0.66829855988902787</v>
      </c>
    </row>
    <row r="400" spans="1:13" x14ac:dyDescent="0.45">
      <c r="A400" s="2">
        <v>45356</v>
      </c>
      <c r="B400" s="3">
        <v>9023.9</v>
      </c>
      <c r="D400" s="2">
        <v>45356</v>
      </c>
      <c r="E400" s="3">
        <v>2283.35</v>
      </c>
      <c r="G400" s="3">
        <v>20240000</v>
      </c>
      <c r="H400" s="3">
        <f t="shared" si="18"/>
        <v>182643736000</v>
      </c>
      <c r="J400" s="3">
        <v>238782786</v>
      </c>
      <c r="K400" s="3">
        <f t="shared" si="19"/>
        <v>545224674413.09998</v>
      </c>
      <c r="M400" s="4">
        <f t="shared" si="20"/>
        <v>0.66501197658267297</v>
      </c>
    </row>
    <row r="401" spans="1:13" x14ac:dyDescent="0.45">
      <c r="A401" s="2">
        <v>45355</v>
      </c>
      <c r="B401" s="3">
        <v>9204.35</v>
      </c>
      <c r="D401" s="2">
        <v>45355</v>
      </c>
      <c r="E401" s="3">
        <v>2232.6999999999998</v>
      </c>
      <c r="G401" s="3">
        <v>20240000</v>
      </c>
      <c r="H401" s="3">
        <f t="shared" si="18"/>
        <v>186296044000</v>
      </c>
      <c r="J401" s="3">
        <v>238782786</v>
      </c>
      <c r="K401" s="3">
        <f t="shared" si="19"/>
        <v>533130326302.19995</v>
      </c>
      <c r="M401" s="4">
        <f t="shared" si="20"/>
        <v>0.65056190801946645</v>
      </c>
    </row>
    <row r="402" spans="1:13" x14ac:dyDescent="0.45">
      <c r="A402" s="2">
        <v>45353</v>
      </c>
      <c r="B402" s="3">
        <v>9452.1</v>
      </c>
      <c r="D402" s="2">
        <v>45353</v>
      </c>
      <c r="E402" s="3">
        <v>2253.15</v>
      </c>
      <c r="G402" s="3">
        <v>20240000</v>
      </c>
      <c r="H402" s="3">
        <f t="shared" si="18"/>
        <v>191310504000</v>
      </c>
      <c r="J402" s="3">
        <v>238782786</v>
      </c>
      <c r="K402" s="3">
        <f t="shared" si="19"/>
        <v>538013434275.90002</v>
      </c>
      <c r="M402" s="4">
        <f t="shared" si="20"/>
        <v>0.64441314693659946</v>
      </c>
    </row>
    <row r="403" spans="1:13" x14ac:dyDescent="0.45">
      <c r="A403" s="2">
        <v>45352</v>
      </c>
      <c r="B403" s="3">
        <v>9239.2000000000007</v>
      </c>
      <c r="D403" s="2">
        <v>45352</v>
      </c>
      <c r="E403" s="3">
        <v>2242.4499999999998</v>
      </c>
      <c r="G403" s="3">
        <v>20240000</v>
      </c>
      <c r="H403" s="3">
        <f t="shared" si="18"/>
        <v>187001408000</v>
      </c>
      <c r="J403" s="3">
        <v>238782786</v>
      </c>
      <c r="K403" s="3">
        <f t="shared" si="19"/>
        <v>535458458465.69995</v>
      </c>
      <c r="M403" s="4">
        <f t="shared" si="20"/>
        <v>0.65076392940764638</v>
      </c>
    </row>
    <row r="404" spans="1:13" x14ac:dyDescent="0.45">
      <c r="A404" s="2">
        <v>45351</v>
      </c>
      <c r="B404" s="3">
        <v>9064.65</v>
      </c>
      <c r="D404" s="2">
        <v>45351</v>
      </c>
      <c r="E404" s="3">
        <v>2141.8000000000002</v>
      </c>
      <c r="G404" s="3">
        <v>20240000</v>
      </c>
      <c r="H404" s="3">
        <f t="shared" si="18"/>
        <v>183468516000</v>
      </c>
      <c r="J404" s="3">
        <v>238782786</v>
      </c>
      <c r="K404" s="3">
        <f t="shared" si="19"/>
        <v>511424971054.80005</v>
      </c>
      <c r="M404" s="4">
        <f t="shared" si="20"/>
        <v>0.64126015274224646</v>
      </c>
    </row>
    <row r="405" spans="1:13" x14ac:dyDescent="0.45">
      <c r="A405" s="2">
        <v>45350</v>
      </c>
      <c r="B405" s="3">
        <v>9027.6</v>
      </c>
      <c r="D405" s="2">
        <v>45350</v>
      </c>
      <c r="E405" s="3">
        <v>2093.5</v>
      </c>
      <c r="G405" s="3">
        <v>20240000</v>
      </c>
      <c r="H405" s="3">
        <f t="shared" si="18"/>
        <v>182718624000</v>
      </c>
      <c r="J405" s="3">
        <v>238782786</v>
      </c>
      <c r="K405" s="3">
        <f t="shared" si="19"/>
        <v>499891762491</v>
      </c>
      <c r="M405" s="4">
        <f t="shared" si="20"/>
        <v>0.63448362683654014</v>
      </c>
    </row>
    <row r="406" spans="1:13" x14ac:dyDescent="0.45">
      <c r="A406" s="2">
        <v>45349</v>
      </c>
      <c r="B406" s="3">
        <v>9316.4500000000007</v>
      </c>
      <c r="D406" s="2">
        <v>45349</v>
      </c>
      <c r="E406" s="3">
        <v>2133.5500000000002</v>
      </c>
      <c r="G406" s="3">
        <v>20240000</v>
      </c>
      <c r="H406" s="3">
        <f t="shared" si="18"/>
        <v>188564948000</v>
      </c>
      <c r="J406" s="3">
        <v>238782786</v>
      </c>
      <c r="K406" s="3">
        <f t="shared" si="19"/>
        <v>509455013070.30005</v>
      </c>
      <c r="M406" s="4">
        <f t="shared" si="20"/>
        <v>0.62986928548688204</v>
      </c>
    </row>
    <row r="407" spans="1:13" x14ac:dyDescent="0.45">
      <c r="A407" s="2">
        <v>45348</v>
      </c>
      <c r="B407" s="3">
        <v>9423.15</v>
      </c>
      <c r="D407" s="2">
        <v>45348</v>
      </c>
      <c r="E407" s="3">
        <v>2161.5500000000002</v>
      </c>
      <c r="G407" s="3">
        <v>20240000</v>
      </c>
      <c r="H407" s="3">
        <f t="shared" si="18"/>
        <v>190724556000</v>
      </c>
      <c r="J407" s="3">
        <v>238782786</v>
      </c>
      <c r="K407" s="3">
        <f t="shared" si="19"/>
        <v>516140931078.30005</v>
      </c>
      <c r="M407" s="4">
        <f t="shared" si="20"/>
        <v>0.63047969165796203</v>
      </c>
    </row>
    <row r="408" spans="1:13" x14ac:dyDescent="0.45">
      <c r="A408" s="2">
        <v>45345</v>
      </c>
      <c r="B408" s="3">
        <v>9268.5499999999993</v>
      </c>
      <c r="D408" s="2">
        <v>45345</v>
      </c>
      <c r="E408" s="3">
        <v>2116.5</v>
      </c>
      <c r="G408" s="3">
        <v>20240000</v>
      </c>
      <c r="H408" s="3">
        <f t="shared" si="18"/>
        <v>187595452000</v>
      </c>
      <c r="J408" s="3">
        <v>238782786</v>
      </c>
      <c r="K408" s="3">
        <f t="shared" si="19"/>
        <v>505383766569</v>
      </c>
      <c r="M408" s="4">
        <f t="shared" si="20"/>
        <v>0.62880594033803894</v>
      </c>
    </row>
    <row r="409" spans="1:13" x14ac:dyDescent="0.45">
      <c r="A409" s="2">
        <v>45344</v>
      </c>
      <c r="B409" s="3">
        <v>9304.5499999999993</v>
      </c>
      <c r="D409" s="2">
        <v>45344</v>
      </c>
      <c r="E409" s="3">
        <v>2128.4499999999998</v>
      </c>
      <c r="G409" s="3">
        <v>20240000</v>
      </c>
      <c r="H409" s="3">
        <f t="shared" si="18"/>
        <v>188324092000</v>
      </c>
      <c r="J409" s="3">
        <v>238782786</v>
      </c>
      <c r="K409" s="3">
        <f t="shared" si="19"/>
        <v>508237220861.69995</v>
      </c>
      <c r="M409" s="4">
        <f t="shared" si="20"/>
        <v>0.62945631632271537</v>
      </c>
    </row>
    <row r="410" spans="1:13" x14ac:dyDescent="0.45">
      <c r="A410" s="2">
        <v>45343</v>
      </c>
      <c r="B410" s="3">
        <v>9231.7999999999993</v>
      </c>
      <c r="D410" s="2">
        <v>45343</v>
      </c>
      <c r="E410" s="3">
        <v>2093.4499999999998</v>
      </c>
      <c r="G410" s="3">
        <v>20240000</v>
      </c>
      <c r="H410" s="3">
        <f t="shared" si="18"/>
        <v>186851632000</v>
      </c>
      <c r="J410" s="3">
        <v>238782786</v>
      </c>
      <c r="K410" s="3">
        <f t="shared" si="19"/>
        <v>499879823351.69995</v>
      </c>
      <c r="M410" s="4">
        <f t="shared" si="20"/>
        <v>0.626206893594629</v>
      </c>
    </row>
    <row r="411" spans="1:13" x14ac:dyDescent="0.45">
      <c r="A411" s="2">
        <v>45342</v>
      </c>
      <c r="B411" s="3">
        <v>9075.5</v>
      </c>
      <c r="D411" s="2">
        <v>45342</v>
      </c>
      <c r="E411" s="3">
        <v>2119.35</v>
      </c>
      <c r="G411" s="3">
        <v>20240000</v>
      </c>
      <c r="H411" s="3">
        <f t="shared" si="18"/>
        <v>183688120000</v>
      </c>
      <c r="J411" s="3">
        <v>238782786</v>
      </c>
      <c r="K411" s="3">
        <f t="shared" si="19"/>
        <v>506064297509.09998</v>
      </c>
      <c r="M411" s="4">
        <f t="shared" si="20"/>
        <v>0.63702612315444573</v>
      </c>
    </row>
    <row r="412" spans="1:13" x14ac:dyDescent="0.45">
      <c r="A412" s="2">
        <v>45341</v>
      </c>
      <c r="B412" s="3">
        <v>9003.4</v>
      </c>
      <c r="D412" s="2">
        <v>45341</v>
      </c>
      <c r="E412" s="3">
        <v>2119.1999999999998</v>
      </c>
      <c r="G412" s="3">
        <v>20240000</v>
      </c>
      <c r="H412" s="3">
        <f t="shared" si="18"/>
        <v>182228816000</v>
      </c>
      <c r="J412" s="3">
        <v>238782786</v>
      </c>
      <c r="K412" s="3">
        <f t="shared" si="19"/>
        <v>506028480091.19995</v>
      </c>
      <c r="M412" s="4">
        <f t="shared" si="20"/>
        <v>0.63988426902936868</v>
      </c>
    </row>
    <row r="413" spans="1:13" x14ac:dyDescent="0.45">
      <c r="A413" s="2">
        <v>45338</v>
      </c>
      <c r="B413" s="3">
        <v>8814.5</v>
      </c>
      <c r="D413" s="2">
        <v>45338</v>
      </c>
      <c r="E413" s="3">
        <v>2138.1</v>
      </c>
      <c r="G413" s="3">
        <v>20240000</v>
      </c>
      <c r="H413" s="3">
        <f t="shared" si="18"/>
        <v>178405480000</v>
      </c>
      <c r="J413" s="3">
        <v>238782786</v>
      </c>
      <c r="K413" s="3">
        <f t="shared" si="19"/>
        <v>510541474746.59998</v>
      </c>
      <c r="M413" s="4">
        <f t="shared" si="20"/>
        <v>0.65055634297184373</v>
      </c>
    </row>
    <row r="414" spans="1:13" x14ac:dyDescent="0.45">
      <c r="A414" s="2">
        <v>45337</v>
      </c>
      <c r="B414" s="3">
        <v>8483.0499999999993</v>
      </c>
      <c r="D414" s="2">
        <v>45337</v>
      </c>
      <c r="E414" s="3">
        <v>2092.8000000000002</v>
      </c>
      <c r="G414" s="3">
        <v>20240000</v>
      </c>
      <c r="H414" s="3">
        <f t="shared" si="18"/>
        <v>171696932000</v>
      </c>
      <c r="J414" s="3">
        <v>238782786</v>
      </c>
      <c r="K414" s="3">
        <f t="shared" si="19"/>
        <v>499724614540.80005</v>
      </c>
      <c r="M414" s="4">
        <f t="shared" si="20"/>
        <v>0.656416900420698</v>
      </c>
    </row>
    <row r="415" spans="1:13" x14ac:dyDescent="0.45">
      <c r="A415" s="2">
        <v>45336</v>
      </c>
      <c r="B415" s="3">
        <v>8208.4500000000007</v>
      </c>
      <c r="D415" s="2">
        <v>45336</v>
      </c>
      <c r="E415" s="3">
        <v>2087.65</v>
      </c>
      <c r="G415" s="3">
        <v>20240000</v>
      </c>
      <c r="H415" s="3">
        <f t="shared" si="18"/>
        <v>166139028000</v>
      </c>
      <c r="J415" s="3">
        <v>238782786</v>
      </c>
      <c r="K415" s="3">
        <f t="shared" si="19"/>
        <v>498494883192.90002</v>
      </c>
      <c r="M415" s="4">
        <f t="shared" si="20"/>
        <v>0.66671868939583478</v>
      </c>
    </row>
    <row r="416" spans="1:13" x14ac:dyDescent="0.45">
      <c r="A416" s="2">
        <v>45335</v>
      </c>
      <c r="B416" s="3">
        <v>8157.05</v>
      </c>
      <c r="D416" s="2">
        <v>45335</v>
      </c>
      <c r="E416" s="3">
        <v>2043.85</v>
      </c>
      <c r="G416" s="3">
        <v>20240000</v>
      </c>
      <c r="H416" s="3">
        <f t="shared" si="18"/>
        <v>165098692000</v>
      </c>
      <c r="J416" s="3">
        <v>238782786</v>
      </c>
      <c r="K416" s="3">
        <f t="shared" si="19"/>
        <v>488036197166.09998</v>
      </c>
      <c r="M416" s="4">
        <f t="shared" si="20"/>
        <v>0.66170810083619735</v>
      </c>
    </row>
    <row r="417" spans="1:13" x14ac:dyDescent="0.45">
      <c r="A417" s="2">
        <v>45334</v>
      </c>
      <c r="B417" s="3">
        <v>8388.5499999999993</v>
      </c>
      <c r="D417" s="2">
        <v>45334</v>
      </c>
      <c r="E417" s="3">
        <v>2035.05</v>
      </c>
      <c r="G417" s="3">
        <v>20240000</v>
      </c>
      <c r="H417" s="3">
        <f t="shared" si="18"/>
        <v>169784252000</v>
      </c>
      <c r="J417" s="3">
        <v>238782786</v>
      </c>
      <c r="K417" s="3">
        <f t="shared" si="19"/>
        <v>485934908649.29999</v>
      </c>
      <c r="M417" s="4">
        <f t="shared" si="20"/>
        <v>0.65060289150262807</v>
      </c>
    </row>
    <row r="418" spans="1:13" x14ac:dyDescent="0.45">
      <c r="A418" s="2">
        <v>45331</v>
      </c>
      <c r="B418" s="3">
        <v>8670.25</v>
      </c>
      <c r="D418" s="2">
        <v>45331</v>
      </c>
      <c r="E418" s="3">
        <v>2037.4</v>
      </c>
      <c r="G418" s="3">
        <v>20240000</v>
      </c>
      <c r="H418" s="3">
        <f t="shared" si="18"/>
        <v>175485860000</v>
      </c>
      <c r="J418" s="3">
        <v>238782786</v>
      </c>
      <c r="K418" s="3">
        <f t="shared" si="19"/>
        <v>486496048196.40002</v>
      </c>
      <c r="M418" s="4">
        <f t="shared" si="20"/>
        <v>0.6392861552512431</v>
      </c>
    </row>
    <row r="419" spans="1:13" x14ac:dyDescent="0.45">
      <c r="A419" s="2">
        <v>45330</v>
      </c>
      <c r="B419" s="3">
        <v>8697.5499999999993</v>
      </c>
      <c r="D419" s="2">
        <v>45330</v>
      </c>
      <c r="E419" s="3">
        <v>2033.95</v>
      </c>
      <c r="G419" s="3">
        <v>20240000</v>
      </c>
      <c r="H419" s="3">
        <f t="shared" si="18"/>
        <v>176038412000</v>
      </c>
      <c r="J419" s="3">
        <v>238782786</v>
      </c>
      <c r="K419" s="3">
        <f t="shared" si="19"/>
        <v>485672247584.70001</v>
      </c>
      <c r="M419" s="4">
        <f t="shared" si="20"/>
        <v>0.63753660441695437</v>
      </c>
    </row>
    <row r="420" spans="1:13" x14ac:dyDescent="0.45">
      <c r="A420" s="2">
        <v>45329</v>
      </c>
      <c r="B420" s="3">
        <v>8903.2000000000007</v>
      </c>
      <c r="D420" s="2">
        <v>45329</v>
      </c>
      <c r="E420" s="3">
        <v>2062.9499999999998</v>
      </c>
      <c r="G420" s="3">
        <v>20240000</v>
      </c>
      <c r="H420" s="3">
        <f t="shared" si="18"/>
        <v>180200768000</v>
      </c>
      <c r="J420" s="3">
        <v>238782786</v>
      </c>
      <c r="K420" s="3">
        <f t="shared" si="19"/>
        <v>492596948378.69995</v>
      </c>
      <c r="M420" s="4">
        <f t="shared" si="20"/>
        <v>0.6341821268014336</v>
      </c>
    </row>
    <row r="421" spans="1:13" x14ac:dyDescent="0.45">
      <c r="A421" s="2">
        <v>45328</v>
      </c>
      <c r="B421" s="3">
        <v>8907.0499999999993</v>
      </c>
      <c r="D421" s="2">
        <v>45328</v>
      </c>
      <c r="E421" s="3">
        <v>2047.5</v>
      </c>
      <c r="G421" s="3">
        <v>20240000</v>
      </c>
      <c r="H421" s="3">
        <f t="shared" si="18"/>
        <v>180278692000</v>
      </c>
      <c r="J421" s="3">
        <v>238782786</v>
      </c>
      <c r="K421" s="3">
        <f t="shared" si="19"/>
        <v>488907754335</v>
      </c>
      <c r="M421" s="4">
        <f t="shared" si="20"/>
        <v>0.63126235900019512</v>
      </c>
    </row>
    <row r="422" spans="1:13" x14ac:dyDescent="0.45">
      <c r="A422" s="2">
        <v>45327</v>
      </c>
      <c r="B422" s="3">
        <v>8307.5499999999993</v>
      </c>
      <c r="D422" s="2">
        <v>45327</v>
      </c>
      <c r="E422" s="3">
        <v>2024.85</v>
      </c>
      <c r="G422" s="3">
        <v>20240000</v>
      </c>
      <c r="H422" s="3">
        <f t="shared" si="18"/>
        <v>168144812000</v>
      </c>
      <c r="J422" s="3">
        <v>238782786</v>
      </c>
      <c r="K422" s="3">
        <f t="shared" si="19"/>
        <v>483499324232.09998</v>
      </c>
      <c r="M422" s="4">
        <f t="shared" si="20"/>
        <v>0.65223361528570933</v>
      </c>
    </row>
    <row r="423" spans="1:13" x14ac:dyDescent="0.45">
      <c r="A423" s="2">
        <v>45324</v>
      </c>
      <c r="B423" s="3">
        <v>8020.15</v>
      </c>
      <c r="D423" s="2">
        <v>45324</v>
      </c>
      <c r="E423" s="3">
        <v>2044.5</v>
      </c>
      <c r="G423" s="3">
        <v>20240000</v>
      </c>
      <c r="H423" s="3">
        <f t="shared" si="18"/>
        <v>162327836000</v>
      </c>
      <c r="J423" s="3">
        <v>238782786</v>
      </c>
      <c r="K423" s="3">
        <f t="shared" si="19"/>
        <v>488191405977</v>
      </c>
      <c r="M423" s="4">
        <f t="shared" si="20"/>
        <v>0.66749141010555246</v>
      </c>
    </row>
    <row r="424" spans="1:13" x14ac:dyDescent="0.45">
      <c r="A424" s="2">
        <v>45323</v>
      </c>
      <c r="B424" s="3">
        <v>7970.4</v>
      </c>
      <c r="D424" s="2">
        <v>45323</v>
      </c>
      <c r="E424" s="3">
        <v>1996.95</v>
      </c>
      <c r="G424" s="3">
        <v>20240000</v>
      </c>
      <c r="H424" s="3">
        <f t="shared" si="18"/>
        <v>161320896000</v>
      </c>
      <c r="J424" s="3">
        <v>238782786</v>
      </c>
      <c r="K424" s="3">
        <f t="shared" si="19"/>
        <v>476837284502.70001</v>
      </c>
      <c r="M424" s="4">
        <f t="shared" si="20"/>
        <v>0.66168564992092904</v>
      </c>
    </row>
    <row r="425" spans="1:13" x14ac:dyDescent="0.45">
      <c r="A425" s="2">
        <v>45322</v>
      </c>
      <c r="B425" s="3">
        <v>7990.55</v>
      </c>
      <c r="D425" s="2">
        <v>45322</v>
      </c>
      <c r="E425" s="3">
        <v>1999.8</v>
      </c>
      <c r="G425" s="3">
        <v>20240000</v>
      </c>
      <c r="H425" s="3">
        <f t="shared" si="18"/>
        <v>161728732000</v>
      </c>
      <c r="J425" s="3">
        <v>238782786</v>
      </c>
      <c r="K425" s="3">
        <f t="shared" si="19"/>
        <v>477517815442.79999</v>
      </c>
      <c r="M425" s="4">
        <f t="shared" si="20"/>
        <v>0.66131372114351439</v>
      </c>
    </row>
    <row r="426" spans="1:13" x14ac:dyDescent="0.45">
      <c r="A426" s="2">
        <v>45321</v>
      </c>
      <c r="B426" s="3">
        <v>7880.1</v>
      </c>
      <c r="D426" s="2">
        <v>45321</v>
      </c>
      <c r="E426" s="3">
        <v>1957.85</v>
      </c>
      <c r="G426" s="3">
        <v>20240000</v>
      </c>
      <c r="H426" s="3">
        <f t="shared" si="18"/>
        <v>159493224000</v>
      </c>
      <c r="J426" s="3">
        <v>238782786</v>
      </c>
      <c r="K426" s="3">
        <f t="shared" si="19"/>
        <v>467500877570.09998</v>
      </c>
      <c r="M426" s="4">
        <f t="shared" si="20"/>
        <v>0.6588386639422199</v>
      </c>
    </row>
    <row r="427" spans="1:13" x14ac:dyDescent="0.45">
      <c r="A427" s="2">
        <v>45320</v>
      </c>
      <c r="B427" s="3">
        <v>7966.8</v>
      </c>
      <c r="D427" s="2">
        <v>45320</v>
      </c>
      <c r="E427" s="3">
        <v>1965.95</v>
      </c>
      <c r="G427" s="3">
        <v>20240000</v>
      </c>
      <c r="H427" s="3">
        <f t="shared" si="18"/>
        <v>161248032000</v>
      </c>
      <c r="J427" s="3">
        <v>238782786</v>
      </c>
      <c r="K427" s="3">
        <f t="shared" si="19"/>
        <v>469435018136.70001</v>
      </c>
      <c r="M427" s="4">
        <f t="shared" si="20"/>
        <v>0.65650617067292494</v>
      </c>
    </row>
    <row r="428" spans="1:13" x14ac:dyDescent="0.45">
      <c r="A428" s="2">
        <v>45316</v>
      </c>
      <c r="B428" s="3">
        <v>7852.25</v>
      </c>
      <c r="D428" s="2">
        <v>45316</v>
      </c>
      <c r="E428" s="3">
        <v>1941.75</v>
      </c>
      <c r="G428" s="3">
        <v>20240000</v>
      </c>
      <c r="H428" s="3">
        <f t="shared" si="18"/>
        <v>158929540000</v>
      </c>
      <c r="J428" s="3">
        <v>238782786</v>
      </c>
      <c r="K428" s="3">
        <f t="shared" si="19"/>
        <v>463656474715.5</v>
      </c>
      <c r="M428" s="4">
        <f t="shared" si="20"/>
        <v>0.65722566454502918</v>
      </c>
    </row>
    <row r="429" spans="1:13" x14ac:dyDescent="0.45">
      <c r="A429" s="2">
        <v>45315</v>
      </c>
      <c r="B429" s="3">
        <v>8041.5</v>
      </c>
      <c r="D429" s="2">
        <v>45315</v>
      </c>
      <c r="E429" s="3">
        <v>2002.2</v>
      </c>
      <c r="G429" s="3">
        <v>20240000</v>
      </c>
      <c r="H429" s="3">
        <f t="shared" si="18"/>
        <v>162759960000</v>
      </c>
      <c r="J429" s="3">
        <v>238782786</v>
      </c>
      <c r="K429" s="3">
        <f t="shared" si="19"/>
        <v>478090894129.20001</v>
      </c>
      <c r="M429" s="4">
        <f t="shared" si="20"/>
        <v>0.65956272750926837</v>
      </c>
    </row>
    <row r="430" spans="1:13" x14ac:dyDescent="0.45">
      <c r="A430" s="2">
        <v>45314</v>
      </c>
      <c r="B430" s="3">
        <v>7929.85</v>
      </c>
      <c r="D430" s="2">
        <v>45314</v>
      </c>
      <c r="E430" s="3">
        <v>1987.15</v>
      </c>
      <c r="G430" s="3">
        <v>20240000</v>
      </c>
      <c r="H430" s="3">
        <f t="shared" si="18"/>
        <v>160500164000</v>
      </c>
      <c r="J430" s="3">
        <v>238782786</v>
      </c>
      <c r="K430" s="3">
        <f t="shared" si="19"/>
        <v>474497213199.90002</v>
      </c>
      <c r="M430" s="4">
        <f t="shared" si="20"/>
        <v>0.66174687746293848</v>
      </c>
    </row>
    <row r="431" spans="1:13" x14ac:dyDescent="0.45">
      <c r="A431" s="2">
        <v>45311</v>
      </c>
      <c r="B431" s="3">
        <v>8032.85</v>
      </c>
      <c r="D431" s="2">
        <v>45311</v>
      </c>
      <c r="E431" s="3">
        <v>2012.05</v>
      </c>
      <c r="G431" s="3">
        <v>20240000</v>
      </c>
      <c r="H431" s="3">
        <f t="shared" si="18"/>
        <v>162584884000</v>
      </c>
      <c r="J431" s="3">
        <v>238782786</v>
      </c>
      <c r="K431" s="3">
        <f t="shared" si="19"/>
        <v>480442904571.29999</v>
      </c>
      <c r="M431" s="4">
        <f t="shared" si="20"/>
        <v>0.66159374516088487</v>
      </c>
    </row>
    <row r="432" spans="1:13" x14ac:dyDescent="0.45">
      <c r="A432" s="2">
        <v>45310</v>
      </c>
      <c r="B432" s="3">
        <v>7998.85</v>
      </c>
      <c r="D432" s="2">
        <v>45310</v>
      </c>
      <c r="E432" s="3">
        <v>2037.35</v>
      </c>
      <c r="G432" s="3">
        <v>20240000</v>
      </c>
      <c r="H432" s="3">
        <f t="shared" si="18"/>
        <v>161896724000</v>
      </c>
      <c r="J432" s="3">
        <v>238782786</v>
      </c>
      <c r="K432" s="3">
        <f t="shared" si="19"/>
        <v>486484109057.09998</v>
      </c>
      <c r="M432" s="4">
        <f t="shared" si="20"/>
        <v>0.66721066323463862</v>
      </c>
    </row>
    <row r="433" spans="1:13" x14ac:dyDescent="0.45">
      <c r="A433" s="2">
        <v>45309</v>
      </c>
      <c r="B433" s="3">
        <v>8138.1</v>
      </c>
      <c r="D433" s="2">
        <v>45309</v>
      </c>
      <c r="E433" s="3">
        <v>2011.5</v>
      </c>
      <c r="G433" s="3">
        <v>20240000</v>
      </c>
      <c r="H433" s="3">
        <f t="shared" si="18"/>
        <v>164715144000</v>
      </c>
      <c r="J433" s="3">
        <v>238782786</v>
      </c>
      <c r="K433" s="3">
        <f t="shared" si="19"/>
        <v>480311574039</v>
      </c>
      <c r="M433" s="4">
        <f t="shared" si="20"/>
        <v>0.65706605273970431</v>
      </c>
    </row>
    <row r="434" spans="1:13" x14ac:dyDescent="0.45">
      <c r="A434" s="2">
        <v>45308</v>
      </c>
      <c r="B434" s="3">
        <v>7971.1</v>
      </c>
      <c r="D434" s="2">
        <v>45308</v>
      </c>
      <c r="E434" s="3">
        <v>2016.3</v>
      </c>
      <c r="G434" s="3">
        <v>20240000</v>
      </c>
      <c r="H434" s="3">
        <f t="shared" si="18"/>
        <v>161335064000</v>
      </c>
      <c r="J434" s="3">
        <v>238782786</v>
      </c>
      <c r="K434" s="3">
        <f t="shared" si="19"/>
        <v>481457731411.79999</v>
      </c>
      <c r="M434" s="4">
        <f t="shared" si="20"/>
        <v>0.66490295310678671</v>
      </c>
    </row>
    <row r="435" spans="1:13" x14ac:dyDescent="0.45">
      <c r="A435" s="2">
        <v>45307</v>
      </c>
      <c r="B435" s="3">
        <v>8005.95</v>
      </c>
      <c r="D435" s="2">
        <v>45307</v>
      </c>
      <c r="E435" s="3">
        <v>2033.55</v>
      </c>
      <c r="G435" s="3">
        <v>20240000</v>
      </c>
      <c r="H435" s="3">
        <f t="shared" si="18"/>
        <v>162040428000</v>
      </c>
      <c r="J435" s="3">
        <v>238782786</v>
      </c>
      <c r="K435" s="3">
        <f t="shared" si="19"/>
        <v>485576734470.29999</v>
      </c>
      <c r="M435" s="4">
        <f t="shared" si="20"/>
        <v>0.66629285034266583</v>
      </c>
    </row>
    <row r="436" spans="1:13" x14ac:dyDescent="0.45">
      <c r="A436" s="2">
        <v>45306</v>
      </c>
      <c r="B436" s="3">
        <v>8004.75</v>
      </c>
      <c r="D436" s="2">
        <v>45306</v>
      </c>
      <c r="E436" s="3">
        <v>2022.3</v>
      </c>
      <c r="G436" s="3">
        <v>20240000</v>
      </c>
      <c r="H436" s="3">
        <f t="shared" si="18"/>
        <v>162016140000</v>
      </c>
      <c r="J436" s="3">
        <v>238782786</v>
      </c>
      <c r="K436" s="3">
        <f t="shared" si="19"/>
        <v>482890428127.79999</v>
      </c>
      <c r="M436" s="4">
        <f t="shared" si="20"/>
        <v>0.66448674365290716</v>
      </c>
    </row>
    <row r="437" spans="1:13" x14ac:dyDescent="0.45">
      <c r="A437" s="2">
        <v>45303</v>
      </c>
      <c r="B437" s="3">
        <v>8159.9</v>
      </c>
      <c r="D437" s="2">
        <v>45303</v>
      </c>
      <c r="E437" s="3">
        <v>2085.3000000000002</v>
      </c>
      <c r="G437" s="3">
        <v>20240000</v>
      </c>
      <c r="H437" s="3">
        <f t="shared" si="18"/>
        <v>165156376000</v>
      </c>
      <c r="J437" s="3">
        <v>238782786</v>
      </c>
      <c r="K437" s="3">
        <f t="shared" si="19"/>
        <v>497933743645.80005</v>
      </c>
      <c r="M437" s="4">
        <f t="shared" si="20"/>
        <v>0.66831656197720501</v>
      </c>
    </row>
    <row r="438" spans="1:13" x14ac:dyDescent="0.45">
      <c r="A438" s="2">
        <v>45302</v>
      </c>
      <c r="B438" s="3">
        <v>8134.75</v>
      </c>
      <c r="D438" s="2">
        <v>45302</v>
      </c>
      <c r="E438" s="3">
        <v>2087.6999999999998</v>
      </c>
      <c r="G438" s="3">
        <v>20240000</v>
      </c>
      <c r="H438" s="3">
        <f t="shared" si="18"/>
        <v>164647340000</v>
      </c>
      <c r="J438" s="3">
        <v>238782786</v>
      </c>
      <c r="K438" s="3">
        <f t="shared" si="19"/>
        <v>498506822332.19995</v>
      </c>
      <c r="M438" s="4">
        <f t="shared" si="20"/>
        <v>0.66971898352420012</v>
      </c>
    </row>
    <row r="439" spans="1:13" x14ac:dyDescent="0.45">
      <c r="A439" s="2">
        <v>45301</v>
      </c>
      <c r="B439" s="3">
        <v>8058.1</v>
      </c>
      <c r="D439" s="2">
        <v>45301</v>
      </c>
      <c r="E439" s="3">
        <v>2019.95</v>
      </c>
      <c r="G439" s="3">
        <v>20240000</v>
      </c>
      <c r="H439" s="3">
        <f t="shared" si="18"/>
        <v>163095944000</v>
      </c>
      <c r="J439" s="3">
        <v>238782786</v>
      </c>
      <c r="K439" s="3">
        <f t="shared" si="19"/>
        <v>482329288580.70001</v>
      </c>
      <c r="M439" s="4">
        <f t="shared" si="20"/>
        <v>0.66185768133648826</v>
      </c>
    </row>
    <row r="440" spans="1:13" x14ac:dyDescent="0.45">
      <c r="A440" s="2">
        <v>45300</v>
      </c>
      <c r="B440" s="3">
        <v>8049.7</v>
      </c>
      <c r="D440" s="2">
        <v>45300</v>
      </c>
      <c r="E440" s="3">
        <v>2018.95</v>
      </c>
      <c r="G440" s="3">
        <v>20240000</v>
      </c>
      <c r="H440" s="3">
        <f t="shared" si="18"/>
        <v>162925928000</v>
      </c>
      <c r="J440" s="3">
        <v>238782786</v>
      </c>
      <c r="K440" s="3">
        <f t="shared" si="19"/>
        <v>482090505794.70001</v>
      </c>
      <c r="M440" s="4">
        <f t="shared" si="20"/>
        <v>0.66204286116063327</v>
      </c>
    </row>
    <row r="441" spans="1:13" x14ac:dyDescent="0.45">
      <c r="A441" s="2">
        <v>45299</v>
      </c>
      <c r="B441" s="3">
        <v>8043.65</v>
      </c>
      <c r="D441" s="2">
        <v>45299</v>
      </c>
      <c r="E441" s="3">
        <v>2038.25</v>
      </c>
      <c r="G441" s="3">
        <v>20240000</v>
      </c>
      <c r="H441" s="3">
        <f t="shared" si="18"/>
        <v>162803476000</v>
      </c>
      <c r="J441" s="3">
        <v>238782786</v>
      </c>
      <c r="K441" s="3">
        <f t="shared" si="19"/>
        <v>486699013564.5</v>
      </c>
      <c r="M441" s="4">
        <f t="shared" si="20"/>
        <v>0.66549454290516163</v>
      </c>
    </row>
    <row r="442" spans="1:13" x14ac:dyDescent="0.45">
      <c r="A442" s="2">
        <v>45296</v>
      </c>
      <c r="B442" s="3">
        <v>8121.9</v>
      </c>
      <c r="D442" s="2">
        <v>45296</v>
      </c>
      <c r="E442" s="3">
        <v>1979.25</v>
      </c>
      <c r="G442" s="3">
        <v>20240000</v>
      </c>
      <c r="H442" s="3">
        <f t="shared" si="18"/>
        <v>164387256000</v>
      </c>
      <c r="J442" s="3">
        <v>238782786</v>
      </c>
      <c r="K442" s="3">
        <f t="shared" si="19"/>
        <v>472610829190.5</v>
      </c>
      <c r="M442" s="4">
        <f t="shared" si="20"/>
        <v>0.6521720497146315</v>
      </c>
    </row>
    <row r="443" spans="1:13" x14ac:dyDescent="0.45">
      <c r="A443" s="2">
        <v>45295</v>
      </c>
      <c r="B443" s="3">
        <v>8174.5</v>
      </c>
      <c r="D443" s="2">
        <v>45295</v>
      </c>
      <c r="E443" s="3">
        <v>1983</v>
      </c>
      <c r="G443" s="3">
        <v>20240000</v>
      </c>
      <c r="H443" s="3">
        <f t="shared" si="18"/>
        <v>165451880000</v>
      </c>
      <c r="J443" s="3">
        <v>238782786</v>
      </c>
      <c r="K443" s="3">
        <f t="shared" si="19"/>
        <v>473506264638</v>
      </c>
      <c r="M443" s="4">
        <f t="shared" si="20"/>
        <v>0.65058143396161916</v>
      </c>
    </row>
    <row r="444" spans="1:13" x14ac:dyDescent="0.45">
      <c r="A444" s="2">
        <v>45294</v>
      </c>
      <c r="B444" s="3">
        <v>8362.5</v>
      </c>
      <c r="D444" s="2">
        <v>45294</v>
      </c>
      <c r="E444" s="3">
        <v>1998.5</v>
      </c>
      <c r="G444" s="3">
        <v>20240000</v>
      </c>
      <c r="H444" s="3">
        <f t="shared" si="18"/>
        <v>169257000000</v>
      </c>
      <c r="J444" s="3">
        <v>238782786</v>
      </c>
      <c r="K444" s="3">
        <f t="shared" si="19"/>
        <v>477207397821</v>
      </c>
      <c r="M444" s="4">
        <f t="shared" si="20"/>
        <v>0.64531773653792324</v>
      </c>
    </row>
    <row r="445" spans="1:13" x14ac:dyDescent="0.45">
      <c r="A445" s="2">
        <v>45293</v>
      </c>
      <c r="B445" s="3">
        <v>8007.1</v>
      </c>
      <c r="D445" s="2">
        <v>45293</v>
      </c>
      <c r="E445" s="3">
        <v>1969.3</v>
      </c>
      <c r="G445" s="3">
        <v>20240000</v>
      </c>
      <c r="H445" s="3">
        <f t="shared" si="18"/>
        <v>162063704000</v>
      </c>
      <c r="J445" s="3">
        <v>238782786</v>
      </c>
      <c r="K445" s="3">
        <f t="shared" si="19"/>
        <v>470234940469.79999</v>
      </c>
      <c r="M445" s="4">
        <f t="shared" si="20"/>
        <v>0.65535588691455771</v>
      </c>
    </row>
    <row r="446" spans="1:13" x14ac:dyDescent="0.45">
      <c r="A446" s="2">
        <v>45292</v>
      </c>
      <c r="B446" s="3">
        <v>7954.9</v>
      </c>
      <c r="D446" s="2">
        <v>45292</v>
      </c>
      <c r="E446" s="3">
        <v>2019.3</v>
      </c>
      <c r="G446" s="3">
        <v>20240000</v>
      </c>
      <c r="H446" s="3">
        <f t="shared" si="18"/>
        <v>161007176000</v>
      </c>
      <c r="J446" s="3">
        <v>238782786</v>
      </c>
      <c r="K446" s="3">
        <f t="shared" si="19"/>
        <v>482174079769.79999</v>
      </c>
      <c r="M446" s="4">
        <f t="shared" si="20"/>
        <v>0.66608081447084788</v>
      </c>
    </row>
    <row r="447" spans="1:13" x14ac:dyDescent="0.45">
      <c r="A447" s="2">
        <v>45289</v>
      </c>
      <c r="B447" s="3">
        <v>7758.5</v>
      </c>
      <c r="D447" s="2">
        <v>45289</v>
      </c>
      <c r="E447" s="3">
        <v>2024.85</v>
      </c>
      <c r="G447" s="3">
        <v>20240000</v>
      </c>
      <c r="H447" s="3">
        <f t="shared" si="18"/>
        <v>157032040000</v>
      </c>
      <c r="J447" s="3">
        <v>238782786</v>
      </c>
      <c r="K447" s="3">
        <f t="shared" si="19"/>
        <v>483499324232.09998</v>
      </c>
      <c r="M447" s="4">
        <f t="shared" si="20"/>
        <v>0.67521766395557981</v>
      </c>
    </row>
    <row r="448" spans="1:13" x14ac:dyDescent="0.45">
      <c r="A448" s="2">
        <v>45288</v>
      </c>
      <c r="B448" s="3">
        <v>7231.25</v>
      </c>
      <c r="D448" s="2">
        <v>45288</v>
      </c>
      <c r="E448" s="3">
        <v>2004.5</v>
      </c>
      <c r="G448" s="3">
        <v>20240000</v>
      </c>
      <c r="H448" s="3">
        <f t="shared" si="18"/>
        <v>146360500000</v>
      </c>
      <c r="J448" s="3">
        <v>238782786</v>
      </c>
      <c r="K448" s="3">
        <f t="shared" si="19"/>
        <v>478640094537</v>
      </c>
      <c r="M448" s="4">
        <f t="shared" si="20"/>
        <v>0.6942159637888714</v>
      </c>
    </row>
    <row r="449" spans="1:13" x14ac:dyDescent="0.45">
      <c r="A449" s="2">
        <v>45287</v>
      </c>
      <c r="B449" s="3">
        <v>7291.25</v>
      </c>
      <c r="D449" s="2">
        <v>45287</v>
      </c>
      <c r="E449" s="3">
        <v>2013.4</v>
      </c>
      <c r="G449" s="3">
        <v>20240000</v>
      </c>
      <c r="H449" s="3">
        <f t="shared" si="18"/>
        <v>147574900000</v>
      </c>
      <c r="J449" s="3">
        <v>238782786</v>
      </c>
      <c r="K449" s="3">
        <f t="shared" si="19"/>
        <v>480765261332.40002</v>
      </c>
      <c r="M449" s="4">
        <f t="shared" si="20"/>
        <v>0.69304167362049263</v>
      </c>
    </row>
    <row r="450" spans="1:13" x14ac:dyDescent="0.45">
      <c r="A450" s="2">
        <v>45286</v>
      </c>
      <c r="B450" s="3">
        <v>7323.35</v>
      </c>
      <c r="D450" s="2">
        <v>45286</v>
      </c>
      <c r="E450" s="3">
        <v>1996.6</v>
      </c>
      <c r="G450" s="3">
        <v>20240000</v>
      </c>
      <c r="H450" s="3">
        <f t="shared" si="18"/>
        <v>148224604000</v>
      </c>
      <c r="J450" s="3">
        <v>238782786</v>
      </c>
      <c r="K450" s="3">
        <f t="shared" si="19"/>
        <v>476753710527.59998</v>
      </c>
      <c r="M450" s="4">
        <f t="shared" si="20"/>
        <v>0.68909606631909148</v>
      </c>
    </row>
    <row r="451" spans="1:13" x14ac:dyDescent="0.45">
      <c r="A451" s="2">
        <v>45282</v>
      </c>
      <c r="B451" s="3">
        <v>7534.9</v>
      </c>
      <c r="D451" s="2">
        <v>45282</v>
      </c>
      <c r="E451" s="3">
        <v>1968.05</v>
      </c>
      <c r="G451" s="3">
        <v>20240000</v>
      </c>
      <c r="H451" s="3">
        <f t="shared" si="18"/>
        <v>152506376000</v>
      </c>
      <c r="J451" s="3">
        <v>238782786</v>
      </c>
      <c r="K451" s="3">
        <f t="shared" si="19"/>
        <v>469936461987.29999</v>
      </c>
      <c r="M451" s="4">
        <f t="shared" si="20"/>
        <v>0.67547447721960019</v>
      </c>
    </row>
    <row r="452" spans="1:13" x14ac:dyDescent="0.45">
      <c r="A452" s="2">
        <v>45281</v>
      </c>
      <c r="B452" s="3">
        <v>7871.15</v>
      </c>
      <c r="D452" s="2">
        <v>45281</v>
      </c>
      <c r="E452" s="3">
        <v>1945.45</v>
      </c>
      <c r="G452" s="3">
        <v>20240000</v>
      </c>
      <c r="H452" s="3">
        <f t="shared" ref="H452:H515" si="21">+G452*B452</f>
        <v>159312076000</v>
      </c>
      <c r="J452" s="3">
        <v>238782786</v>
      </c>
      <c r="K452" s="3">
        <f t="shared" ref="K452:K515" si="22">+J452*E452</f>
        <v>464539971023.70001</v>
      </c>
      <c r="M452" s="4">
        <f t="shared" ref="M452:M515" si="23">1- (H452/K452)</f>
        <v>0.65705410527122932</v>
      </c>
    </row>
    <row r="453" spans="1:13" x14ac:dyDescent="0.45">
      <c r="A453" s="2">
        <v>45280</v>
      </c>
      <c r="B453" s="3">
        <v>8036.5</v>
      </c>
      <c r="D453" s="2">
        <v>45280</v>
      </c>
      <c r="E453" s="3">
        <v>1948.2</v>
      </c>
      <c r="G453" s="3">
        <v>20240000</v>
      </c>
      <c r="H453" s="3">
        <f t="shared" si="21"/>
        <v>162658760000</v>
      </c>
      <c r="J453" s="3">
        <v>238782786</v>
      </c>
      <c r="K453" s="3">
        <f t="shared" si="22"/>
        <v>465196623685.20001</v>
      </c>
      <c r="M453" s="4">
        <f t="shared" si="23"/>
        <v>0.65034406588885374</v>
      </c>
    </row>
    <row r="454" spans="1:13" x14ac:dyDescent="0.45">
      <c r="A454" s="2">
        <v>45279</v>
      </c>
      <c r="B454" s="3">
        <v>8549.15</v>
      </c>
      <c r="D454" s="2">
        <v>45279</v>
      </c>
      <c r="E454" s="3">
        <v>1973.2</v>
      </c>
      <c r="G454" s="3">
        <v>20240000</v>
      </c>
      <c r="H454" s="3">
        <f t="shared" si="21"/>
        <v>173034796000</v>
      </c>
      <c r="J454" s="3">
        <v>238782786</v>
      </c>
      <c r="K454" s="3">
        <f t="shared" si="22"/>
        <v>471166193335.20001</v>
      </c>
      <c r="M454" s="4">
        <f t="shared" si="23"/>
        <v>0.63275209799082832</v>
      </c>
    </row>
    <row r="455" spans="1:13" x14ac:dyDescent="0.45">
      <c r="A455" s="2">
        <v>45278</v>
      </c>
      <c r="B455" s="3">
        <v>8657.25</v>
      </c>
      <c r="D455" s="2">
        <v>45278</v>
      </c>
      <c r="E455" s="3">
        <v>2000.05</v>
      </c>
      <c r="G455" s="3">
        <v>20240000</v>
      </c>
      <c r="H455" s="3">
        <f t="shared" si="21"/>
        <v>175222740000</v>
      </c>
      <c r="J455" s="3">
        <v>238782786</v>
      </c>
      <c r="K455" s="3">
        <f t="shared" si="22"/>
        <v>477577511139.29999</v>
      </c>
      <c r="M455" s="4">
        <f t="shared" si="23"/>
        <v>0.63310093982023585</v>
      </c>
    </row>
    <row r="456" spans="1:13" x14ac:dyDescent="0.45">
      <c r="A456" s="2">
        <v>45275</v>
      </c>
      <c r="B456" s="3">
        <v>8125.2</v>
      </c>
      <c r="D456" s="2">
        <v>45275</v>
      </c>
      <c r="E456" s="3">
        <v>2016.8</v>
      </c>
      <c r="G456" s="3">
        <v>20240000</v>
      </c>
      <c r="H456" s="3">
        <f t="shared" si="21"/>
        <v>164454048000</v>
      </c>
      <c r="J456" s="3">
        <v>238782786</v>
      </c>
      <c r="K456" s="3">
        <f t="shared" si="22"/>
        <v>481577122804.79999</v>
      </c>
      <c r="M456" s="4">
        <f t="shared" si="23"/>
        <v>0.65850942619078912</v>
      </c>
    </row>
    <row r="457" spans="1:13" x14ac:dyDescent="0.45">
      <c r="A457" s="2">
        <v>45274</v>
      </c>
      <c r="B457" s="3">
        <v>7925.5</v>
      </c>
      <c r="D457" s="2">
        <v>45274</v>
      </c>
      <c r="E457" s="3">
        <v>2048.65</v>
      </c>
      <c r="G457" s="3">
        <v>20240000</v>
      </c>
      <c r="H457" s="3">
        <f t="shared" si="21"/>
        <v>160412120000</v>
      </c>
      <c r="J457" s="3">
        <v>238782786</v>
      </c>
      <c r="K457" s="3">
        <f t="shared" si="22"/>
        <v>489182354538.90002</v>
      </c>
      <c r="M457" s="4">
        <f t="shared" si="23"/>
        <v>0.67208114006646169</v>
      </c>
    </row>
    <row r="458" spans="1:13" x14ac:dyDescent="0.45">
      <c r="A458" s="2">
        <v>45273</v>
      </c>
      <c r="B458" s="3">
        <v>7693.3</v>
      </c>
      <c r="D458" s="2">
        <v>45273</v>
      </c>
      <c r="E458" s="3">
        <v>2023.45</v>
      </c>
      <c r="G458" s="3">
        <v>20240000</v>
      </c>
      <c r="H458" s="3">
        <f t="shared" si="21"/>
        <v>155712392000</v>
      </c>
      <c r="J458" s="3">
        <v>238782786</v>
      </c>
      <c r="K458" s="3">
        <f t="shared" si="22"/>
        <v>483165028331.70001</v>
      </c>
      <c r="M458" s="4">
        <f t="shared" si="23"/>
        <v>0.67772420835660907</v>
      </c>
    </row>
    <row r="459" spans="1:13" x14ac:dyDescent="0.45">
      <c r="A459" s="2">
        <v>45272</v>
      </c>
      <c r="B459" s="3">
        <v>6930.95</v>
      </c>
      <c r="D459" s="2">
        <v>45272</v>
      </c>
      <c r="E459" s="3">
        <v>1939.05</v>
      </c>
      <c r="G459" s="3">
        <v>20240000</v>
      </c>
      <c r="H459" s="3">
        <f t="shared" si="21"/>
        <v>140282428000</v>
      </c>
      <c r="J459" s="3">
        <v>238782786</v>
      </c>
      <c r="K459" s="3">
        <f t="shared" si="22"/>
        <v>463011761193.29999</v>
      </c>
      <c r="M459" s="4">
        <f t="shared" si="23"/>
        <v>0.69702189067842202</v>
      </c>
    </row>
    <row r="460" spans="1:13" x14ac:dyDescent="0.45">
      <c r="A460" s="2">
        <v>45271</v>
      </c>
      <c r="B460" s="3">
        <v>6749.75</v>
      </c>
      <c r="D460" s="2">
        <v>45271</v>
      </c>
      <c r="E460" s="3">
        <v>1931.95</v>
      </c>
      <c r="G460" s="3">
        <v>20240000</v>
      </c>
      <c r="H460" s="3">
        <f t="shared" si="21"/>
        <v>136614940000</v>
      </c>
      <c r="J460" s="3">
        <v>238782786</v>
      </c>
      <c r="K460" s="3">
        <f t="shared" si="22"/>
        <v>461316403412.70001</v>
      </c>
      <c r="M460" s="4">
        <f t="shared" si="23"/>
        <v>0.70385848196734857</v>
      </c>
    </row>
    <row r="461" spans="1:13" x14ac:dyDescent="0.45">
      <c r="A461" s="2">
        <v>45268</v>
      </c>
      <c r="B461" s="3">
        <v>6635.15</v>
      </c>
      <c r="D461" s="2">
        <v>45268</v>
      </c>
      <c r="E461" s="3">
        <v>1902.7</v>
      </c>
      <c r="G461" s="3">
        <v>20240000</v>
      </c>
      <c r="H461" s="3">
        <f t="shared" si="21"/>
        <v>134295436000</v>
      </c>
      <c r="J461" s="3">
        <v>238782786</v>
      </c>
      <c r="K461" s="3">
        <f t="shared" si="22"/>
        <v>454332006922.20001</v>
      </c>
      <c r="M461" s="4">
        <f t="shared" si="23"/>
        <v>0.70441123681828388</v>
      </c>
    </row>
    <row r="462" spans="1:13" x14ac:dyDescent="0.45">
      <c r="A462" s="2">
        <v>45267</v>
      </c>
      <c r="B462" s="3">
        <v>6720.05</v>
      </c>
      <c r="D462" s="2">
        <v>45267</v>
      </c>
      <c r="E462" s="3">
        <v>1921.35</v>
      </c>
      <c r="G462" s="3">
        <v>20240000</v>
      </c>
      <c r="H462" s="3">
        <f t="shared" si="21"/>
        <v>136013812000</v>
      </c>
      <c r="J462" s="3">
        <v>238782786</v>
      </c>
      <c r="K462" s="3">
        <f t="shared" si="22"/>
        <v>458785305881.09998</v>
      </c>
      <c r="M462" s="4">
        <f t="shared" si="23"/>
        <v>0.70353494269223682</v>
      </c>
    </row>
    <row r="463" spans="1:13" x14ac:dyDescent="0.45">
      <c r="A463" s="2">
        <v>45266</v>
      </c>
      <c r="B463" s="3">
        <v>6631.55</v>
      </c>
      <c r="D463" s="2">
        <v>45266</v>
      </c>
      <c r="E463" s="3">
        <v>1889.2</v>
      </c>
      <c r="G463" s="3">
        <v>20240000</v>
      </c>
      <c r="H463" s="3">
        <f t="shared" si="21"/>
        <v>134222572000</v>
      </c>
      <c r="J463" s="3">
        <v>238782786</v>
      </c>
      <c r="K463" s="3">
        <f t="shared" si="22"/>
        <v>451108439311.20001</v>
      </c>
      <c r="M463" s="4">
        <f t="shared" si="23"/>
        <v>0.70246051657790931</v>
      </c>
    </row>
    <row r="464" spans="1:13" x14ac:dyDescent="0.45">
      <c r="A464" s="2">
        <v>45265</v>
      </c>
      <c r="B464" s="3">
        <v>6454.2</v>
      </c>
      <c r="D464" s="2">
        <v>45265</v>
      </c>
      <c r="E464" s="3">
        <v>1902.65</v>
      </c>
      <c r="G464" s="3">
        <v>20240000</v>
      </c>
      <c r="H464" s="3">
        <f t="shared" si="21"/>
        <v>130633008000</v>
      </c>
      <c r="J464" s="3">
        <v>238782786</v>
      </c>
      <c r="K464" s="3">
        <f t="shared" si="22"/>
        <v>454320067782.90002</v>
      </c>
      <c r="M464" s="4">
        <f t="shared" si="23"/>
        <v>0.71246480782261223</v>
      </c>
    </row>
    <row r="465" spans="1:13" x14ac:dyDescent="0.45">
      <c r="A465" s="2">
        <v>45264</v>
      </c>
      <c r="B465" s="1">
        <v>6096.9</v>
      </c>
      <c r="D465" s="2">
        <v>45264</v>
      </c>
      <c r="E465" s="3">
        <v>1904.25</v>
      </c>
      <c r="G465" s="3">
        <v>20240000</v>
      </c>
      <c r="H465" s="3">
        <f t="shared" si="21"/>
        <v>123401256000</v>
      </c>
      <c r="J465" s="3">
        <v>238782786</v>
      </c>
      <c r="K465" s="3">
        <f t="shared" si="22"/>
        <v>454702120240.5</v>
      </c>
      <c r="M465" s="4">
        <f t="shared" si="23"/>
        <v>0.72861077503942384</v>
      </c>
    </row>
    <row r="466" spans="1:13" x14ac:dyDescent="0.45">
      <c r="A466" s="2">
        <v>45261</v>
      </c>
      <c r="B466" s="3">
        <v>5993.85</v>
      </c>
      <c r="D466" s="2">
        <v>45261</v>
      </c>
      <c r="E466" s="3">
        <v>1909.45</v>
      </c>
      <c r="G466" s="3">
        <v>20240000</v>
      </c>
      <c r="H466" s="3">
        <f t="shared" si="21"/>
        <v>121315524000</v>
      </c>
      <c r="J466" s="3">
        <v>238782786</v>
      </c>
      <c r="K466" s="3">
        <f t="shared" si="22"/>
        <v>455943790727.70001</v>
      </c>
      <c r="M466" s="4">
        <f t="shared" si="23"/>
        <v>0.73392438614773814</v>
      </c>
    </row>
    <row r="467" spans="1:13" x14ac:dyDescent="0.45">
      <c r="A467" s="2">
        <v>45260</v>
      </c>
      <c r="B467" s="3">
        <v>6046</v>
      </c>
      <c r="D467" s="2">
        <v>45260</v>
      </c>
      <c r="E467" s="3">
        <v>1870.65</v>
      </c>
      <c r="G467" s="3">
        <v>20240000</v>
      </c>
      <c r="H467" s="3">
        <f t="shared" si="21"/>
        <v>122371040000</v>
      </c>
      <c r="J467" s="3">
        <v>238782786</v>
      </c>
      <c r="K467" s="3">
        <f t="shared" si="22"/>
        <v>446679018630.90002</v>
      </c>
      <c r="M467" s="4">
        <f t="shared" si="23"/>
        <v>0.72604256099810749</v>
      </c>
    </row>
    <row r="468" spans="1:13" x14ac:dyDescent="0.45">
      <c r="A468" s="2">
        <v>45259</v>
      </c>
      <c r="B468" s="3">
        <v>5786.2</v>
      </c>
      <c r="D468" s="2">
        <v>45259</v>
      </c>
      <c r="E468" s="3">
        <v>1862</v>
      </c>
      <c r="G468" s="3">
        <v>20240000</v>
      </c>
      <c r="H468" s="3">
        <f t="shared" si="21"/>
        <v>117112688000</v>
      </c>
      <c r="J468" s="3">
        <v>238782786</v>
      </c>
      <c r="K468" s="3">
        <f t="shared" si="22"/>
        <v>444613547532</v>
      </c>
      <c r="M468" s="4">
        <f t="shared" si="23"/>
        <v>0.73659667221100344</v>
      </c>
    </row>
    <row r="469" spans="1:13" x14ac:dyDescent="0.45">
      <c r="A469" s="2">
        <v>45258</v>
      </c>
      <c r="B469" s="3">
        <v>5695.55</v>
      </c>
      <c r="D469" s="2">
        <v>45258</v>
      </c>
      <c r="E469" s="3">
        <v>1824.8</v>
      </c>
      <c r="G469" s="3">
        <v>20240000</v>
      </c>
      <c r="H469" s="3">
        <f t="shared" si="21"/>
        <v>115277932000</v>
      </c>
      <c r="J469" s="3">
        <v>238782786</v>
      </c>
      <c r="K469" s="3">
        <f t="shared" si="22"/>
        <v>435730827892.79999</v>
      </c>
      <c r="M469" s="4">
        <f t="shared" si="23"/>
        <v>0.73543774132877959</v>
      </c>
    </row>
    <row r="470" spans="1:13" x14ac:dyDescent="0.45">
      <c r="A470" s="2">
        <v>45254</v>
      </c>
      <c r="B470" s="3">
        <v>5685.6</v>
      </c>
      <c r="D470" s="2">
        <v>45254</v>
      </c>
      <c r="E470" s="3">
        <v>1800.25</v>
      </c>
      <c r="G470" s="3">
        <v>20240000</v>
      </c>
      <c r="H470" s="3">
        <f t="shared" si="21"/>
        <v>115076544000</v>
      </c>
      <c r="J470" s="3">
        <v>238782786</v>
      </c>
      <c r="K470" s="3">
        <f t="shared" si="22"/>
        <v>429868710496.5</v>
      </c>
      <c r="M470" s="4">
        <f t="shared" si="23"/>
        <v>0.7322983943932877</v>
      </c>
    </row>
    <row r="471" spans="1:13" x14ac:dyDescent="0.45">
      <c r="A471" s="2">
        <v>45253</v>
      </c>
      <c r="B471" s="3">
        <v>5626.25</v>
      </c>
      <c r="D471" s="2">
        <v>45253</v>
      </c>
      <c r="E471" s="3">
        <v>1775.65</v>
      </c>
      <c r="G471" s="3">
        <v>20240000</v>
      </c>
      <c r="H471" s="3">
        <f t="shared" si="21"/>
        <v>113875300000</v>
      </c>
      <c r="J471" s="3">
        <v>238782786</v>
      </c>
      <c r="K471" s="3">
        <f t="shared" si="22"/>
        <v>423994653960.90002</v>
      </c>
      <c r="M471" s="4">
        <f t="shared" si="23"/>
        <v>0.73142279286733325</v>
      </c>
    </row>
    <row r="472" spans="1:13" x14ac:dyDescent="0.45">
      <c r="A472" s="2">
        <v>45252</v>
      </c>
      <c r="B472" s="3">
        <v>5514.95</v>
      </c>
      <c r="D472" s="2">
        <v>45252</v>
      </c>
      <c r="E472" s="3">
        <v>1738.25</v>
      </c>
      <c r="G472" s="3">
        <v>20240000</v>
      </c>
      <c r="H472" s="3">
        <f t="shared" si="21"/>
        <v>111622588000</v>
      </c>
      <c r="J472" s="3">
        <v>238782786</v>
      </c>
      <c r="K472" s="3">
        <f t="shared" si="22"/>
        <v>415064177764.5</v>
      </c>
      <c r="M472" s="4">
        <f t="shared" si="23"/>
        <v>0.73107149694008844</v>
      </c>
    </row>
    <row r="473" spans="1:13" x14ac:dyDescent="0.45">
      <c r="A473" s="2">
        <v>45251</v>
      </c>
      <c r="B473" s="3">
        <v>5525.3</v>
      </c>
      <c r="D473" s="2">
        <v>45251</v>
      </c>
      <c r="E473" s="3">
        <v>1724.5</v>
      </c>
      <c r="G473" s="3">
        <v>20240000</v>
      </c>
      <c r="H473" s="3">
        <f t="shared" si="21"/>
        <v>111832072000</v>
      </c>
      <c r="J473" s="3">
        <v>238782786</v>
      </c>
      <c r="K473" s="3">
        <f t="shared" si="22"/>
        <v>411780914457</v>
      </c>
      <c r="M473" s="4">
        <f t="shared" si="23"/>
        <v>0.7284185155898526</v>
      </c>
    </row>
    <row r="474" spans="1:13" x14ac:dyDescent="0.45">
      <c r="A474" s="2">
        <v>45250</v>
      </c>
      <c r="B474" s="3">
        <v>5565.3</v>
      </c>
      <c r="D474" s="2">
        <v>45250</v>
      </c>
      <c r="E474" s="3">
        <v>1719.5</v>
      </c>
      <c r="G474" s="3">
        <v>20240000</v>
      </c>
      <c r="H474" s="3">
        <f t="shared" si="21"/>
        <v>112641672000</v>
      </c>
      <c r="J474" s="3">
        <v>238782786</v>
      </c>
      <c r="K474" s="3">
        <f t="shared" si="22"/>
        <v>410587000527</v>
      </c>
      <c r="M474" s="4">
        <f t="shared" si="23"/>
        <v>0.725656993876033</v>
      </c>
    </row>
    <row r="475" spans="1:13" x14ac:dyDescent="0.45">
      <c r="A475" s="2">
        <v>45247</v>
      </c>
      <c r="B475" s="3">
        <v>5607</v>
      </c>
      <c r="D475" s="2">
        <v>45247</v>
      </c>
      <c r="E475" s="3">
        <v>1747.6</v>
      </c>
      <c r="G475" s="3">
        <v>20240000</v>
      </c>
      <c r="H475" s="3">
        <f t="shared" si="21"/>
        <v>113485680000</v>
      </c>
      <c r="J475" s="3">
        <v>238782786</v>
      </c>
      <c r="K475" s="3">
        <f t="shared" si="22"/>
        <v>417296796813.59998</v>
      </c>
      <c r="M475" s="4">
        <f t="shared" si="23"/>
        <v>0.72804564792599569</v>
      </c>
    </row>
    <row r="476" spans="1:13" x14ac:dyDescent="0.45">
      <c r="A476" s="2">
        <v>45246</v>
      </c>
      <c r="B476" s="3">
        <v>5476.9</v>
      </c>
      <c r="D476" s="2">
        <v>45246</v>
      </c>
      <c r="E476" s="3">
        <v>1684.1</v>
      </c>
      <c r="G476" s="3">
        <v>20240000</v>
      </c>
      <c r="H476" s="3">
        <f t="shared" si="21"/>
        <v>110852456000</v>
      </c>
      <c r="J476" s="3">
        <v>238782786</v>
      </c>
      <c r="K476" s="3">
        <f t="shared" si="22"/>
        <v>402134089902.59998</v>
      </c>
      <c r="M476" s="4">
        <f t="shared" si="23"/>
        <v>0.72433957034866325</v>
      </c>
    </row>
    <row r="477" spans="1:13" x14ac:dyDescent="0.45">
      <c r="A477" s="2">
        <v>45245</v>
      </c>
      <c r="B477" s="3">
        <v>5583</v>
      </c>
      <c r="D477" s="2">
        <v>45245</v>
      </c>
      <c r="E477" s="3">
        <v>1672.8</v>
      </c>
      <c r="G477" s="3">
        <v>20240000</v>
      </c>
      <c r="H477" s="3">
        <f t="shared" si="21"/>
        <v>112999920000</v>
      </c>
      <c r="J477" s="3">
        <v>238782786</v>
      </c>
      <c r="K477" s="3">
        <f t="shared" si="22"/>
        <v>399435844420.79999</v>
      </c>
      <c r="M477" s="4">
        <f t="shared" si="23"/>
        <v>0.71710120266283317</v>
      </c>
    </row>
    <row r="478" spans="1:13" x14ac:dyDescent="0.45">
      <c r="A478" s="2">
        <v>45243</v>
      </c>
      <c r="B478" s="3">
        <v>5599</v>
      </c>
      <c r="D478" s="2">
        <v>45243</v>
      </c>
      <c r="E478" s="3">
        <v>1647.15</v>
      </c>
      <c r="G478" s="3">
        <v>20240000</v>
      </c>
      <c r="H478" s="3">
        <f t="shared" si="21"/>
        <v>113323760000</v>
      </c>
      <c r="J478" s="3">
        <v>238782786</v>
      </c>
      <c r="K478" s="3">
        <f t="shared" si="22"/>
        <v>393311065959.90002</v>
      </c>
      <c r="M478" s="4">
        <f t="shared" si="23"/>
        <v>0.71187243429465596</v>
      </c>
    </row>
    <row r="479" spans="1:13" x14ac:dyDescent="0.45">
      <c r="A479" s="2">
        <v>45242</v>
      </c>
      <c r="B479" s="3">
        <v>5685.2</v>
      </c>
      <c r="D479" s="2">
        <v>45242</v>
      </c>
      <c r="E479" s="3">
        <v>1649.8</v>
      </c>
      <c r="G479" s="3">
        <v>20240000</v>
      </c>
      <c r="H479" s="3">
        <f t="shared" si="21"/>
        <v>115068448000</v>
      </c>
      <c r="J479" s="3">
        <v>238782786</v>
      </c>
      <c r="K479" s="3">
        <f t="shared" si="22"/>
        <v>393943840342.79999</v>
      </c>
      <c r="M479" s="4">
        <f t="shared" si="23"/>
        <v>0.7079064673282609</v>
      </c>
    </row>
    <row r="480" spans="1:13" x14ac:dyDescent="0.45">
      <c r="A480" s="2">
        <v>45240</v>
      </c>
      <c r="B480" s="3">
        <v>5690.3</v>
      </c>
      <c r="D480" s="2">
        <v>45240</v>
      </c>
      <c r="E480" s="3">
        <v>1632.75</v>
      </c>
      <c r="G480" s="3">
        <v>20240000</v>
      </c>
      <c r="H480" s="3">
        <f t="shared" si="21"/>
        <v>115171672000</v>
      </c>
      <c r="J480" s="3">
        <v>238782786</v>
      </c>
      <c r="K480" s="3">
        <f t="shared" si="22"/>
        <v>389872593841.5</v>
      </c>
      <c r="M480" s="4">
        <f t="shared" si="23"/>
        <v>0.70459151574316037</v>
      </c>
    </row>
    <row r="481" spans="1:13" x14ac:dyDescent="0.45">
      <c r="A481" s="2">
        <v>45239</v>
      </c>
      <c r="B481" s="3">
        <v>5611.1</v>
      </c>
      <c r="D481" s="2">
        <v>45239</v>
      </c>
      <c r="E481" s="3">
        <v>1647.35</v>
      </c>
      <c r="G481" s="3">
        <v>20240000</v>
      </c>
      <c r="H481" s="3">
        <f t="shared" si="21"/>
        <v>113568664000</v>
      </c>
      <c r="J481" s="3">
        <v>238782786</v>
      </c>
      <c r="K481" s="3">
        <f t="shared" si="22"/>
        <v>393358822517.09998</v>
      </c>
      <c r="M481" s="4">
        <f t="shared" si="23"/>
        <v>0.71128481808727462</v>
      </c>
    </row>
    <row r="482" spans="1:13" x14ac:dyDescent="0.45">
      <c r="A482" s="2">
        <v>45238</v>
      </c>
      <c r="B482" s="3">
        <v>5575.75</v>
      </c>
      <c r="D482" s="2">
        <v>45238</v>
      </c>
      <c r="E482" s="3">
        <v>1646.8</v>
      </c>
      <c r="G482" s="3">
        <v>20240000</v>
      </c>
      <c r="H482" s="3">
        <f t="shared" si="21"/>
        <v>112853180000</v>
      </c>
      <c r="J482" s="3">
        <v>238782786</v>
      </c>
      <c r="K482" s="3">
        <f t="shared" si="22"/>
        <v>393227491984.79999</v>
      </c>
      <c r="M482" s="4">
        <f t="shared" si="23"/>
        <v>0.71300790941554437</v>
      </c>
    </row>
    <row r="483" spans="1:13" x14ac:dyDescent="0.45">
      <c r="A483" s="2">
        <v>45237</v>
      </c>
      <c r="B483" s="3">
        <v>5433.2</v>
      </c>
      <c r="D483" s="2">
        <v>45237</v>
      </c>
      <c r="E483" s="3">
        <v>1610.05</v>
      </c>
      <c r="G483" s="3">
        <v>20240000</v>
      </c>
      <c r="H483" s="3">
        <f t="shared" si="21"/>
        <v>109967968000</v>
      </c>
      <c r="J483" s="3">
        <v>238782786</v>
      </c>
      <c r="K483" s="3">
        <f t="shared" si="22"/>
        <v>384452224599.29999</v>
      </c>
      <c r="M483" s="4">
        <f t="shared" si="23"/>
        <v>0.71396194126691437</v>
      </c>
    </row>
    <row r="484" spans="1:13" x14ac:dyDescent="0.45">
      <c r="A484" s="2">
        <v>45236</v>
      </c>
      <c r="B484" s="3">
        <v>5445.5</v>
      </c>
      <c r="D484" s="2">
        <v>45236</v>
      </c>
      <c r="E484" s="3">
        <v>1614.8</v>
      </c>
      <c r="G484" s="3">
        <v>20240000</v>
      </c>
      <c r="H484" s="3">
        <f t="shared" si="21"/>
        <v>110216920000</v>
      </c>
      <c r="J484" s="3">
        <v>238782786</v>
      </c>
      <c r="K484" s="3">
        <f t="shared" si="22"/>
        <v>385586442832.79999</v>
      </c>
      <c r="M484" s="4">
        <f t="shared" si="23"/>
        <v>0.71415768876554397</v>
      </c>
    </row>
    <row r="485" spans="1:13" x14ac:dyDescent="0.45">
      <c r="A485" s="2">
        <v>45233</v>
      </c>
      <c r="B485" s="3">
        <v>5451.1</v>
      </c>
      <c r="D485" s="2">
        <v>45233</v>
      </c>
      <c r="E485" s="3">
        <v>1599.45</v>
      </c>
      <c r="G485" s="3">
        <v>20240000</v>
      </c>
      <c r="H485" s="3">
        <f t="shared" si="21"/>
        <v>110330264000</v>
      </c>
      <c r="J485" s="3">
        <v>238782786</v>
      </c>
      <c r="K485" s="3">
        <f t="shared" si="22"/>
        <v>381921127067.70001</v>
      </c>
      <c r="M485" s="4">
        <f t="shared" si="23"/>
        <v>0.7111176727847196</v>
      </c>
    </row>
    <row r="486" spans="1:13" x14ac:dyDescent="0.45">
      <c r="A486" s="2">
        <v>45232</v>
      </c>
      <c r="B486" s="3">
        <v>5445.15</v>
      </c>
      <c r="D486" s="2">
        <v>45232</v>
      </c>
      <c r="E486" s="3">
        <v>1569.2</v>
      </c>
      <c r="G486" s="3">
        <v>20240000</v>
      </c>
      <c r="H486" s="3">
        <f t="shared" si="21"/>
        <v>110209836000</v>
      </c>
      <c r="J486" s="3">
        <v>238782786</v>
      </c>
      <c r="K486" s="3">
        <f t="shared" si="22"/>
        <v>374697947791.20001</v>
      </c>
      <c r="M486" s="4">
        <f t="shared" si="23"/>
        <v>0.7058701905103193</v>
      </c>
    </row>
    <row r="487" spans="1:13" x14ac:dyDescent="0.45">
      <c r="A487" s="2">
        <v>45231</v>
      </c>
      <c r="B487" s="3">
        <v>5434.3</v>
      </c>
      <c r="D487" s="2">
        <v>45231</v>
      </c>
      <c r="E487" s="3">
        <v>1559.8</v>
      </c>
      <c r="G487" s="3">
        <v>20240000</v>
      </c>
      <c r="H487" s="3">
        <f t="shared" si="21"/>
        <v>109990232000</v>
      </c>
      <c r="J487" s="3">
        <v>238782786</v>
      </c>
      <c r="K487" s="3">
        <f t="shared" si="22"/>
        <v>372453389602.79999</v>
      </c>
      <c r="M487" s="4">
        <f t="shared" si="23"/>
        <v>0.70468725733091531</v>
      </c>
    </row>
    <row r="488" spans="1:13" x14ac:dyDescent="0.45">
      <c r="A488" s="2">
        <v>45230</v>
      </c>
      <c r="B488" s="3">
        <v>5422.05</v>
      </c>
      <c r="D488" s="2">
        <v>45230</v>
      </c>
      <c r="E488" s="3">
        <v>1590.75</v>
      </c>
      <c r="G488" s="3">
        <v>20240000</v>
      </c>
      <c r="H488" s="3">
        <f t="shared" si="21"/>
        <v>109742292000</v>
      </c>
      <c r="J488" s="3">
        <v>238782786</v>
      </c>
      <c r="K488" s="3">
        <f t="shared" si="22"/>
        <v>379843716829.5</v>
      </c>
      <c r="M488" s="4">
        <f t="shared" si="23"/>
        <v>0.71108567250762267</v>
      </c>
    </row>
    <row r="489" spans="1:13" x14ac:dyDescent="0.45">
      <c r="A489" s="2">
        <v>45229</v>
      </c>
      <c r="B489" s="3">
        <v>5408.45</v>
      </c>
      <c r="D489" s="2">
        <v>45229</v>
      </c>
      <c r="E489" s="3">
        <v>1609.7</v>
      </c>
      <c r="G489" s="3">
        <v>20240000</v>
      </c>
      <c r="H489" s="3">
        <f t="shared" si="21"/>
        <v>109467028000</v>
      </c>
      <c r="J489" s="3">
        <v>238782786</v>
      </c>
      <c r="K489" s="3">
        <f t="shared" si="22"/>
        <v>384368650624.20001</v>
      </c>
      <c r="M489" s="4">
        <f t="shared" si="23"/>
        <v>0.71520302755641041</v>
      </c>
    </row>
    <row r="490" spans="1:13" x14ac:dyDescent="0.45">
      <c r="A490" s="2">
        <v>45226</v>
      </c>
      <c r="B490" s="3">
        <v>5335.5</v>
      </c>
      <c r="D490" s="2">
        <v>45226</v>
      </c>
      <c r="E490" s="3">
        <v>1593.25</v>
      </c>
      <c r="G490" s="3">
        <v>20240000</v>
      </c>
      <c r="H490" s="3">
        <f t="shared" si="21"/>
        <v>107990520000</v>
      </c>
      <c r="J490" s="3">
        <v>238782786</v>
      </c>
      <c r="K490" s="3">
        <f t="shared" si="22"/>
        <v>380440673794.5</v>
      </c>
      <c r="M490" s="4">
        <f t="shared" si="23"/>
        <v>0.71614360020208434</v>
      </c>
    </row>
    <row r="491" spans="1:13" x14ac:dyDescent="0.45">
      <c r="A491" s="2">
        <v>45225</v>
      </c>
      <c r="B491" s="3">
        <v>5299.4</v>
      </c>
      <c r="D491" s="2">
        <v>45225</v>
      </c>
      <c r="E491" s="3">
        <v>1576.85</v>
      </c>
      <c r="G491" s="3">
        <v>20240000</v>
      </c>
      <c r="H491" s="3">
        <f t="shared" si="21"/>
        <v>107259856000</v>
      </c>
      <c r="J491" s="3">
        <v>238782786</v>
      </c>
      <c r="K491" s="3">
        <f t="shared" si="22"/>
        <v>376524636104.09998</v>
      </c>
      <c r="M491" s="4">
        <f t="shared" si="23"/>
        <v>0.71513190448885999</v>
      </c>
    </row>
    <row r="492" spans="1:13" x14ac:dyDescent="0.45">
      <c r="A492" s="2">
        <v>45224</v>
      </c>
      <c r="B492" s="3">
        <v>5332.2</v>
      </c>
      <c r="D492" s="2">
        <v>45224</v>
      </c>
      <c r="E492" s="3">
        <v>1576.15</v>
      </c>
      <c r="G492" s="3">
        <v>20240000</v>
      </c>
      <c r="H492" s="3">
        <f t="shared" si="21"/>
        <v>107923728000</v>
      </c>
      <c r="J492" s="3">
        <v>238782786</v>
      </c>
      <c r="K492" s="3">
        <f t="shared" si="22"/>
        <v>376357488153.90002</v>
      </c>
      <c r="M492" s="4">
        <f t="shared" si="23"/>
        <v>0.71324144889640717</v>
      </c>
    </row>
    <row r="493" spans="1:13" x14ac:dyDescent="0.45">
      <c r="A493" s="2">
        <v>45222</v>
      </c>
      <c r="B493" s="3">
        <v>5406.95</v>
      </c>
      <c r="D493" s="2">
        <v>45222</v>
      </c>
      <c r="E493" s="3">
        <v>1585.5</v>
      </c>
      <c r="G493" s="3">
        <v>20240000</v>
      </c>
      <c r="H493" s="3">
        <f t="shared" si="21"/>
        <v>109436668000</v>
      </c>
      <c r="J493" s="3">
        <v>238782786</v>
      </c>
      <c r="K493" s="3">
        <f t="shared" si="22"/>
        <v>378590107203</v>
      </c>
      <c r="M493" s="4">
        <f t="shared" si="23"/>
        <v>0.71093627139781534</v>
      </c>
    </row>
    <row r="494" spans="1:13" x14ac:dyDescent="0.45">
      <c r="A494" s="2">
        <v>45219</v>
      </c>
      <c r="B494" s="3">
        <v>5511.55</v>
      </c>
      <c r="D494" s="2">
        <v>45219</v>
      </c>
      <c r="E494" s="3">
        <v>1597.65</v>
      </c>
      <c r="G494" s="3">
        <v>20240000</v>
      </c>
      <c r="H494" s="3">
        <f t="shared" si="21"/>
        <v>111553772000</v>
      </c>
      <c r="J494" s="3">
        <v>238782786</v>
      </c>
      <c r="K494" s="3">
        <f t="shared" si="22"/>
        <v>381491318052.90002</v>
      </c>
      <c r="M494" s="4">
        <f t="shared" si="23"/>
        <v>0.7075850308485101</v>
      </c>
    </row>
    <row r="495" spans="1:13" x14ac:dyDescent="0.45">
      <c r="A495" s="2">
        <v>45218</v>
      </c>
      <c r="B495" s="3">
        <v>5555.85</v>
      </c>
      <c r="D495" s="2">
        <v>45218</v>
      </c>
      <c r="E495" s="3">
        <v>1598.6</v>
      </c>
      <c r="G495" s="3">
        <v>20240000</v>
      </c>
      <c r="H495" s="3">
        <f t="shared" si="21"/>
        <v>112450404000</v>
      </c>
      <c r="J495" s="3">
        <v>238782786</v>
      </c>
      <c r="K495" s="3">
        <f t="shared" si="22"/>
        <v>381718161699.59998</v>
      </c>
      <c r="M495" s="4">
        <f t="shared" si="23"/>
        <v>0.7054098670618274</v>
      </c>
    </row>
    <row r="496" spans="1:13" x14ac:dyDescent="0.45">
      <c r="A496" s="2">
        <v>45217</v>
      </c>
      <c r="B496" s="3">
        <v>5561.4</v>
      </c>
      <c r="D496" s="2">
        <v>45217</v>
      </c>
      <c r="E496" s="3">
        <v>1598.85</v>
      </c>
      <c r="G496" s="3">
        <v>20240000</v>
      </c>
      <c r="H496" s="3">
        <f t="shared" si="21"/>
        <v>112562736000</v>
      </c>
      <c r="J496" s="3">
        <v>238782786</v>
      </c>
      <c r="K496" s="3">
        <f t="shared" si="22"/>
        <v>381777857396.09998</v>
      </c>
      <c r="M496" s="4">
        <f t="shared" si="23"/>
        <v>0.70516169594609424</v>
      </c>
    </row>
    <row r="497" spans="1:13" x14ac:dyDescent="0.45">
      <c r="A497" s="2">
        <v>45216</v>
      </c>
      <c r="B497" s="3">
        <v>5688.45</v>
      </c>
      <c r="D497" s="2">
        <v>45216</v>
      </c>
      <c r="E497" s="3">
        <v>1609.75</v>
      </c>
      <c r="G497" s="3">
        <v>20240000</v>
      </c>
      <c r="H497" s="3">
        <f t="shared" si="21"/>
        <v>115134228000</v>
      </c>
      <c r="J497" s="3">
        <v>238782786</v>
      </c>
      <c r="K497" s="3">
        <f t="shared" si="22"/>
        <v>384380589763.5</v>
      </c>
      <c r="M497" s="4">
        <f t="shared" si="23"/>
        <v>0.70046815300731158</v>
      </c>
    </row>
    <row r="498" spans="1:13" x14ac:dyDescent="0.45">
      <c r="A498" s="2">
        <v>45215</v>
      </c>
      <c r="B498" s="3">
        <v>5602.4</v>
      </c>
      <c r="D498" s="2">
        <v>45215</v>
      </c>
      <c r="E498" s="3">
        <v>1601.65</v>
      </c>
      <c r="G498" s="3">
        <v>20240000</v>
      </c>
      <c r="H498" s="3">
        <f t="shared" si="21"/>
        <v>113392576000</v>
      </c>
      <c r="J498" s="3">
        <v>238782786</v>
      </c>
      <c r="K498" s="3">
        <f t="shared" si="22"/>
        <v>382446449196.90002</v>
      </c>
      <c r="M498" s="4">
        <f t="shared" si="23"/>
        <v>0.70350731131609856</v>
      </c>
    </row>
    <row r="499" spans="1:13" x14ac:dyDescent="0.45">
      <c r="A499" s="2">
        <v>45212</v>
      </c>
      <c r="B499" s="3">
        <v>5540.75</v>
      </c>
      <c r="D499" s="2">
        <v>45212</v>
      </c>
      <c r="E499" s="3">
        <v>1601.35</v>
      </c>
      <c r="G499" s="3">
        <v>20240000</v>
      </c>
      <c r="H499" s="3">
        <f t="shared" si="21"/>
        <v>112144780000</v>
      </c>
      <c r="J499" s="3">
        <v>238782786</v>
      </c>
      <c r="K499" s="3">
        <f t="shared" si="22"/>
        <v>382374814361.09998</v>
      </c>
      <c r="M499" s="4">
        <f t="shared" si="23"/>
        <v>0.70671504558327203</v>
      </c>
    </row>
    <row r="500" spans="1:13" x14ac:dyDescent="0.45">
      <c r="A500" s="2">
        <v>45211</v>
      </c>
      <c r="B500" s="3">
        <v>5522.95</v>
      </c>
      <c r="D500" s="2">
        <v>45211</v>
      </c>
      <c r="E500" s="3">
        <v>1596.65</v>
      </c>
      <c r="G500" s="3">
        <v>20240000</v>
      </c>
      <c r="H500" s="3">
        <f t="shared" si="21"/>
        <v>111784508000</v>
      </c>
      <c r="J500" s="3">
        <v>238782786</v>
      </c>
      <c r="K500" s="3">
        <f t="shared" si="22"/>
        <v>381252535266.90002</v>
      </c>
      <c r="M500" s="4">
        <f t="shared" si="23"/>
        <v>0.70679668288174391</v>
      </c>
    </row>
    <row r="501" spans="1:13" x14ac:dyDescent="0.45">
      <c r="A501" s="2">
        <v>45210</v>
      </c>
      <c r="B501" s="3">
        <v>5511.2</v>
      </c>
      <c r="D501" s="2">
        <v>45210</v>
      </c>
      <c r="E501" s="3">
        <v>1550.35</v>
      </c>
      <c r="G501" s="3">
        <v>20240000</v>
      </c>
      <c r="H501" s="3">
        <f t="shared" si="21"/>
        <v>111546688000</v>
      </c>
      <c r="J501" s="3">
        <v>238782786</v>
      </c>
      <c r="K501" s="3">
        <f t="shared" si="22"/>
        <v>370196892275.09998</v>
      </c>
      <c r="M501" s="4">
        <f t="shared" si="23"/>
        <v>0.69868280818222628</v>
      </c>
    </row>
    <row r="502" spans="1:13" x14ac:dyDescent="0.45">
      <c r="A502" s="2">
        <v>45209</v>
      </c>
      <c r="B502" s="3">
        <v>5452.7</v>
      </c>
      <c r="D502" s="2">
        <v>45209</v>
      </c>
      <c r="E502" s="3">
        <v>1527.8</v>
      </c>
      <c r="G502" s="3">
        <v>20240000</v>
      </c>
      <c r="H502" s="3">
        <f t="shared" si="21"/>
        <v>110362648000</v>
      </c>
      <c r="J502" s="3">
        <v>238782786</v>
      </c>
      <c r="K502" s="3">
        <f t="shared" si="22"/>
        <v>364812340450.79999</v>
      </c>
      <c r="M502" s="4">
        <f t="shared" si="23"/>
        <v>0.6974810450117328</v>
      </c>
    </row>
    <row r="503" spans="1:13" x14ac:dyDescent="0.45">
      <c r="A503" s="2">
        <v>45208</v>
      </c>
      <c r="B503" s="3">
        <v>5500.25</v>
      </c>
      <c r="D503" s="2">
        <v>45208</v>
      </c>
      <c r="E503" s="3">
        <v>1522.25</v>
      </c>
      <c r="G503" s="3">
        <v>20240000</v>
      </c>
      <c r="H503" s="3">
        <f t="shared" si="21"/>
        <v>111325060000</v>
      </c>
      <c r="J503" s="3">
        <v>238782786</v>
      </c>
      <c r="K503" s="3">
        <f t="shared" si="22"/>
        <v>363487095988.5</v>
      </c>
      <c r="M503" s="4">
        <f t="shared" si="23"/>
        <v>0.69373036559316503</v>
      </c>
    </row>
    <row r="504" spans="1:13" x14ac:dyDescent="0.45">
      <c r="A504" s="2">
        <v>45205</v>
      </c>
      <c r="B504" s="3">
        <v>5480.2</v>
      </c>
      <c r="D504" s="2">
        <v>45205</v>
      </c>
      <c r="E504" s="3">
        <v>1501.35</v>
      </c>
      <c r="G504" s="3">
        <v>20240000</v>
      </c>
      <c r="H504" s="3">
        <f t="shared" si="21"/>
        <v>110919248000</v>
      </c>
      <c r="J504" s="3">
        <v>238782786</v>
      </c>
      <c r="K504" s="3">
        <f t="shared" si="22"/>
        <v>358496535761.09998</v>
      </c>
      <c r="M504" s="4">
        <f t="shared" si="23"/>
        <v>0.69059882889937896</v>
      </c>
    </row>
    <row r="505" spans="1:13" x14ac:dyDescent="0.45">
      <c r="A505" s="2">
        <v>45204</v>
      </c>
      <c r="B505" s="3">
        <v>5435</v>
      </c>
      <c r="D505" s="2">
        <v>45204</v>
      </c>
      <c r="E505" s="3">
        <v>1497.65</v>
      </c>
      <c r="G505" s="3">
        <v>20240000</v>
      </c>
      <c r="H505" s="3">
        <f t="shared" si="21"/>
        <v>110004400000</v>
      </c>
      <c r="J505" s="3">
        <v>238782786</v>
      </c>
      <c r="K505" s="3">
        <f t="shared" si="22"/>
        <v>357613039452.90002</v>
      </c>
      <c r="M505" s="4">
        <f t="shared" si="23"/>
        <v>0.6923926482985856</v>
      </c>
    </row>
    <row r="506" spans="1:13" x14ac:dyDescent="0.45">
      <c r="A506" s="2">
        <v>45203</v>
      </c>
      <c r="B506" s="3">
        <v>5336</v>
      </c>
      <c r="D506" s="2">
        <v>45203</v>
      </c>
      <c r="E506" s="3">
        <v>1496.55</v>
      </c>
      <c r="G506" s="3">
        <v>20240000</v>
      </c>
      <c r="H506" s="3">
        <f t="shared" si="21"/>
        <v>108000640000</v>
      </c>
      <c r="J506" s="3">
        <v>238782786</v>
      </c>
      <c r="K506" s="3">
        <f t="shared" si="22"/>
        <v>357350378388.29999</v>
      </c>
      <c r="M506" s="4">
        <f t="shared" si="23"/>
        <v>0.69777381938953598</v>
      </c>
    </row>
    <row r="507" spans="1:13" x14ac:dyDescent="0.45">
      <c r="A507" s="2">
        <v>45202</v>
      </c>
      <c r="B507" s="3">
        <v>5418.7</v>
      </c>
      <c r="D507" s="2">
        <v>45202</v>
      </c>
      <c r="E507" s="3">
        <v>1529.95</v>
      </c>
      <c r="G507" s="3">
        <v>20240000</v>
      </c>
      <c r="H507" s="3">
        <f t="shared" si="21"/>
        <v>109674488000</v>
      </c>
      <c r="J507" s="3">
        <v>238782786</v>
      </c>
      <c r="K507" s="3">
        <f t="shared" si="22"/>
        <v>365325723440.70001</v>
      </c>
      <c r="M507" s="4">
        <f t="shared" si="23"/>
        <v>0.69978985611232913</v>
      </c>
    </row>
    <row r="508" spans="1:13" x14ac:dyDescent="0.45">
      <c r="A508" s="2">
        <v>45198</v>
      </c>
      <c r="B508" s="3">
        <v>5452.8</v>
      </c>
      <c r="D508" s="2">
        <v>45198</v>
      </c>
      <c r="E508" s="3">
        <v>1523</v>
      </c>
      <c r="G508" s="3">
        <v>20240000</v>
      </c>
      <c r="H508" s="3">
        <f t="shared" si="21"/>
        <v>110364672000</v>
      </c>
      <c r="J508" s="3">
        <v>238782786</v>
      </c>
      <c r="K508" s="3">
        <f t="shared" si="22"/>
        <v>363666183078</v>
      </c>
      <c r="M508" s="4">
        <f t="shared" si="23"/>
        <v>0.6965220382442634</v>
      </c>
    </row>
    <row r="509" spans="1:13" x14ac:dyDescent="0.45">
      <c r="A509" s="2">
        <v>45197</v>
      </c>
      <c r="B509" s="3">
        <v>5404.9</v>
      </c>
      <c r="D509" s="2">
        <v>45197</v>
      </c>
      <c r="E509" s="3">
        <v>1523.35</v>
      </c>
      <c r="G509" s="3">
        <v>20240000</v>
      </c>
      <c r="H509" s="3">
        <f t="shared" si="21"/>
        <v>109395176000</v>
      </c>
      <c r="J509" s="3">
        <v>238782786</v>
      </c>
      <c r="K509" s="3">
        <f t="shared" si="22"/>
        <v>363749757053.09998</v>
      </c>
      <c r="M509" s="4">
        <f t="shared" si="23"/>
        <v>0.69925704724517368</v>
      </c>
    </row>
    <row r="510" spans="1:13" x14ac:dyDescent="0.45">
      <c r="A510" s="2">
        <v>45196</v>
      </c>
      <c r="B510" s="3">
        <v>5355.05</v>
      </c>
      <c r="D510" s="2">
        <v>45196</v>
      </c>
      <c r="E510" s="3">
        <v>1529.05</v>
      </c>
      <c r="G510" s="3">
        <v>20240000</v>
      </c>
      <c r="H510" s="3">
        <f t="shared" si="21"/>
        <v>108386212000</v>
      </c>
      <c r="J510" s="3">
        <v>238782786</v>
      </c>
      <c r="K510" s="3">
        <f t="shared" si="22"/>
        <v>365110818933.29999</v>
      </c>
      <c r="M510" s="4">
        <f t="shared" si="23"/>
        <v>0.70314160419387495</v>
      </c>
    </row>
    <row r="511" spans="1:13" x14ac:dyDescent="0.45">
      <c r="A511" s="2">
        <v>45195</v>
      </c>
      <c r="B511" s="3">
        <v>5389.55</v>
      </c>
      <c r="D511" s="2">
        <v>45195</v>
      </c>
      <c r="E511" s="3">
        <v>1530.55</v>
      </c>
      <c r="G511" s="3">
        <v>20240000</v>
      </c>
      <c r="H511" s="3">
        <f t="shared" si="21"/>
        <v>109084492000</v>
      </c>
      <c r="J511" s="3">
        <v>238782786</v>
      </c>
      <c r="K511" s="3">
        <f t="shared" si="22"/>
        <v>365468993112.29999</v>
      </c>
      <c r="M511" s="4">
        <f t="shared" si="23"/>
        <v>0.70152189636924711</v>
      </c>
    </row>
    <row r="512" spans="1:13" x14ac:dyDescent="0.45">
      <c r="A512" s="2">
        <v>45194</v>
      </c>
      <c r="B512" s="3">
        <v>5610.3</v>
      </c>
      <c r="D512" s="2">
        <v>45194</v>
      </c>
      <c r="E512" s="3">
        <v>1515</v>
      </c>
      <c r="G512" s="3">
        <v>20240000</v>
      </c>
      <c r="H512" s="3">
        <f t="shared" si="21"/>
        <v>113552472000</v>
      </c>
      <c r="J512" s="3">
        <v>238782786</v>
      </c>
      <c r="K512" s="3">
        <f t="shared" si="22"/>
        <v>361755920790</v>
      </c>
      <c r="M512" s="4">
        <f t="shared" si="23"/>
        <v>0.68610749548473204</v>
      </c>
    </row>
    <row r="513" spans="1:13" x14ac:dyDescent="0.45">
      <c r="A513" s="2">
        <v>45191</v>
      </c>
      <c r="B513" s="3">
        <v>5665.4</v>
      </c>
      <c r="D513" s="2">
        <v>45191</v>
      </c>
      <c r="E513" s="3">
        <v>1494.3</v>
      </c>
      <c r="G513" s="3">
        <v>20240000</v>
      </c>
      <c r="H513" s="3">
        <f t="shared" si="21"/>
        <v>114667696000</v>
      </c>
      <c r="J513" s="3">
        <v>238782786</v>
      </c>
      <c r="K513" s="3">
        <f t="shared" si="22"/>
        <v>356813117119.79999</v>
      </c>
      <c r="M513" s="4">
        <f t="shared" si="23"/>
        <v>0.67863374271215393</v>
      </c>
    </row>
    <row r="514" spans="1:13" x14ac:dyDescent="0.45">
      <c r="A514" s="2">
        <v>45190</v>
      </c>
      <c r="B514" s="3">
        <v>5692.15</v>
      </c>
      <c r="D514" s="2">
        <v>45190</v>
      </c>
      <c r="E514" s="3">
        <v>1498.8</v>
      </c>
      <c r="G514" s="3">
        <v>20240000</v>
      </c>
      <c r="H514" s="3">
        <f t="shared" si="21"/>
        <v>115209116000</v>
      </c>
      <c r="J514" s="3">
        <v>238782786</v>
      </c>
      <c r="K514" s="3">
        <f t="shared" si="22"/>
        <v>357887639656.79999</v>
      </c>
      <c r="M514" s="4">
        <f t="shared" si="23"/>
        <v>0.67808579220427689</v>
      </c>
    </row>
    <row r="515" spans="1:13" x14ac:dyDescent="0.45">
      <c r="A515" s="2">
        <v>45189</v>
      </c>
      <c r="B515" s="3">
        <v>5537.9</v>
      </c>
      <c r="D515" s="2">
        <v>45189</v>
      </c>
      <c r="E515" s="3">
        <v>1512.25</v>
      </c>
      <c r="G515" s="3">
        <v>20240000</v>
      </c>
      <c r="H515" s="3">
        <f t="shared" si="21"/>
        <v>112087096000</v>
      </c>
      <c r="J515" s="3">
        <v>238782786</v>
      </c>
      <c r="K515" s="3">
        <f t="shared" si="22"/>
        <v>361099268128.5</v>
      </c>
      <c r="M515" s="4">
        <f t="shared" si="23"/>
        <v>0.68959478488858927</v>
      </c>
    </row>
    <row r="516" spans="1:13" x14ac:dyDescent="0.45">
      <c r="A516" s="2">
        <v>45187</v>
      </c>
      <c r="B516" s="3">
        <v>5711.7</v>
      </c>
      <c r="D516" s="2">
        <v>45187</v>
      </c>
      <c r="E516" s="3">
        <v>1526.2</v>
      </c>
      <c r="G516" s="3">
        <v>20240000</v>
      </c>
      <c r="H516" s="3">
        <f t="shared" ref="H516:H579" si="24">+G516*B516</f>
        <v>115604808000</v>
      </c>
      <c r="J516" s="3">
        <v>238782786</v>
      </c>
      <c r="K516" s="3">
        <f t="shared" ref="K516:K579" si="25">+J516*E516</f>
        <v>364430287993.20001</v>
      </c>
      <c r="M516" s="4">
        <f t="shared" ref="M516:M579" si="26">1- (H516/K516)</f>
        <v>0.68277936327247013</v>
      </c>
    </row>
    <row r="517" spans="1:13" x14ac:dyDescent="0.45">
      <c r="A517" s="2">
        <v>45184</v>
      </c>
      <c r="B517" s="3">
        <v>5531.2</v>
      </c>
      <c r="D517" s="2">
        <v>45184</v>
      </c>
      <c r="E517" s="3">
        <v>1501.75</v>
      </c>
      <c r="G517" s="3">
        <v>20240000</v>
      </c>
      <c r="H517" s="3">
        <f t="shared" si="24"/>
        <v>111951488000</v>
      </c>
      <c r="J517" s="3">
        <v>238782786</v>
      </c>
      <c r="K517" s="3">
        <f t="shared" si="25"/>
        <v>358592048875.5</v>
      </c>
      <c r="M517" s="4">
        <f t="shared" si="26"/>
        <v>0.68780264829890703</v>
      </c>
    </row>
    <row r="518" spans="1:13" x14ac:dyDescent="0.45">
      <c r="A518" s="2">
        <v>45183</v>
      </c>
      <c r="B518" s="3">
        <v>5668.7</v>
      </c>
      <c r="D518" s="2">
        <v>45183</v>
      </c>
      <c r="E518" s="3">
        <v>1464.45</v>
      </c>
      <c r="G518" s="3">
        <v>20240000</v>
      </c>
      <c r="H518" s="3">
        <f t="shared" si="24"/>
        <v>114734488000</v>
      </c>
      <c r="J518" s="3">
        <v>238782786</v>
      </c>
      <c r="K518" s="3">
        <f t="shared" si="25"/>
        <v>349685450957.70001</v>
      </c>
      <c r="M518" s="4">
        <f t="shared" si="26"/>
        <v>0.67189230296607638</v>
      </c>
    </row>
    <row r="519" spans="1:13" x14ac:dyDescent="0.45">
      <c r="A519" s="2">
        <v>45182</v>
      </c>
      <c r="B519" s="3">
        <v>5551.55</v>
      </c>
      <c r="D519" s="2">
        <v>45182</v>
      </c>
      <c r="E519" s="3">
        <v>1453.05</v>
      </c>
      <c r="G519" s="3">
        <v>20240000</v>
      </c>
      <c r="H519" s="3">
        <f t="shared" si="24"/>
        <v>112363372000</v>
      </c>
      <c r="J519" s="3">
        <v>238782786</v>
      </c>
      <c r="K519" s="3">
        <f t="shared" si="25"/>
        <v>346963327197.29999</v>
      </c>
      <c r="M519" s="4">
        <f t="shared" si="26"/>
        <v>0.67615202186453327</v>
      </c>
    </row>
    <row r="520" spans="1:13" x14ac:dyDescent="0.45">
      <c r="A520" s="2">
        <v>45181</v>
      </c>
      <c r="B520" s="3">
        <v>5588.6</v>
      </c>
      <c r="D520" s="2">
        <v>45181</v>
      </c>
      <c r="E520" s="3">
        <v>1471.45</v>
      </c>
      <c r="G520" s="3">
        <v>20240000</v>
      </c>
      <c r="H520" s="3">
        <f t="shared" si="24"/>
        <v>113113264000</v>
      </c>
      <c r="J520" s="3">
        <v>238782786</v>
      </c>
      <c r="K520" s="3">
        <f t="shared" si="25"/>
        <v>351356930459.70001</v>
      </c>
      <c r="M520" s="4">
        <f t="shared" si="26"/>
        <v>0.67806736058398631</v>
      </c>
    </row>
    <row r="521" spans="1:13" x14ac:dyDescent="0.45">
      <c r="A521" s="2">
        <v>45180</v>
      </c>
      <c r="B521" s="3">
        <v>5609.25</v>
      </c>
      <c r="D521" s="2">
        <v>45180</v>
      </c>
      <c r="E521" s="3">
        <v>1488.85</v>
      </c>
      <c r="G521" s="3">
        <v>20240000</v>
      </c>
      <c r="H521" s="3">
        <f t="shared" si="24"/>
        <v>113531220000</v>
      </c>
      <c r="J521" s="3">
        <v>238782786</v>
      </c>
      <c r="K521" s="3">
        <f t="shared" si="25"/>
        <v>355511750936.09998</v>
      </c>
      <c r="M521" s="4">
        <f t="shared" si="26"/>
        <v>0.6806541001779538</v>
      </c>
    </row>
    <row r="522" spans="1:13" x14ac:dyDescent="0.45">
      <c r="A522" s="2">
        <v>45177</v>
      </c>
      <c r="B522" s="3">
        <v>5551.15</v>
      </c>
      <c r="D522" s="2">
        <v>45177</v>
      </c>
      <c r="E522" s="3">
        <v>1480.25</v>
      </c>
      <c r="G522" s="3">
        <v>20240000</v>
      </c>
      <c r="H522" s="3">
        <f t="shared" si="24"/>
        <v>112355276000</v>
      </c>
      <c r="J522" s="3">
        <v>238782786</v>
      </c>
      <c r="K522" s="3">
        <f t="shared" si="25"/>
        <v>353458218976.5</v>
      </c>
      <c r="M522" s="4">
        <f t="shared" si="26"/>
        <v>0.68212572245357794</v>
      </c>
    </row>
    <row r="523" spans="1:13" x14ac:dyDescent="0.45">
      <c r="A523" s="2">
        <v>45176</v>
      </c>
      <c r="B523" s="1">
        <v>5333.5</v>
      </c>
      <c r="D523" s="2">
        <v>45176</v>
      </c>
      <c r="E523" s="3">
        <v>1479.6</v>
      </c>
      <c r="G523" s="3">
        <v>20240000</v>
      </c>
      <c r="H523" s="3">
        <f t="shared" si="24"/>
        <v>107950040000</v>
      </c>
      <c r="J523" s="3">
        <v>238782786</v>
      </c>
      <c r="K523" s="3">
        <f t="shared" si="25"/>
        <v>353303010165.59998</v>
      </c>
      <c r="M523" s="4">
        <f t="shared" si="26"/>
        <v>0.69445479689119627</v>
      </c>
    </row>
    <row r="524" spans="1:13" x14ac:dyDescent="0.45">
      <c r="A524" s="2">
        <v>45175</v>
      </c>
      <c r="B524" s="3">
        <v>5386.45</v>
      </c>
      <c r="D524" s="2">
        <v>45175</v>
      </c>
      <c r="E524" s="3">
        <v>1478</v>
      </c>
      <c r="G524" s="3">
        <v>20240000</v>
      </c>
      <c r="H524" s="3">
        <f t="shared" si="24"/>
        <v>109021748000</v>
      </c>
      <c r="J524" s="3">
        <v>238782786</v>
      </c>
      <c r="K524" s="3">
        <f t="shared" si="25"/>
        <v>352920957708</v>
      </c>
      <c r="M524" s="4">
        <f t="shared" si="26"/>
        <v>0.69108735081070904</v>
      </c>
    </row>
    <row r="525" spans="1:13" x14ac:dyDescent="0.45">
      <c r="A525" s="2">
        <v>45174</v>
      </c>
      <c r="B525" s="1">
        <v>5480.1</v>
      </c>
      <c r="D525" s="2">
        <v>45174</v>
      </c>
      <c r="E525" s="3">
        <v>1458.15</v>
      </c>
      <c r="G525" s="3">
        <v>20240000</v>
      </c>
      <c r="H525" s="3">
        <f t="shared" si="24"/>
        <v>110917224000</v>
      </c>
      <c r="J525" s="3">
        <v>238782786</v>
      </c>
      <c r="K525" s="3">
        <f t="shared" si="25"/>
        <v>348181119405.90002</v>
      </c>
      <c r="M525" s="4">
        <f t="shared" si="26"/>
        <v>0.68143814291464855</v>
      </c>
    </row>
    <row r="526" spans="1:13" x14ac:dyDescent="0.45">
      <c r="A526" s="2">
        <v>45173</v>
      </c>
      <c r="B526" s="1">
        <v>5475.65</v>
      </c>
      <c r="D526" s="2">
        <v>45173</v>
      </c>
      <c r="E526" s="3">
        <v>1452.1</v>
      </c>
      <c r="G526" s="3">
        <v>20240000</v>
      </c>
      <c r="H526" s="3">
        <f t="shared" si="24"/>
        <v>110827156000</v>
      </c>
      <c r="J526" s="3">
        <v>238782786</v>
      </c>
      <c r="K526" s="3">
        <f t="shared" si="25"/>
        <v>346736483550.59998</v>
      </c>
      <c r="M526" s="4">
        <f t="shared" si="26"/>
        <v>0.68037065247612816</v>
      </c>
    </row>
    <row r="527" spans="1:13" x14ac:dyDescent="0.45">
      <c r="A527" s="2">
        <v>45170</v>
      </c>
      <c r="B527" s="1">
        <v>5269.15</v>
      </c>
      <c r="D527" s="2">
        <v>45170</v>
      </c>
      <c r="E527" s="3">
        <v>1454.6</v>
      </c>
      <c r="G527" s="3">
        <v>20240000</v>
      </c>
      <c r="H527" s="3">
        <f t="shared" si="24"/>
        <v>106647596000</v>
      </c>
      <c r="J527" s="3">
        <v>238782786</v>
      </c>
      <c r="K527" s="3">
        <f t="shared" si="25"/>
        <v>347333440515.59998</v>
      </c>
      <c r="M527" s="4">
        <f t="shared" si="26"/>
        <v>0.69295327325325573</v>
      </c>
    </row>
    <row r="528" spans="1:13" x14ac:dyDescent="0.45">
      <c r="A528" s="2">
        <v>45169</v>
      </c>
      <c r="B528" s="1">
        <v>5189.55</v>
      </c>
      <c r="D528" s="2">
        <v>45169</v>
      </c>
      <c r="E528" s="3">
        <v>1419.35</v>
      </c>
      <c r="G528" s="3">
        <v>20240000</v>
      </c>
      <c r="H528" s="3">
        <f t="shared" si="24"/>
        <v>105036492000</v>
      </c>
      <c r="J528" s="3">
        <v>238782786</v>
      </c>
      <c r="K528" s="3">
        <f t="shared" si="25"/>
        <v>338916347309.09998</v>
      </c>
      <c r="M528" s="4">
        <f t="shared" si="26"/>
        <v>0.69008136422465283</v>
      </c>
    </row>
    <row r="529" spans="1:13" x14ac:dyDescent="0.45">
      <c r="A529" s="2">
        <v>45168</v>
      </c>
      <c r="B529" s="1">
        <v>5092.8500000000004</v>
      </c>
      <c r="D529" s="2">
        <v>45168</v>
      </c>
      <c r="E529" s="3">
        <v>1415.55</v>
      </c>
      <c r="G529" s="3">
        <v>20240000</v>
      </c>
      <c r="H529" s="3">
        <f t="shared" si="24"/>
        <v>103079284000</v>
      </c>
      <c r="J529" s="3">
        <v>238782786</v>
      </c>
      <c r="K529" s="3">
        <f t="shared" si="25"/>
        <v>338008972722.29999</v>
      </c>
      <c r="M529" s="4">
        <f t="shared" si="26"/>
        <v>0.6950397997727491</v>
      </c>
    </row>
    <row r="530" spans="1:13" x14ac:dyDescent="0.45">
      <c r="A530" s="2">
        <v>45167</v>
      </c>
      <c r="B530" s="1">
        <v>5085</v>
      </c>
      <c r="D530" s="2">
        <v>45167</v>
      </c>
      <c r="E530" s="3">
        <v>1379.9</v>
      </c>
      <c r="G530" s="3">
        <v>20240000</v>
      </c>
      <c r="H530" s="3">
        <f t="shared" si="24"/>
        <v>102920400000</v>
      </c>
      <c r="J530" s="3">
        <v>238782786</v>
      </c>
      <c r="K530" s="3">
        <f t="shared" si="25"/>
        <v>329496366401.40002</v>
      </c>
      <c r="M530" s="4">
        <f t="shared" si="26"/>
        <v>0.68764329293203796</v>
      </c>
    </row>
    <row r="531" spans="1:13" x14ac:dyDescent="0.45">
      <c r="A531" s="2">
        <v>45166</v>
      </c>
      <c r="B531" s="1">
        <v>5018.8500000000004</v>
      </c>
      <c r="D531" s="2">
        <v>45166</v>
      </c>
      <c r="E531" s="3">
        <v>1348.25</v>
      </c>
      <c r="G531" s="3">
        <v>20240000</v>
      </c>
      <c r="H531" s="3">
        <f t="shared" si="24"/>
        <v>101581524000</v>
      </c>
      <c r="J531" s="3">
        <v>238782786</v>
      </c>
      <c r="K531" s="3">
        <f t="shared" si="25"/>
        <v>321938891224.5</v>
      </c>
      <c r="M531" s="4">
        <f t="shared" si="26"/>
        <v>0.68446954757894285</v>
      </c>
    </row>
    <row r="532" spans="1:13" x14ac:dyDescent="0.45">
      <c r="A532" s="2">
        <v>45163</v>
      </c>
      <c r="B532" s="1">
        <v>5089.7</v>
      </c>
      <c r="D532" s="2">
        <v>45163</v>
      </c>
      <c r="E532" s="3">
        <v>1339.3</v>
      </c>
      <c r="G532" s="3">
        <v>20240000</v>
      </c>
      <c r="H532" s="3">
        <f t="shared" si="24"/>
        <v>103015528000</v>
      </c>
      <c r="J532" s="3">
        <v>238782786</v>
      </c>
      <c r="K532" s="3">
        <f t="shared" si="25"/>
        <v>319801785289.79999</v>
      </c>
      <c r="M532" s="4">
        <f t="shared" si="26"/>
        <v>0.67787694522515329</v>
      </c>
    </row>
    <row r="533" spans="1:13" x14ac:dyDescent="0.45">
      <c r="A533" s="2">
        <v>45162</v>
      </c>
      <c r="B533" s="1">
        <v>5095.7</v>
      </c>
      <c r="D533" s="2">
        <v>45162</v>
      </c>
      <c r="E533" s="3">
        <v>1362.9</v>
      </c>
      <c r="G533" s="3">
        <v>20240000</v>
      </c>
      <c r="H533" s="3">
        <f t="shared" si="24"/>
        <v>103136968000</v>
      </c>
      <c r="J533" s="3">
        <v>238782786</v>
      </c>
      <c r="K533" s="3">
        <f t="shared" si="25"/>
        <v>325437059039.40002</v>
      </c>
      <c r="M533" s="4">
        <f t="shared" si="26"/>
        <v>0.68308167390514241</v>
      </c>
    </row>
    <row r="534" spans="1:13" x14ac:dyDescent="0.45">
      <c r="A534" s="2">
        <v>45161</v>
      </c>
      <c r="B534" s="1">
        <v>5873.15</v>
      </c>
      <c r="D534" s="2">
        <v>45161</v>
      </c>
      <c r="E534" s="3">
        <v>1355.45</v>
      </c>
      <c r="G534" s="3">
        <v>20240000</v>
      </c>
      <c r="H534" s="3">
        <f t="shared" si="24"/>
        <v>118872556000</v>
      </c>
      <c r="J534" s="3">
        <v>238782786</v>
      </c>
      <c r="K534" s="3">
        <f t="shared" si="25"/>
        <v>323658127283.70001</v>
      </c>
      <c r="M534" s="4">
        <f t="shared" si="26"/>
        <v>0.63272185686286453</v>
      </c>
    </row>
    <row r="535" spans="1:13" x14ac:dyDescent="0.45">
      <c r="A535" s="2">
        <v>45160</v>
      </c>
      <c r="B535" s="1">
        <v>5535.95</v>
      </c>
      <c r="D535" s="2">
        <v>45160</v>
      </c>
      <c r="E535" s="3">
        <v>1354.05</v>
      </c>
      <c r="G535" s="3">
        <v>20240000</v>
      </c>
      <c r="H535" s="3">
        <f t="shared" si="24"/>
        <v>112047628000</v>
      </c>
      <c r="J535" s="3">
        <v>238782786</v>
      </c>
      <c r="K535" s="3">
        <f t="shared" si="25"/>
        <v>323323831383.29999</v>
      </c>
      <c r="M535" s="4">
        <f t="shared" si="26"/>
        <v>0.65345076012300596</v>
      </c>
    </row>
    <row r="536" spans="1:13" x14ac:dyDescent="0.45">
      <c r="A536" s="2">
        <v>45159</v>
      </c>
      <c r="B536" s="1">
        <v>5487.1</v>
      </c>
      <c r="D536" s="2">
        <v>45159</v>
      </c>
      <c r="E536" s="3">
        <v>1348.25</v>
      </c>
      <c r="G536" s="3">
        <v>20240000</v>
      </c>
      <c r="H536" s="3">
        <f t="shared" si="24"/>
        <v>111058904000</v>
      </c>
      <c r="J536" s="3">
        <v>238782786</v>
      </c>
      <c r="K536" s="3">
        <f t="shared" si="25"/>
        <v>321938891224.5</v>
      </c>
      <c r="M536" s="4">
        <f t="shared" si="26"/>
        <v>0.65503110364334804</v>
      </c>
    </row>
    <row r="537" spans="1:13" x14ac:dyDescent="0.45">
      <c r="A537" s="2">
        <v>45156</v>
      </c>
      <c r="B537" s="1">
        <v>5480.3</v>
      </c>
      <c r="D537" s="2">
        <v>45156</v>
      </c>
      <c r="E537" s="3">
        <v>1341.55</v>
      </c>
      <c r="G537" s="3">
        <v>20240000</v>
      </c>
      <c r="H537" s="3">
        <f t="shared" si="24"/>
        <v>110921272000</v>
      </c>
      <c r="J537" s="3">
        <v>238782786</v>
      </c>
      <c r="K537" s="3">
        <f t="shared" si="25"/>
        <v>320339046558.29999</v>
      </c>
      <c r="M537" s="4">
        <f t="shared" si="26"/>
        <v>0.65373789679487948</v>
      </c>
    </row>
    <row r="538" spans="1:13" x14ac:dyDescent="0.45">
      <c r="A538" s="2">
        <v>45155</v>
      </c>
      <c r="B538" s="1">
        <v>5494.65</v>
      </c>
      <c r="D538" s="2">
        <v>45155</v>
      </c>
      <c r="E538" s="3">
        <v>1336.4</v>
      </c>
      <c r="G538" s="3">
        <v>20240000</v>
      </c>
      <c r="H538" s="3">
        <f t="shared" si="24"/>
        <v>111211716000</v>
      </c>
      <c r="J538" s="3">
        <v>238782786</v>
      </c>
      <c r="K538" s="3">
        <f t="shared" si="25"/>
        <v>319109315210.40002</v>
      </c>
      <c r="M538" s="4">
        <f t="shared" si="26"/>
        <v>0.6514933576079589</v>
      </c>
    </row>
    <row r="539" spans="1:13" x14ac:dyDescent="0.45">
      <c r="A539" s="2">
        <v>45154</v>
      </c>
      <c r="B539" s="1">
        <v>5446.8</v>
      </c>
      <c r="D539" s="2">
        <v>45154</v>
      </c>
      <c r="E539" s="3">
        <v>1339.95</v>
      </c>
      <c r="G539" s="3">
        <v>20240000</v>
      </c>
      <c r="H539" s="3">
        <f t="shared" si="24"/>
        <v>110243232000</v>
      </c>
      <c r="J539" s="3">
        <v>238782786</v>
      </c>
      <c r="K539" s="3">
        <f t="shared" si="25"/>
        <v>319956994100.70001</v>
      </c>
      <c r="M539" s="4">
        <f t="shared" si="26"/>
        <v>0.65544359388092266</v>
      </c>
    </row>
    <row r="540" spans="1:13" x14ac:dyDescent="0.45">
      <c r="A540" s="2">
        <v>45152</v>
      </c>
      <c r="B540" s="1">
        <v>5420.6</v>
      </c>
      <c r="D540" s="2">
        <v>45152</v>
      </c>
      <c r="E540" s="3">
        <v>1343.55</v>
      </c>
      <c r="G540" s="3">
        <v>20240000</v>
      </c>
      <c r="H540" s="3">
        <f t="shared" si="24"/>
        <v>109712944000</v>
      </c>
      <c r="J540" s="3">
        <v>238782786</v>
      </c>
      <c r="K540" s="3">
        <f t="shared" si="25"/>
        <v>320816612130.29999</v>
      </c>
      <c r="M540" s="4">
        <f t="shared" si="26"/>
        <v>0.65801975380427002</v>
      </c>
    </row>
    <row r="541" spans="1:13" x14ac:dyDescent="0.45">
      <c r="A541" s="2">
        <v>45149</v>
      </c>
      <c r="B541" s="1">
        <v>5448.3</v>
      </c>
      <c r="D541" s="2">
        <v>45149</v>
      </c>
      <c r="E541" s="3">
        <v>1350.45</v>
      </c>
      <c r="G541" s="3">
        <v>20240000</v>
      </c>
      <c r="H541" s="3">
        <f t="shared" si="24"/>
        <v>110273592000</v>
      </c>
      <c r="J541" s="3">
        <v>238782786</v>
      </c>
      <c r="K541" s="3">
        <f t="shared" si="25"/>
        <v>322464213353.70001</v>
      </c>
      <c r="M541" s="4">
        <f t="shared" si="26"/>
        <v>0.6580284340605429</v>
      </c>
    </row>
    <row r="542" spans="1:13" x14ac:dyDescent="0.45">
      <c r="A542" s="2">
        <v>45148</v>
      </c>
      <c r="B542" s="1">
        <v>5388.8</v>
      </c>
      <c r="D542" s="2">
        <v>45148</v>
      </c>
      <c r="E542" s="3">
        <v>1348.85</v>
      </c>
      <c r="G542" s="3">
        <v>20240000</v>
      </c>
      <c r="H542" s="3">
        <f t="shared" si="24"/>
        <v>109069312000</v>
      </c>
      <c r="J542" s="3">
        <v>238782786</v>
      </c>
      <c r="K542" s="3">
        <f t="shared" si="25"/>
        <v>322082160896.09998</v>
      </c>
      <c r="M542" s="4">
        <f t="shared" si="26"/>
        <v>0.66136183482951572</v>
      </c>
    </row>
    <row r="543" spans="1:13" x14ac:dyDescent="0.45">
      <c r="A543" s="2">
        <v>45147</v>
      </c>
      <c r="B543" s="1">
        <v>5408.75</v>
      </c>
      <c r="D543" s="2">
        <v>45147</v>
      </c>
      <c r="E543" s="3">
        <v>1338.8</v>
      </c>
      <c r="G543" s="3">
        <v>20240000</v>
      </c>
      <c r="H543" s="3">
        <f t="shared" si="24"/>
        <v>109473100000</v>
      </c>
      <c r="J543" s="3">
        <v>238782786</v>
      </c>
      <c r="K543" s="3">
        <f t="shared" si="25"/>
        <v>319682393896.79999</v>
      </c>
      <c r="M543" s="4">
        <f t="shared" si="26"/>
        <v>0.65755668097461717</v>
      </c>
    </row>
    <row r="544" spans="1:13" x14ac:dyDescent="0.45">
      <c r="A544" s="2">
        <v>45146</v>
      </c>
      <c r="B544" s="1">
        <v>5304.2</v>
      </c>
      <c r="D544" s="2">
        <v>45146</v>
      </c>
      <c r="E544" s="3">
        <v>1331.25</v>
      </c>
      <c r="G544" s="3">
        <v>20240000</v>
      </c>
      <c r="H544" s="3">
        <f t="shared" si="24"/>
        <v>107357008000</v>
      </c>
      <c r="J544" s="3">
        <v>238782786</v>
      </c>
      <c r="K544" s="3">
        <f t="shared" si="25"/>
        <v>317879583862.5</v>
      </c>
      <c r="M544" s="4">
        <f t="shared" si="26"/>
        <v>0.66227145922514585</v>
      </c>
    </row>
    <row r="545" spans="1:13" x14ac:dyDescent="0.45">
      <c r="A545" s="2">
        <v>45145</v>
      </c>
      <c r="B545" s="1">
        <v>5323.3</v>
      </c>
      <c r="D545" s="2">
        <v>45145</v>
      </c>
      <c r="E545" s="3">
        <v>1340.85</v>
      </c>
      <c r="G545" s="3">
        <v>20240000</v>
      </c>
      <c r="H545" s="3">
        <f t="shared" si="24"/>
        <v>107743592000</v>
      </c>
      <c r="J545" s="3">
        <v>238782786</v>
      </c>
      <c r="K545" s="3">
        <f t="shared" si="25"/>
        <v>320171898608.09998</v>
      </c>
      <c r="M545" s="4">
        <f t="shared" si="26"/>
        <v>0.66348204677425049</v>
      </c>
    </row>
    <row r="546" spans="1:13" x14ac:dyDescent="0.45">
      <c r="A546" s="2">
        <v>45142</v>
      </c>
      <c r="B546" s="1">
        <v>5298.3</v>
      </c>
      <c r="D546" s="2">
        <v>45142</v>
      </c>
      <c r="E546" s="3">
        <v>1359.45</v>
      </c>
      <c r="G546" s="3">
        <v>20240000</v>
      </c>
      <c r="H546" s="3">
        <f t="shared" si="24"/>
        <v>107237592000</v>
      </c>
      <c r="J546" s="3">
        <v>238782786</v>
      </c>
      <c r="K546" s="3">
        <f t="shared" si="25"/>
        <v>324613258427.70001</v>
      </c>
      <c r="M546" s="4">
        <f t="shared" si="26"/>
        <v>0.66964506465503892</v>
      </c>
    </row>
    <row r="547" spans="1:13" x14ac:dyDescent="0.45">
      <c r="A547" s="2">
        <v>45141</v>
      </c>
      <c r="B547" s="1">
        <v>5224.45</v>
      </c>
      <c r="D547" s="2">
        <v>45141</v>
      </c>
      <c r="E547" s="3">
        <v>1361.75</v>
      </c>
      <c r="G547" s="3">
        <v>20240000</v>
      </c>
      <c r="H547" s="3">
        <f t="shared" si="24"/>
        <v>105742868000</v>
      </c>
      <c r="J547" s="3">
        <v>238782786</v>
      </c>
      <c r="K547" s="3">
        <f t="shared" si="25"/>
        <v>325162458835.5</v>
      </c>
      <c r="M547" s="4">
        <f t="shared" si="26"/>
        <v>0.67479988809687463</v>
      </c>
    </row>
    <row r="548" spans="1:13" x14ac:dyDescent="0.45">
      <c r="A548" s="2">
        <v>45140</v>
      </c>
      <c r="B548" s="1">
        <v>5204.8999999999996</v>
      </c>
      <c r="D548" s="2">
        <v>45140</v>
      </c>
      <c r="E548" s="3">
        <v>1379.8</v>
      </c>
      <c r="G548" s="3">
        <v>20240000</v>
      </c>
      <c r="H548" s="3">
        <f t="shared" si="24"/>
        <v>105347176000</v>
      </c>
      <c r="J548" s="3">
        <v>238782786</v>
      </c>
      <c r="K548" s="3">
        <f t="shared" si="25"/>
        <v>329472488122.79999</v>
      </c>
      <c r="M548" s="4">
        <f t="shared" si="26"/>
        <v>0.68025501431022273</v>
      </c>
    </row>
    <row r="549" spans="1:13" x14ac:dyDescent="0.45">
      <c r="A549" s="2">
        <v>45139</v>
      </c>
      <c r="B549" s="1">
        <v>5114.05</v>
      </c>
      <c r="D549" s="2">
        <v>45139</v>
      </c>
      <c r="E549" s="3">
        <v>1370.15</v>
      </c>
      <c r="G549" s="3">
        <v>20240000</v>
      </c>
      <c r="H549" s="3">
        <f t="shared" si="24"/>
        <v>103508372000</v>
      </c>
      <c r="J549" s="3">
        <v>238782786</v>
      </c>
      <c r="K549" s="3">
        <f t="shared" si="25"/>
        <v>327168234237.90002</v>
      </c>
      <c r="M549" s="4">
        <f t="shared" si="26"/>
        <v>0.68362340481767547</v>
      </c>
    </row>
    <row r="550" spans="1:13" x14ac:dyDescent="0.45">
      <c r="A550" s="2">
        <v>45138</v>
      </c>
      <c r="B550" s="1">
        <v>5096.5</v>
      </c>
      <c r="D550" s="2">
        <v>45138</v>
      </c>
      <c r="E550" s="3">
        <v>1376.25</v>
      </c>
      <c r="G550" s="3">
        <v>20240000</v>
      </c>
      <c r="H550" s="3">
        <f t="shared" si="24"/>
        <v>103153160000</v>
      </c>
      <c r="J550" s="3">
        <v>238782786</v>
      </c>
      <c r="K550" s="3">
        <f t="shared" si="25"/>
        <v>328624809232.5</v>
      </c>
      <c r="M550" s="4">
        <f t="shared" si="26"/>
        <v>0.68610659602690016</v>
      </c>
    </row>
    <row r="551" spans="1:13" x14ac:dyDescent="0.45">
      <c r="A551" s="2">
        <v>45135</v>
      </c>
      <c r="B551" s="1">
        <v>5123.7</v>
      </c>
      <c r="D551" s="2">
        <v>45135</v>
      </c>
      <c r="E551" s="3">
        <v>1357.85</v>
      </c>
      <c r="G551" s="3">
        <v>20240000</v>
      </c>
      <c r="H551" s="3">
        <f t="shared" si="24"/>
        <v>103703688000</v>
      </c>
      <c r="J551" s="3">
        <v>238782786</v>
      </c>
      <c r="K551" s="3">
        <f t="shared" si="25"/>
        <v>324231205970.09998</v>
      </c>
      <c r="M551" s="4">
        <f t="shared" si="26"/>
        <v>0.68015512976390258</v>
      </c>
    </row>
    <row r="552" spans="1:13" x14ac:dyDescent="0.45">
      <c r="A552" s="2">
        <v>45134</v>
      </c>
      <c r="B552" s="1">
        <v>5093.7</v>
      </c>
      <c r="D552" s="2">
        <v>45134</v>
      </c>
      <c r="E552" s="3">
        <v>1354.2</v>
      </c>
      <c r="G552" s="3">
        <v>20240000</v>
      </c>
      <c r="H552" s="3">
        <f t="shared" si="24"/>
        <v>103096488000</v>
      </c>
      <c r="J552" s="3">
        <v>238782786</v>
      </c>
      <c r="K552" s="3">
        <f t="shared" si="25"/>
        <v>323359648801.20001</v>
      </c>
      <c r="M552" s="4">
        <f t="shared" si="26"/>
        <v>0.68117083135693524</v>
      </c>
    </row>
    <row r="553" spans="1:13" x14ac:dyDescent="0.45">
      <c r="A553" s="2">
        <v>45133</v>
      </c>
      <c r="B553" s="1">
        <v>5085.1499999999996</v>
      </c>
      <c r="D553" s="2">
        <v>45133</v>
      </c>
      <c r="E553" s="3">
        <v>1371.85</v>
      </c>
      <c r="G553" s="3">
        <v>20240000</v>
      </c>
      <c r="H553" s="3">
        <f t="shared" si="24"/>
        <v>102923436000</v>
      </c>
      <c r="J553" s="3">
        <v>238782786</v>
      </c>
      <c r="K553" s="3">
        <f t="shared" si="25"/>
        <v>327574164974.09998</v>
      </c>
      <c r="M553" s="4">
        <f t="shared" si="26"/>
        <v>0.68580111924230125</v>
      </c>
    </row>
    <row r="554" spans="1:13" x14ac:dyDescent="0.45">
      <c r="A554" s="2">
        <v>45132</v>
      </c>
      <c r="B554" s="1">
        <v>5214.5</v>
      </c>
      <c r="D554" s="2">
        <v>45132</v>
      </c>
      <c r="E554" s="3">
        <v>1384.15</v>
      </c>
      <c r="G554" s="3">
        <v>20240000</v>
      </c>
      <c r="H554" s="3">
        <f t="shared" si="24"/>
        <v>105541480000</v>
      </c>
      <c r="J554" s="3">
        <v>238782786</v>
      </c>
      <c r="K554" s="3">
        <f t="shared" si="25"/>
        <v>330511193241.90002</v>
      </c>
      <c r="M554" s="4">
        <f t="shared" si="26"/>
        <v>0.68067199490349917</v>
      </c>
    </row>
    <row r="555" spans="1:13" x14ac:dyDescent="0.45">
      <c r="A555" s="2">
        <v>45131</v>
      </c>
      <c r="B555" s="1">
        <v>5016.8500000000004</v>
      </c>
      <c r="D555" s="2">
        <v>45131</v>
      </c>
      <c r="E555" s="3">
        <v>1306.5</v>
      </c>
      <c r="G555" s="3">
        <v>20240000</v>
      </c>
      <c r="H555" s="3">
        <f t="shared" si="24"/>
        <v>101541044000</v>
      </c>
      <c r="J555" s="3">
        <v>238782786</v>
      </c>
      <c r="K555" s="3">
        <f t="shared" si="25"/>
        <v>311969709909</v>
      </c>
      <c r="M555" s="4">
        <f t="shared" si="26"/>
        <v>0.67451633676353062</v>
      </c>
    </row>
    <row r="556" spans="1:13" x14ac:dyDescent="0.45">
      <c r="A556" s="2">
        <v>45128</v>
      </c>
      <c r="B556" s="1">
        <v>4926.5</v>
      </c>
      <c r="D556" s="2">
        <v>45128</v>
      </c>
      <c r="E556" s="3">
        <v>1342.65</v>
      </c>
      <c r="G556" s="3">
        <v>20240000</v>
      </c>
      <c r="H556" s="3">
        <f t="shared" si="24"/>
        <v>99712360000</v>
      </c>
      <c r="J556" s="3">
        <v>238782786</v>
      </c>
      <c r="K556" s="3">
        <f t="shared" si="25"/>
        <v>320601707622.90002</v>
      </c>
      <c r="M556" s="4">
        <f t="shared" si="26"/>
        <v>0.68898369026379536</v>
      </c>
    </row>
    <row r="557" spans="1:13" x14ac:dyDescent="0.45">
      <c r="A557" s="2">
        <v>45127</v>
      </c>
      <c r="B557" s="1">
        <v>5031.1499999999996</v>
      </c>
      <c r="D557" s="2">
        <v>45127</v>
      </c>
      <c r="E557" s="3">
        <v>1345.5</v>
      </c>
      <c r="G557" s="3">
        <v>20240000</v>
      </c>
      <c r="H557" s="3">
        <f t="shared" si="24"/>
        <v>101830476000</v>
      </c>
      <c r="J557" s="3">
        <v>238782786</v>
      </c>
      <c r="K557" s="3">
        <f t="shared" si="25"/>
        <v>321282238563</v>
      </c>
      <c r="M557" s="4">
        <f t="shared" si="26"/>
        <v>0.68304978060580801</v>
      </c>
    </row>
    <row r="558" spans="1:13" x14ac:dyDescent="0.45">
      <c r="A558" s="2">
        <v>45126</v>
      </c>
      <c r="B558" s="1">
        <v>5052.3500000000004</v>
      </c>
      <c r="D558" s="2">
        <v>45126</v>
      </c>
      <c r="E558" s="3">
        <v>1334</v>
      </c>
      <c r="G558" s="3">
        <v>20240000</v>
      </c>
      <c r="H558" s="3">
        <f t="shared" si="24"/>
        <v>102259564000</v>
      </c>
      <c r="J558" s="3">
        <v>238782786</v>
      </c>
      <c r="K558" s="3">
        <f t="shared" si="25"/>
        <v>318536236524</v>
      </c>
      <c r="M558" s="4">
        <f t="shared" si="26"/>
        <v>0.67897038931614517</v>
      </c>
    </row>
    <row r="559" spans="1:13" x14ac:dyDescent="0.45">
      <c r="A559" s="2">
        <v>45125</v>
      </c>
      <c r="B559" s="1">
        <v>4921.8999999999996</v>
      </c>
      <c r="D559" s="2">
        <v>45125</v>
      </c>
      <c r="E559" s="3">
        <v>1346</v>
      </c>
      <c r="G559" s="3">
        <v>20240000</v>
      </c>
      <c r="H559" s="3">
        <f t="shared" si="24"/>
        <v>99619256000</v>
      </c>
      <c r="J559" s="3">
        <v>238782786</v>
      </c>
      <c r="K559" s="3">
        <f t="shared" si="25"/>
        <v>321401629956</v>
      </c>
      <c r="M559" s="4">
        <f t="shared" si="26"/>
        <v>0.69004744620107272</v>
      </c>
    </row>
    <row r="560" spans="1:13" x14ac:dyDescent="0.45">
      <c r="A560" s="2">
        <v>45124</v>
      </c>
      <c r="B560" s="1">
        <v>4933.6000000000004</v>
      </c>
      <c r="D560" s="2">
        <v>45124</v>
      </c>
      <c r="E560" s="3">
        <v>1342.45</v>
      </c>
      <c r="G560" s="3">
        <v>20240000</v>
      </c>
      <c r="H560" s="3">
        <f t="shared" si="24"/>
        <v>99856064000</v>
      </c>
      <c r="J560" s="3">
        <v>238782786</v>
      </c>
      <c r="K560" s="3">
        <f t="shared" si="25"/>
        <v>320553951065.70001</v>
      </c>
      <c r="M560" s="4">
        <f t="shared" si="26"/>
        <v>0.68848905568618712</v>
      </c>
    </row>
    <row r="561" spans="1:13" x14ac:dyDescent="0.45">
      <c r="A561" s="2">
        <v>45121</v>
      </c>
      <c r="B561" s="1">
        <v>4875.8500000000004</v>
      </c>
      <c r="D561" s="2">
        <v>45121</v>
      </c>
      <c r="E561" s="3">
        <v>1348.8</v>
      </c>
      <c r="G561" s="3">
        <v>20240000</v>
      </c>
      <c r="H561" s="3">
        <f t="shared" si="24"/>
        <v>98687204000</v>
      </c>
      <c r="J561" s="3">
        <v>238782786</v>
      </c>
      <c r="K561" s="3">
        <f t="shared" si="25"/>
        <v>322070221756.79999</v>
      </c>
      <c r="M561" s="4">
        <f t="shared" si="26"/>
        <v>0.69358482301875091</v>
      </c>
    </row>
    <row r="562" spans="1:13" x14ac:dyDescent="0.45">
      <c r="A562" s="2">
        <v>45120</v>
      </c>
      <c r="B562" s="1">
        <v>4879.6499999999996</v>
      </c>
      <c r="D562" s="2">
        <v>45120</v>
      </c>
      <c r="E562" s="3">
        <v>1329.95</v>
      </c>
      <c r="G562" s="3">
        <v>20240000</v>
      </c>
      <c r="H562" s="3">
        <f t="shared" si="24"/>
        <v>98764116000</v>
      </c>
      <c r="J562" s="3">
        <v>238782786</v>
      </c>
      <c r="K562" s="3">
        <f t="shared" si="25"/>
        <v>317569166240.70001</v>
      </c>
      <c r="M562" s="4">
        <f t="shared" si="26"/>
        <v>0.68899966842139126</v>
      </c>
    </row>
    <row r="563" spans="1:13" x14ac:dyDescent="0.45">
      <c r="A563" s="2">
        <v>45119</v>
      </c>
      <c r="B563" s="1">
        <v>4842.3999999999996</v>
      </c>
      <c r="D563" s="2">
        <v>45119</v>
      </c>
      <c r="E563" s="3">
        <v>1339.45</v>
      </c>
      <c r="G563" s="3">
        <v>20240000</v>
      </c>
      <c r="H563" s="3">
        <f t="shared" si="24"/>
        <v>98010176000</v>
      </c>
      <c r="J563" s="3">
        <v>238782786</v>
      </c>
      <c r="K563" s="3">
        <f t="shared" si="25"/>
        <v>319837602707.70001</v>
      </c>
      <c r="M563" s="4">
        <f t="shared" si="26"/>
        <v>0.69356268565590895</v>
      </c>
    </row>
    <row r="564" spans="1:13" x14ac:dyDescent="0.45">
      <c r="A564" s="2">
        <v>45118</v>
      </c>
      <c r="B564" s="1">
        <v>4817.5</v>
      </c>
      <c r="D564" s="2">
        <v>45118</v>
      </c>
      <c r="E564" s="3">
        <v>1340.65</v>
      </c>
      <c r="G564" s="3">
        <v>20240000</v>
      </c>
      <c r="H564" s="3">
        <f t="shared" si="24"/>
        <v>97506200000</v>
      </c>
      <c r="J564" s="3">
        <v>238782786</v>
      </c>
      <c r="K564" s="3">
        <f t="shared" si="25"/>
        <v>320124142050.90002</v>
      </c>
      <c r="M564" s="4">
        <f t="shared" si="26"/>
        <v>0.69541128833545951</v>
      </c>
    </row>
    <row r="565" spans="1:13" x14ac:dyDescent="0.45">
      <c r="A565" s="2">
        <v>45117</v>
      </c>
      <c r="B565" s="1">
        <v>4750.8</v>
      </c>
      <c r="D565" s="2">
        <v>45117</v>
      </c>
      <c r="E565" s="3">
        <v>1309.25</v>
      </c>
      <c r="G565" s="3">
        <v>20240000</v>
      </c>
      <c r="H565" s="3">
        <f t="shared" si="24"/>
        <v>96156192000</v>
      </c>
      <c r="J565" s="3">
        <v>238782786</v>
      </c>
      <c r="K565" s="3">
        <f t="shared" si="25"/>
        <v>312626362570.5</v>
      </c>
      <c r="M565" s="4">
        <f t="shared" si="26"/>
        <v>0.69242455687557081</v>
      </c>
    </row>
    <row r="566" spans="1:13" x14ac:dyDescent="0.45">
      <c r="A566" s="2">
        <v>45114</v>
      </c>
      <c r="B566" s="1">
        <v>4681.2</v>
      </c>
      <c r="D566" s="2">
        <v>45114</v>
      </c>
      <c r="E566" s="3">
        <v>1322.05</v>
      </c>
      <c r="G566" s="3">
        <v>20240000</v>
      </c>
      <c r="H566" s="3">
        <f t="shared" si="24"/>
        <v>94747488000</v>
      </c>
      <c r="J566" s="3">
        <v>238782786</v>
      </c>
      <c r="K566" s="3">
        <f t="shared" si="25"/>
        <v>315682782231.29999</v>
      </c>
      <c r="M566" s="4">
        <f t="shared" si="26"/>
        <v>0.69986488547044434</v>
      </c>
    </row>
    <row r="567" spans="1:13" x14ac:dyDescent="0.45">
      <c r="A567" s="2">
        <v>45113</v>
      </c>
      <c r="B567" s="1">
        <v>4731.3999999999996</v>
      </c>
      <c r="D567" s="2">
        <v>45113</v>
      </c>
      <c r="E567" s="3">
        <v>1314.6</v>
      </c>
      <c r="G567" s="3">
        <v>20240000</v>
      </c>
      <c r="H567" s="3">
        <f t="shared" si="24"/>
        <v>95763536000</v>
      </c>
      <c r="J567" s="3">
        <v>238782786</v>
      </c>
      <c r="K567" s="3">
        <f t="shared" si="25"/>
        <v>313903850475.59998</v>
      </c>
      <c r="M567" s="4">
        <f t="shared" si="26"/>
        <v>0.69492717003978322</v>
      </c>
    </row>
    <row r="568" spans="1:13" x14ac:dyDescent="0.45">
      <c r="A568" s="2">
        <v>45112</v>
      </c>
      <c r="B568" s="1">
        <v>4686.6499999999996</v>
      </c>
      <c r="D568" s="2">
        <v>45112</v>
      </c>
      <c r="E568" s="3">
        <v>1320.8</v>
      </c>
      <c r="G568" s="3">
        <v>20240000</v>
      </c>
      <c r="H568" s="3">
        <f t="shared" si="24"/>
        <v>94857796000</v>
      </c>
      <c r="J568" s="3">
        <v>238782786</v>
      </c>
      <c r="K568" s="3">
        <f t="shared" si="25"/>
        <v>315384303748.79999</v>
      </c>
      <c r="M568" s="4">
        <f t="shared" si="26"/>
        <v>0.69923108134273804</v>
      </c>
    </row>
    <row r="569" spans="1:13" x14ac:dyDescent="0.45">
      <c r="A569" s="2">
        <v>45111</v>
      </c>
      <c r="B569" s="1">
        <v>4670.8999999999996</v>
      </c>
      <c r="D569" s="2">
        <v>45111</v>
      </c>
      <c r="E569" s="3">
        <v>1303</v>
      </c>
      <c r="G569" s="3">
        <v>20240000</v>
      </c>
      <c r="H569" s="3">
        <f t="shared" si="24"/>
        <v>94539016000</v>
      </c>
      <c r="J569" s="3">
        <v>238782786</v>
      </c>
      <c r="K569" s="3">
        <f t="shared" si="25"/>
        <v>311133970158</v>
      </c>
      <c r="M569" s="4">
        <f t="shared" si="26"/>
        <v>0.69614691718814492</v>
      </c>
    </row>
    <row r="570" spans="1:13" x14ac:dyDescent="0.45">
      <c r="A570" s="2">
        <v>45110</v>
      </c>
      <c r="B570" s="1">
        <v>4669.8500000000004</v>
      </c>
      <c r="D570" s="2">
        <v>45110</v>
      </c>
      <c r="E570" s="3">
        <v>1318.4</v>
      </c>
      <c r="G570" s="3">
        <v>20240000</v>
      </c>
      <c r="H570" s="3">
        <f t="shared" si="24"/>
        <v>94517764000</v>
      </c>
      <c r="J570" s="3">
        <v>238782786</v>
      </c>
      <c r="K570" s="3">
        <f t="shared" si="25"/>
        <v>314811225062.40002</v>
      </c>
      <c r="M570" s="4">
        <f t="shared" si="26"/>
        <v>0.69976367907063908</v>
      </c>
    </row>
    <row r="571" spans="1:13" x14ac:dyDescent="0.45">
      <c r="A571" s="2">
        <v>45107</v>
      </c>
      <c r="B571" s="1">
        <v>4656.7</v>
      </c>
      <c r="D571" s="2">
        <v>45107</v>
      </c>
      <c r="E571" s="3">
        <v>1324.95</v>
      </c>
      <c r="G571" s="3">
        <v>20240000</v>
      </c>
      <c r="H571" s="3">
        <f t="shared" si="24"/>
        <v>94251608000</v>
      </c>
      <c r="J571" s="3">
        <v>238782786</v>
      </c>
      <c r="K571" s="3">
        <f t="shared" si="25"/>
        <v>316375252310.70001</v>
      </c>
      <c r="M571" s="4">
        <f t="shared" si="26"/>
        <v>0.70208918898802142</v>
      </c>
    </row>
    <row r="572" spans="1:13" x14ac:dyDescent="0.45">
      <c r="A572" s="2">
        <v>45105</v>
      </c>
      <c r="B572" s="1">
        <v>4697.6000000000004</v>
      </c>
      <c r="D572" s="2">
        <v>45105</v>
      </c>
      <c r="E572" s="3">
        <v>1328.55</v>
      </c>
      <c r="G572" s="3">
        <v>20240000</v>
      </c>
      <c r="H572" s="3">
        <f t="shared" si="24"/>
        <v>95079424000</v>
      </c>
      <c r="J572" s="3">
        <v>238782786</v>
      </c>
      <c r="K572" s="3">
        <f t="shared" si="25"/>
        <v>317234870340.29999</v>
      </c>
      <c r="M572" s="4">
        <f t="shared" si="26"/>
        <v>0.7002869706662207</v>
      </c>
    </row>
    <row r="573" spans="1:13" x14ac:dyDescent="0.45">
      <c r="A573" s="2">
        <v>45104</v>
      </c>
      <c r="B573" s="1">
        <v>4707.3</v>
      </c>
      <c r="D573" s="2">
        <v>45104</v>
      </c>
      <c r="E573" s="3">
        <v>1305.25</v>
      </c>
      <c r="G573" s="3">
        <v>20240000</v>
      </c>
      <c r="H573" s="3">
        <f t="shared" si="24"/>
        <v>95275752000</v>
      </c>
      <c r="J573" s="3">
        <v>238782786</v>
      </c>
      <c r="K573" s="3">
        <f t="shared" si="25"/>
        <v>311671231426.5</v>
      </c>
      <c r="M573" s="4">
        <f t="shared" si="26"/>
        <v>0.69430687726958706</v>
      </c>
    </row>
    <row r="574" spans="1:13" x14ac:dyDescent="0.45">
      <c r="A574" s="2">
        <v>45103</v>
      </c>
      <c r="B574" s="1">
        <v>4794.75</v>
      </c>
      <c r="D574" s="2">
        <v>45103</v>
      </c>
      <c r="E574" s="3">
        <v>1290</v>
      </c>
      <c r="G574" s="3">
        <v>20240000</v>
      </c>
      <c r="H574" s="3">
        <f t="shared" si="24"/>
        <v>97045740000</v>
      </c>
      <c r="J574" s="3">
        <v>238782786</v>
      </c>
      <c r="K574" s="3">
        <f t="shared" si="25"/>
        <v>308029793940</v>
      </c>
      <c r="M574" s="4">
        <f t="shared" si="26"/>
        <v>0.68494690478251852</v>
      </c>
    </row>
    <row r="575" spans="1:13" x14ac:dyDescent="0.45">
      <c r="A575" s="2">
        <v>45100</v>
      </c>
      <c r="B575" s="1">
        <v>4808</v>
      </c>
      <c r="D575" s="2">
        <v>45100</v>
      </c>
      <c r="E575" s="3">
        <v>1301.7</v>
      </c>
      <c r="G575" s="3">
        <v>20240000</v>
      </c>
      <c r="H575" s="3">
        <f t="shared" si="24"/>
        <v>97313920000</v>
      </c>
      <c r="J575" s="3">
        <v>238782786</v>
      </c>
      <c r="K575" s="3">
        <f t="shared" si="25"/>
        <v>310823552536.20001</v>
      </c>
      <c r="M575" s="4">
        <f t="shared" si="26"/>
        <v>0.68691587492017248</v>
      </c>
    </row>
    <row r="576" spans="1:13" x14ac:dyDescent="0.45">
      <c r="A576" s="2">
        <v>45099</v>
      </c>
      <c r="B576" s="1">
        <v>4765.3</v>
      </c>
      <c r="D576" s="2">
        <v>45099</v>
      </c>
      <c r="E576" s="3">
        <v>1325.6</v>
      </c>
      <c r="G576" s="3">
        <v>20240000</v>
      </c>
      <c r="H576" s="3">
        <f t="shared" si="24"/>
        <v>96449672000</v>
      </c>
      <c r="J576" s="3">
        <v>238782786</v>
      </c>
      <c r="K576" s="3">
        <f t="shared" si="25"/>
        <v>316530461121.59998</v>
      </c>
      <c r="M576" s="4">
        <f t="shared" si="26"/>
        <v>0.69529102615199045</v>
      </c>
    </row>
    <row r="577" spans="1:13" x14ac:dyDescent="0.45">
      <c r="A577" s="2">
        <v>45098</v>
      </c>
      <c r="B577" s="1">
        <v>4840.95</v>
      </c>
      <c r="D577" s="2">
        <v>45098</v>
      </c>
      <c r="E577" s="3">
        <v>1350.4</v>
      </c>
      <c r="G577" s="3">
        <v>20240000</v>
      </c>
      <c r="H577" s="3">
        <f t="shared" si="24"/>
        <v>97980828000</v>
      </c>
      <c r="J577" s="3">
        <v>238782786</v>
      </c>
      <c r="K577" s="3">
        <f t="shared" si="25"/>
        <v>322452274214.40002</v>
      </c>
      <c r="M577" s="4">
        <f t="shared" si="26"/>
        <v>0.69613851154030915</v>
      </c>
    </row>
    <row r="578" spans="1:13" x14ac:dyDescent="0.45">
      <c r="A578" s="2">
        <v>45097</v>
      </c>
      <c r="B578" s="1">
        <v>4932.2</v>
      </c>
      <c r="D578" s="2">
        <v>45097</v>
      </c>
      <c r="E578" s="3">
        <v>1342.95</v>
      </c>
      <c r="G578" s="3">
        <v>20240000</v>
      </c>
      <c r="H578" s="3">
        <f t="shared" si="24"/>
        <v>99827728000</v>
      </c>
      <c r="J578" s="3">
        <v>238782786</v>
      </c>
      <c r="K578" s="3">
        <f t="shared" si="25"/>
        <v>320673342458.70001</v>
      </c>
      <c r="M578" s="4">
        <f t="shared" si="26"/>
        <v>0.68869339984861089</v>
      </c>
    </row>
    <row r="579" spans="1:13" x14ac:dyDescent="0.45">
      <c r="A579" s="2">
        <v>45096</v>
      </c>
      <c r="B579" s="1">
        <v>4777.25</v>
      </c>
      <c r="D579" s="2">
        <v>45096</v>
      </c>
      <c r="E579" s="3">
        <v>1337.85</v>
      </c>
      <c r="G579" s="3">
        <v>20240000</v>
      </c>
      <c r="H579" s="3">
        <f t="shared" si="24"/>
        <v>96691540000</v>
      </c>
      <c r="J579" s="3">
        <v>238782786</v>
      </c>
      <c r="K579" s="3">
        <f t="shared" si="25"/>
        <v>319455550250.09998</v>
      </c>
      <c r="M579" s="4">
        <f t="shared" si="26"/>
        <v>0.69732396283520282</v>
      </c>
    </row>
    <row r="580" spans="1:13" x14ac:dyDescent="0.45">
      <c r="A580" s="2">
        <v>45093</v>
      </c>
      <c r="B580" s="1">
        <v>4837.8</v>
      </c>
      <c r="D580" s="2">
        <v>45093</v>
      </c>
      <c r="E580" s="3">
        <v>1352.05</v>
      </c>
      <c r="G580" s="3">
        <v>20240000</v>
      </c>
      <c r="H580" s="3">
        <f t="shared" ref="H580:H643" si="27">+G580*B580</f>
        <v>97917072000</v>
      </c>
      <c r="J580" s="3">
        <v>238782786</v>
      </c>
      <c r="K580" s="3">
        <f t="shared" ref="K580:K643" si="28">+J580*E580</f>
        <v>322846265811.29999</v>
      </c>
      <c r="M580" s="4">
        <f t="shared" ref="M580:M643" si="29">1- (H580/K580)</f>
        <v>0.69670681569155446</v>
      </c>
    </row>
    <row r="581" spans="1:13" x14ac:dyDescent="0.45">
      <c r="A581" s="2">
        <v>45092</v>
      </c>
      <c r="B581" s="1">
        <v>4729.8500000000004</v>
      </c>
      <c r="D581" s="2">
        <v>45092</v>
      </c>
      <c r="E581" s="3">
        <v>1333.2</v>
      </c>
      <c r="G581" s="3">
        <v>20240000</v>
      </c>
      <c r="H581" s="3">
        <f t="shared" si="27"/>
        <v>95732164000</v>
      </c>
      <c r="J581" s="3">
        <v>238782786</v>
      </c>
      <c r="K581" s="3">
        <f t="shared" si="28"/>
        <v>318345210295.20001</v>
      </c>
      <c r="M581" s="4">
        <f t="shared" si="29"/>
        <v>0.69928190874545271</v>
      </c>
    </row>
    <row r="582" spans="1:13" x14ac:dyDescent="0.45">
      <c r="A582" s="2">
        <v>45091</v>
      </c>
      <c r="B582" s="1">
        <v>4862.95</v>
      </c>
      <c r="D582" s="2">
        <v>45091</v>
      </c>
      <c r="E582" s="3">
        <v>1344.8</v>
      </c>
      <c r="G582" s="3">
        <v>20240000</v>
      </c>
      <c r="H582" s="3">
        <f t="shared" si="27"/>
        <v>98426108000</v>
      </c>
      <c r="J582" s="3">
        <v>238782786</v>
      </c>
      <c r="K582" s="3">
        <f t="shared" si="28"/>
        <v>321115090612.79999</v>
      </c>
      <c r="M582" s="4">
        <f t="shared" si="29"/>
        <v>0.69348650724521066</v>
      </c>
    </row>
    <row r="583" spans="1:13" x14ac:dyDescent="0.45">
      <c r="A583" s="2">
        <v>45090</v>
      </c>
      <c r="B583" s="1">
        <v>4744.75</v>
      </c>
      <c r="D583" s="2">
        <v>45090</v>
      </c>
      <c r="E583" s="3">
        <v>1346.4</v>
      </c>
      <c r="G583" s="3">
        <v>20240000</v>
      </c>
      <c r="H583" s="3">
        <f t="shared" si="27"/>
        <v>96033740000</v>
      </c>
      <c r="J583" s="3">
        <v>238782786</v>
      </c>
      <c r="K583" s="3">
        <f t="shared" si="28"/>
        <v>321497143070.40002</v>
      </c>
      <c r="M583" s="4">
        <f t="shared" si="29"/>
        <v>0.70129208899697448</v>
      </c>
    </row>
    <row r="584" spans="1:13" x14ac:dyDescent="0.45">
      <c r="A584" s="2">
        <v>45089</v>
      </c>
      <c r="B584" s="1">
        <v>4558.6499999999996</v>
      </c>
      <c r="D584" s="2">
        <v>45089</v>
      </c>
      <c r="E584" s="3">
        <v>1339.4</v>
      </c>
      <c r="G584" s="3">
        <v>20240000</v>
      </c>
      <c r="H584" s="3">
        <f t="shared" si="27"/>
        <v>92267076000</v>
      </c>
      <c r="J584" s="3">
        <v>238782786</v>
      </c>
      <c r="K584" s="3">
        <f t="shared" si="28"/>
        <v>319825663568.40002</v>
      </c>
      <c r="M584" s="4">
        <f t="shared" si="29"/>
        <v>0.7115082167874025</v>
      </c>
    </row>
    <row r="585" spans="1:13" x14ac:dyDescent="0.45">
      <c r="A585" s="2">
        <v>45086</v>
      </c>
      <c r="B585" s="1">
        <v>4446.1499999999996</v>
      </c>
      <c r="D585" s="2">
        <v>45086</v>
      </c>
      <c r="E585" s="3">
        <v>1337.25</v>
      </c>
      <c r="G585" s="3">
        <v>20240000</v>
      </c>
      <c r="H585" s="3">
        <f t="shared" si="27"/>
        <v>89990076000</v>
      </c>
      <c r="J585" s="3">
        <v>238782786</v>
      </c>
      <c r="K585" s="3">
        <f t="shared" si="28"/>
        <v>319312280578.5</v>
      </c>
      <c r="M585" s="4">
        <f t="shared" si="29"/>
        <v>0.718175336579713</v>
      </c>
    </row>
    <row r="586" spans="1:13" x14ac:dyDescent="0.45">
      <c r="A586" s="2">
        <v>45085</v>
      </c>
      <c r="B586" s="1">
        <v>4367.8500000000004</v>
      </c>
      <c r="D586" s="2">
        <v>45085</v>
      </c>
      <c r="E586" s="3">
        <v>1325.35</v>
      </c>
      <c r="G586" s="3">
        <v>20240000</v>
      </c>
      <c r="H586" s="3">
        <f t="shared" si="27"/>
        <v>88405284000</v>
      </c>
      <c r="J586" s="3">
        <v>238782786</v>
      </c>
      <c r="K586" s="3">
        <f t="shared" si="28"/>
        <v>316470765425.09998</v>
      </c>
      <c r="M586" s="4">
        <f t="shared" si="29"/>
        <v>0.72065260473191128</v>
      </c>
    </row>
    <row r="587" spans="1:13" x14ac:dyDescent="0.45">
      <c r="A587" s="2">
        <v>45084</v>
      </c>
      <c r="B587" s="1">
        <v>4434.3</v>
      </c>
      <c r="D587" s="2">
        <v>45084</v>
      </c>
      <c r="E587" s="3">
        <v>1348.3</v>
      </c>
      <c r="G587" s="3">
        <v>20240000</v>
      </c>
      <c r="H587" s="3">
        <f t="shared" si="27"/>
        <v>89750232000</v>
      </c>
      <c r="J587" s="3">
        <v>238782786</v>
      </c>
      <c r="K587" s="3">
        <f t="shared" si="28"/>
        <v>321950830363.79999</v>
      </c>
      <c r="M587" s="4">
        <f t="shared" si="29"/>
        <v>0.72123000304554741</v>
      </c>
    </row>
    <row r="588" spans="1:13" x14ac:dyDescent="0.45">
      <c r="A588" s="2">
        <v>45083</v>
      </c>
      <c r="B588" s="1">
        <v>4283.55</v>
      </c>
      <c r="D588" s="2">
        <v>45083</v>
      </c>
      <c r="E588" s="3">
        <v>1330.7</v>
      </c>
      <c r="G588" s="3">
        <v>20240000</v>
      </c>
      <c r="H588" s="3">
        <f t="shared" si="27"/>
        <v>86699052000</v>
      </c>
      <c r="J588" s="3">
        <v>238782786</v>
      </c>
      <c r="K588" s="3">
        <f t="shared" si="28"/>
        <v>317748253330.20001</v>
      </c>
      <c r="M588" s="4">
        <f t="shared" si="29"/>
        <v>0.72714546471510122</v>
      </c>
    </row>
    <row r="589" spans="1:13" x14ac:dyDescent="0.45">
      <c r="A589" s="2">
        <v>45082</v>
      </c>
      <c r="B589" s="1">
        <v>4278.75</v>
      </c>
      <c r="D589" s="2">
        <v>45082</v>
      </c>
      <c r="E589" s="3">
        <v>1294.6500000000001</v>
      </c>
      <c r="G589" s="3">
        <v>20240000</v>
      </c>
      <c r="H589" s="3">
        <f t="shared" si="27"/>
        <v>86601900000</v>
      </c>
      <c r="J589" s="3">
        <v>238782786</v>
      </c>
      <c r="K589" s="3">
        <f t="shared" si="28"/>
        <v>309140133894.90002</v>
      </c>
      <c r="M589" s="4">
        <f t="shared" si="29"/>
        <v>0.7198619962122339</v>
      </c>
    </row>
    <row r="590" spans="1:13" x14ac:dyDescent="0.45">
      <c r="A590" s="2">
        <v>45079</v>
      </c>
      <c r="B590" s="1">
        <v>4312.95</v>
      </c>
      <c r="D590" s="2">
        <v>45079</v>
      </c>
      <c r="E590" s="3">
        <v>1305.3499999999999</v>
      </c>
      <c r="G590" s="3">
        <v>20240000</v>
      </c>
      <c r="H590" s="3">
        <f t="shared" si="27"/>
        <v>87294108000</v>
      </c>
      <c r="J590" s="3">
        <v>238782786</v>
      </c>
      <c r="K590" s="3">
        <f t="shared" si="28"/>
        <v>311695109705.09998</v>
      </c>
      <c r="M590" s="4">
        <f t="shared" si="29"/>
        <v>0.71993751174796916</v>
      </c>
    </row>
    <row r="591" spans="1:13" x14ac:dyDescent="0.45">
      <c r="A591" s="2">
        <v>45078</v>
      </c>
      <c r="B591" s="1">
        <v>4320.6499999999996</v>
      </c>
      <c r="D591" s="2">
        <v>45078</v>
      </c>
      <c r="E591" s="3">
        <v>1271.75</v>
      </c>
      <c r="G591" s="3">
        <v>20240000</v>
      </c>
      <c r="H591" s="3">
        <f t="shared" si="27"/>
        <v>87449956000</v>
      </c>
      <c r="J591" s="3">
        <v>238782786</v>
      </c>
      <c r="K591" s="3">
        <f t="shared" si="28"/>
        <v>303672008095.5</v>
      </c>
      <c r="M591" s="4">
        <f t="shared" si="29"/>
        <v>0.71202496881932431</v>
      </c>
    </row>
    <row r="592" spans="1:13" x14ac:dyDescent="0.45">
      <c r="A592" s="2">
        <v>45077</v>
      </c>
      <c r="B592" s="1">
        <v>4306.1499999999996</v>
      </c>
      <c r="D592" s="2">
        <v>45077</v>
      </c>
      <c r="E592" s="3">
        <v>1300.4000000000001</v>
      </c>
      <c r="G592" s="3">
        <v>20240000</v>
      </c>
      <c r="H592" s="3">
        <f t="shared" si="27"/>
        <v>87156476000</v>
      </c>
      <c r="J592" s="3">
        <v>238782786</v>
      </c>
      <c r="K592" s="3">
        <f t="shared" si="28"/>
        <v>310513134914.40002</v>
      </c>
      <c r="M592" s="4">
        <f t="shared" si="29"/>
        <v>0.71931468849449265</v>
      </c>
    </row>
    <row r="593" spans="1:13" x14ac:dyDescent="0.45">
      <c r="A593" s="2">
        <v>45076</v>
      </c>
      <c r="B593" s="1">
        <v>4291.3500000000004</v>
      </c>
      <c r="D593" s="2">
        <v>45076</v>
      </c>
      <c r="E593" s="3">
        <v>1282.4000000000001</v>
      </c>
      <c r="G593" s="3">
        <v>20240000</v>
      </c>
      <c r="H593" s="3">
        <f t="shared" si="27"/>
        <v>86856924000</v>
      </c>
      <c r="J593" s="3">
        <v>238782786</v>
      </c>
      <c r="K593" s="3">
        <f t="shared" si="28"/>
        <v>306215044766.40002</v>
      </c>
      <c r="M593" s="4">
        <f t="shared" si="29"/>
        <v>0.71635317896852557</v>
      </c>
    </row>
    <row r="594" spans="1:13" x14ac:dyDescent="0.45">
      <c r="A594" s="2">
        <v>45075</v>
      </c>
      <c r="B594" s="1">
        <v>4217.8999999999996</v>
      </c>
      <c r="D594" s="2">
        <v>45075</v>
      </c>
      <c r="E594" s="3">
        <v>1299.55</v>
      </c>
      <c r="G594" s="3">
        <v>20240000</v>
      </c>
      <c r="H594" s="3">
        <f t="shared" si="27"/>
        <v>85370296000</v>
      </c>
      <c r="J594" s="3">
        <v>238782786</v>
      </c>
      <c r="K594" s="3">
        <f t="shared" si="28"/>
        <v>310310169546.29999</v>
      </c>
      <c r="M594" s="4">
        <f t="shared" si="29"/>
        <v>0.72488721164111802</v>
      </c>
    </row>
    <row r="595" spans="1:13" x14ac:dyDescent="0.45">
      <c r="A595" s="2">
        <v>45072</v>
      </c>
      <c r="B595" s="1">
        <v>4200.8500000000004</v>
      </c>
      <c r="D595" s="2">
        <v>45072</v>
      </c>
      <c r="E595" s="3">
        <v>1292.05</v>
      </c>
      <c r="G595" s="3">
        <v>20240000</v>
      </c>
      <c r="H595" s="3">
        <f t="shared" si="27"/>
        <v>85025204000</v>
      </c>
      <c r="J595" s="3">
        <v>238782786</v>
      </c>
      <c r="K595" s="3">
        <f t="shared" si="28"/>
        <v>308519298651.29999</v>
      </c>
      <c r="M595" s="4">
        <f t="shared" si="29"/>
        <v>0.72440879915230627</v>
      </c>
    </row>
    <row r="596" spans="1:13" x14ac:dyDescent="0.45">
      <c r="A596" s="2">
        <v>45071</v>
      </c>
      <c r="B596" s="1">
        <v>4168</v>
      </c>
      <c r="D596" s="2">
        <v>45071</v>
      </c>
      <c r="E596" s="3">
        <v>1283.55</v>
      </c>
      <c r="G596" s="3">
        <v>20240000</v>
      </c>
      <c r="H596" s="3">
        <f t="shared" si="27"/>
        <v>84360320000</v>
      </c>
      <c r="J596" s="3">
        <v>238782786</v>
      </c>
      <c r="K596" s="3">
        <f t="shared" si="28"/>
        <v>306489644970.29999</v>
      </c>
      <c r="M596" s="4">
        <f t="shared" si="29"/>
        <v>0.72475311520500196</v>
      </c>
    </row>
    <row r="597" spans="1:13" x14ac:dyDescent="0.45">
      <c r="A597" s="2">
        <v>45070</v>
      </c>
      <c r="B597" s="1">
        <v>4202.5</v>
      </c>
      <c r="D597" s="2">
        <v>45070</v>
      </c>
      <c r="E597" s="3">
        <v>1272.7</v>
      </c>
      <c r="G597" s="3">
        <v>20240000</v>
      </c>
      <c r="H597" s="3">
        <f t="shared" si="27"/>
        <v>85058600000</v>
      </c>
      <c r="J597" s="3">
        <v>238782786</v>
      </c>
      <c r="K597" s="3">
        <f t="shared" si="28"/>
        <v>303898851742.20001</v>
      </c>
      <c r="M597" s="4">
        <f t="shared" si="29"/>
        <v>0.72010884703126177</v>
      </c>
    </row>
    <row r="598" spans="1:13" x14ac:dyDescent="0.45">
      <c r="A598" s="2">
        <v>45069</v>
      </c>
      <c r="B598" s="1">
        <v>4181.6000000000004</v>
      </c>
      <c r="D598" s="2">
        <v>45069</v>
      </c>
      <c r="E598" s="3">
        <v>1260.45</v>
      </c>
      <c r="G598" s="3">
        <v>20240000</v>
      </c>
      <c r="H598" s="3">
        <f t="shared" si="27"/>
        <v>84635584000</v>
      </c>
      <c r="J598" s="3">
        <v>238782786</v>
      </c>
      <c r="K598" s="3">
        <f t="shared" si="28"/>
        <v>300973762613.70001</v>
      </c>
      <c r="M598" s="4">
        <f t="shared" si="29"/>
        <v>0.71879414582516343</v>
      </c>
    </row>
    <row r="599" spans="1:13" x14ac:dyDescent="0.45">
      <c r="A599" s="2">
        <v>45068</v>
      </c>
      <c r="B599" s="1">
        <v>4126.3999999999996</v>
      </c>
      <c r="D599" s="2">
        <v>45068</v>
      </c>
      <c r="E599" s="3">
        <v>1239.3</v>
      </c>
      <c r="G599" s="3">
        <v>20240000</v>
      </c>
      <c r="H599" s="3">
        <f t="shared" si="27"/>
        <v>83518336000</v>
      </c>
      <c r="J599" s="3">
        <v>238782786</v>
      </c>
      <c r="K599" s="3">
        <f t="shared" si="28"/>
        <v>295923506689.79999</v>
      </c>
      <c r="M599" s="4">
        <f t="shared" si="29"/>
        <v>0.71777052477433778</v>
      </c>
    </row>
    <row r="600" spans="1:13" x14ac:dyDescent="0.45">
      <c r="A600" s="2">
        <v>45065</v>
      </c>
      <c r="B600" s="1">
        <v>4094.35</v>
      </c>
      <c r="D600" s="2">
        <v>45065</v>
      </c>
      <c r="E600" s="3">
        <v>1240.1500000000001</v>
      </c>
      <c r="G600" s="3">
        <v>20240000</v>
      </c>
      <c r="H600" s="3">
        <f t="shared" si="27"/>
        <v>82869644000</v>
      </c>
      <c r="J600" s="3">
        <v>238782786</v>
      </c>
      <c r="K600" s="3">
        <f t="shared" si="28"/>
        <v>296126472057.90002</v>
      </c>
      <c r="M600" s="4">
        <f t="shared" si="29"/>
        <v>0.72015455617964164</v>
      </c>
    </row>
    <row r="601" spans="1:13" x14ac:dyDescent="0.45">
      <c r="A601" s="2">
        <v>45064</v>
      </c>
      <c r="B601" s="1">
        <v>4098.1000000000004</v>
      </c>
      <c r="D601" s="2">
        <v>45064</v>
      </c>
      <c r="E601" s="3">
        <v>1240.5999999999999</v>
      </c>
      <c r="G601" s="3">
        <v>20240000</v>
      </c>
      <c r="H601" s="3">
        <f t="shared" si="27"/>
        <v>82945544000</v>
      </c>
      <c r="J601" s="3">
        <v>238782786</v>
      </c>
      <c r="K601" s="3">
        <f t="shared" si="28"/>
        <v>296233924311.59998</v>
      </c>
      <c r="M601" s="4">
        <f t="shared" si="29"/>
        <v>0.71999984744234768</v>
      </c>
    </row>
    <row r="602" spans="1:13" x14ac:dyDescent="0.45">
      <c r="A602" s="2">
        <v>45063</v>
      </c>
      <c r="B602" s="1">
        <v>4161.6000000000004</v>
      </c>
      <c r="D602" s="2">
        <v>45063</v>
      </c>
      <c r="E602" s="1">
        <v>1252.25</v>
      </c>
      <c r="G602" s="3">
        <v>20240000</v>
      </c>
      <c r="H602" s="3">
        <f t="shared" si="27"/>
        <v>84230784000</v>
      </c>
      <c r="J602" s="3">
        <v>238782786</v>
      </c>
      <c r="K602" s="3">
        <f t="shared" si="28"/>
        <v>299015743768.5</v>
      </c>
      <c r="M602" s="4">
        <f t="shared" si="29"/>
        <v>0.71830652480555657</v>
      </c>
    </row>
    <row r="603" spans="1:13" x14ac:dyDescent="0.45">
      <c r="A603" s="2">
        <v>45062</v>
      </c>
      <c r="B603" s="1">
        <v>4166.6000000000004</v>
      </c>
      <c r="D603" s="2">
        <v>45062</v>
      </c>
      <c r="E603" s="1">
        <v>1244.05</v>
      </c>
      <c r="G603" s="3">
        <v>20240000</v>
      </c>
      <c r="H603" s="3">
        <f t="shared" si="27"/>
        <v>84331984000</v>
      </c>
      <c r="J603" s="3">
        <v>238782786</v>
      </c>
      <c r="K603" s="3">
        <f t="shared" si="28"/>
        <v>297057724923.29999</v>
      </c>
      <c r="M603" s="4">
        <f t="shared" si="29"/>
        <v>0.71610910296382824</v>
      </c>
    </row>
    <row r="604" spans="1:13" x14ac:dyDescent="0.45">
      <c r="A604" s="2">
        <v>45061</v>
      </c>
      <c r="B604" s="1">
        <v>4192.8</v>
      </c>
      <c r="D604" s="2">
        <v>45061</v>
      </c>
      <c r="E604" s="1">
        <v>1235.05</v>
      </c>
      <c r="G604" s="3">
        <v>20240000</v>
      </c>
      <c r="H604" s="3">
        <f t="shared" si="27"/>
        <v>84862272000</v>
      </c>
      <c r="J604" s="3">
        <v>238782786</v>
      </c>
      <c r="K604" s="3">
        <f t="shared" si="28"/>
        <v>294908679849.29999</v>
      </c>
      <c r="M604" s="4">
        <f t="shared" si="29"/>
        <v>0.71224220310041364</v>
      </c>
    </row>
    <row r="605" spans="1:13" x14ac:dyDescent="0.45">
      <c r="A605" s="2">
        <v>45058</v>
      </c>
      <c r="B605" s="1">
        <v>4193.3500000000004</v>
      </c>
      <c r="D605" s="2">
        <v>45058</v>
      </c>
      <c r="E605" s="3">
        <v>1236.3</v>
      </c>
      <c r="G605" s="3">
        <v>20240000</v>
      </c>
      <c r="H605" s="3">
        <f t="shared" si="27"/>
        <v>84873404000</v>
      </c>
      <c r="J605" s="3">
        <v>238782786</v>
      </c>
      <c r="K605" s="3">
        <f t="shared" si="28"/>
        <v>295207158331.79999</v>
      </c>
      <c r="M605" s="4">
        <f t="shared" si="29"/>
        <v>0.71249544055904634</v>
      </c>
    </row>
    <row r="606" spans="1:13" x14ac:dyDescent="0.45">
      <c r="A606" s="2">
        <v>45057</v>
      </c>
      <c r="B606" s="1">
        <v>4226.3999999999996</v>
      </c>
      <c r="D606" s="2">
        <v>45057</v>
      </c>
      <c r="E606" s="1">
        <v>1239.6500000000001</v>
      </c>
      <c r="G606" s="3">
        <v>20240000</v>
      </c>
      <c r="H606" s="3">
        <f t="shared" si="27"/>
        <v>85542336000</v>
      </c>
      <c r="J606" s="3">
        <v>238782786</v>
      </c>
      <c r="K606" s="3">
        <f t="shared" si="28"/>
        <v>296007080664.90002</v>
      </c>
      <c r="M606" s="4">
        <f t="shared" si="29"/>
        <v>0.71101253453852453</v>
      </c>
    </row>
    <row r="607" spans="1:13" x14ac:dyDescent="0.45">
      <c r="A607" s="2">
        <v>45056</v>
      </c>
      <c r="B607" s="1">
        <v>4177.6000000000004</v>
      </c>
      <c r="D607" s="2">
        <v>45056</v>
      </c>
      <c r="E607" s="1">
        <v>1242.2</v>
      </c>
      <c r="G607" s="3">
        <v>20240000</v>
      </c>
      <c r="H607" s="3">
        <f t="shared" si="27"/>
        <v>84554624000</v>
      </c>
      <c r="J607" s="3">
        <v>238782786</v>
      </c>
      <c r="K607" s="3">
        <f t="shared" si="28"/>
        <v>296615976769.20001</v>
      </c>
      <c r="M607" s="4">
        <f t="shared" si="29"/>
        <v>0.71493570602303458</v>
      </c>
    </row>
    <row r="608" spans="1:13" x14ac:dyDescent="0.45">
      <c r="A608" s="2">
        <v>45055</v>
      </c>
      <c r="B608" s="1">
        <v>4069.85</v>
      </c>
      <c r="D608" s="2">
        <v>45055</v>
      </c>
      <c r="E608" s="1">
        <v>1228.8499999999999</v>
      </c>
      <c r="G608" s="3">
        <v>20240000</v>
      </c>
      <c r="H608" s="3">
        <f t="shared" si="27"/>
        <v>82373764000</v>
      </c>
      <c r="J608" s="3">
        <v>238782786</v>
      </c>
      <c r="K608" s="3">
        <f t="shared" si="28"/>
        <v>293428226576.09998</v>
      </c>
      <c r="M608" s="4">
        <f t="shared" si="29"/>
        <v>0.71927116569122385</v>
      </c>
    </row>
    <row r="609" spans="1:13" x14ac:dyDescent="0.45">
      <c r="A609" s="2">
        <v>45054</v>
      </c>
      <c r="B609" s="1">
        <v>4004.15</v>
      </c>
      <c r="D609" s="2">
        <v>45054</v>
      </c>
      <c r="E609" s="1">
        <v>1229.6500000000001</v>
      </c>
      <c r="G609" s="3">
        <v>20240000</v>
      </c>
      <c r="H609" s="3">
        <f t="shared" si="27"/>
        <v>81043996000</v>
      </c>
      <c r="J609" s="3">
        <v>238782786</v>
      </c>
      <c r="K609" s="3">
        <f t="shared" si="28"/>
        <v>293619252804.90002</v>
      </c>
      <c r="M609" s="4">
        <f t="shared" si="29"/>
        <v>0.72398269110148927</v>
      </c>
    </row>
    <row r="610" spans="1:13" x14ac:dyDescent="0.45">
      <c r="A610" s="2">
        <v>45051</v>
      </c>
      <c r="B610" s="1">
        <v>3976.55</v>
      </c>
      <c r="D610" s="2">
        <v>45051</v>
      </c>
      <c r="E610" s="1">
        <v>1214.75</v>
      </c>
      <c r="G610" s="3">
        <v>20240000</v>
      </c>
      <c r="H610" s="3">
        <f t="shared" si="27"/>
        <v>80485372000</v>
      </c>
      <c r="J610" s="3">
        <v>238782786</v>
      </c>
      <c r="K610" s="3">
        <f t="shared" si="28"/>
        <v>290061389293.5</v>
      </c>
      <c r="M610" s="4">
        <f t="shared" si="29"/>
        <v>0.72252297282296851</v>
      </c>
    </row>
    <row r="611" spans="1:13" x14ac:dyDescent="0.45">
      <c r="A611" s="2">
        <v>45050</v>
      </c>
      <c r="B611" s="1">
        <v>3981.2</v>
      </c>
      <c r="D611" s="2">
        <v>45050</v>
      </c>
      <c r="E611" s="1">
        <v>1169.8499999999999</v>
      </c>
      <c r="G611" s="3">
        <v>20240000</v>
      </c>
      <c r="H611" s="3">
        <f t="shared" si="27"/>
        <v>80579488000</v>
      </c>
      <c r="J611" s="3">
        <v>238782786</v>
      </c>
      <c r="K611" s="3">
        <f t="shared" si="28"/>
        <v>279340042202.09998</v>
      </c>
      <c r="M611" s="4">
        <f t="shared" si="29"/>
        <v>0.7115362073952094</v>
      </c>
    </row>
    <row r="612" spans="1:13" x14ac:dyDescent="0.45">
      <c r="A612" s="2">
        <v>45049</v>
      </c>
      <c r="B612" s="1">
        <v>3977.2</v>
      </c>
      <c r="D612" s="2">
        <v>45049</v>
      </c>
      <c r="E612" s="1">
        <v>1156.9000000000001</v>
      </c>
      <c r="G612" s="3">
        <v>20240000</v>
      </c>
      <c r="H612" s="3">
        <f t="shared" si="27"/>
        <v>80498528000</v>
      </c>
      <c r="J612" s="3">
        <v>238782786</v>
      </c>
      <c r="K612" s="3">
        <f t="shared" si="28"/>
        <v>276247805123.40002</v>
      </c>
      <c r="M612" s="4">
        <f t="shared" si="29"/>
        <v>0.70860029832982285</v>
      </c>
    </row>
    <row r="613" spans="1:13" x14ac:dyDescent="0.45">
      <c r="A613" s="2">
        <v>45048</v>
      </c>
      <c r="B613" s="1">
        <v>4000.05</v>
      </c>
      <c r="D613" s="2">
        <v>45048</v>
      </c>
      <c r="E613" s="1">
        <v>1158.5999999999999</v>
      </c>
      <c r="G613" s="3">
        <v>20240000</v>
      </c>
      <c r="H613" s="3">
        <f t="shared" si="27"/>
        <v>80961012000</v>
      </c>
      <c r="J613" s="3">
        <v>238782786</v>
      </c>
      <c r="K613" s="3">
        <f t="shared" si="28"/>
        <v>276653735859.59998</v>
      </c>
      <c r="M613" s="4">
        <f t="shared" si="29"/>
        <v>0.70735615859860568</v>
      </c>
    </row>
    <row r="614" spans="1:13" x14ac:dyDescent="0.45">
      <c r="A614" s="2">
        <v>45044</v>
      </c>
      <c r="B614" s="1">
        <v>4007.15</v>
      </c>
      <c r="D614" s="2">
        <v>45044</v>
      </c>
      <c r="E614" s="1">
        <v>1137.0999999999999</v>
      </c>
      <c r="G614" s="3">
        <v>20240000</v>
      </c>
      <c r="H614" s="3">
        <f t="shared" si="27"/>
        <v>81104716000</v>
      </c>
      <c r="J614" s="3">
        <v>238782786</v>
      </c>
      <c r="K614" s="3">
        <f t="shared" si="28"/>
        <v>271519905960.59998</v>
      </c>
      <c r="M614" s="4">
        <f t="shared" si="29"/>
        <v>0.70129366495961798</v>
      </c>
    </row>
    <row r="615" spans="1:13" x14ac:dyDescent="0.45">
      <c r="A615" s="2">
        <v>45043</v>
      </c>
      <c r="B615" s="1">
        <v>3985.85</v>
      </c>
      <c r="D615" s="2">
        <v>45043</v>
      </c>
      <c r="E615" s="1">
        <v>1132</v>
      </c>
      <c r="G615" s="3">
        <v>20240000</v>
      </c>
      <c r="H615" s="3">
        <f t="shared" si="27"/>
        <v>80673604000</v>
      </c>
      <c r="J615" s="3">
        <v>238782786</v>
      </c>
      <c r="K615" s="3">
        <f t="shared" si="28"/>
        <v>270302113752</v>
      </c>
      <c r="M615" s="4">
        <f t="shared" si="29"/>
        <v>0.70154282968716486</v>
      </c>
    </row>
    <row r="616" spans="1:13" x14ac:dyDescent="0.45">
      <c r="A616" s="2">
        <v>45042</v>
      </c>
      <c r="B616" s="1">
        <v>4004.8</v>
      </c>
      <c r="D616" s="2">
        <v>45042</v>
      </c>
      <c r="E616" s="1">
        <v>1125.2</v>
      </c>
      <c r="G616" s="3">
        <v>20240000</v>
      </c>
      <c r="H616" s="3">
        <f t="shared" si="27"/>
        <v>81057152000</v>
      </c>
      <c r="J616" s="3">
        <v>238782786</v>
      </c>
      <c r="K616" s="3">
        <f t="shared" si="28"/>
        <v>268678390807.20001</v>
      </c>
      <c r="M616" s="4">
        <f t="shared" si="29"/>
        <v>0.69831160683791083</v>
      </c>
    </row>
    <row r="617" spans="1:13" x14ac:dyDescent="0.45">
      <c r="A617" s="2">
        <v>45041</v>
      </c>
      <c r="B617" s="1">
        <v>3994.45</v>
      </c>
      <c r="D617" s="2">
        <v>45041</v>
      </c>
      <c r="E617" s="1">
        <v>1111.55</v>
      </c>
      <c r="G617" s="3">
        <v>20240000</v>
      </c>
      <c r="H617" s="3">
        <f t="shared" si="27"/>
        <v>80847668000</v>
      </c>
      <c r="J617" s="3">
        <v>238782786</v>
      </c>
      <c r="K617" s="3">
        <f t="shared" si="28"/>
        <v>265419005778.29999</v>
      </c>
      <c r="M617" s="4">
        <f t="shared" si="29"/>
        <v>0.69539608603789782</v>
      </c>
    </row>
    <row r="618" spans="1:13" x14ac:dyDescent="0.45">
      <c r="A618" s="2">
        <v>45040</v>
      </c>
      <c r="B618" s="1">
        <v>3996</v>
      </c>
      <c r="D618" s="2">
        <v>45040</v>
      </c>
      <c r="E618" s="1">
        <v>1101.3</v>
      </c>
      <c r="G618" s="3">
        <v>20240000</v>
      </c>
      <c r="H618" s="3">
        <f t="shared" si="27"/>
        <v>80879040000</v>
      </c>
      <c r="J618" s="3">
        <v>238782786</v>
      </c>
      <c r="K618" s="3">
        <f t="shared" si="28"/>
        <v>262971482221.79999</v>
      </c>
      <c r="M618" s="4">
        <f t="shared" si="29"/>
        <v>0.69244178373766174</v>
      </c>
    </row>
    <row r="619" spans="1:13" x14ac:dyDescent="0.45">
      <c r="A619" s="2">
        <v>45037</v>
      </c>
      <c r="B619" s="1">
        <v>3976.45</v>
      </c>
      <c r="D619" s="2">
        <v>45037</v>
      </c>
      <c r="E619" s="1">
        <v>1092.2</v>
      </c>
      <c r="G619" s="3">
        <v>20240000</v>
      </c>
      <c r="H619" s="3">
        <f t="shared" si="27"/>
        <v>80483348000</v>
      </c>
      <c r="J619" s="3">
        <v>238782786</v>
      </c>
      <c r="K619" s="3">
        <f t="shared" si="28"/>
        <v>260798558869.20001</v>
      </c>
      <c r="M619" s="4">
        <f t="shared" si="29"/>
        <v>0.6913965002376975</v>
      </c>
    </row>
    <row r="620" spans="1:13" x14ac:dyDescent="0.45">
      <c r="A620" s="2">
        <v>45036</v>
      </c>
      <c r="B620" s="1">
        <v>3900.7</v>
      </c>
      <c r="D620" s="2">
        <v>45036</v>
      </c>
      <c r="E620" s="1">
        <v>1126.9000000000001</v>
      </c>
      <c r="G620" s="3">
        <v>20240000</v>
      </c>
      <c r="H620" s="3">
        <f t="shared" si="27"/>
        <v>78950168000</v>
      </c>
      <c r="J620" s="3">
        <v>238782786</v>
      </c>
      <c r="K620" s="3">
        <f t="shared" si="28"/>
        <v>269084321543.40002</v>
      </c>
      <c r="M620" s="4">
        <f t="shared" si="29"/>
        <v>0.70659692267776264</v>
      </c>
    </row>
    <row r="621" spans="1:13" x14ac:dyDescent="0.45">
      <c r="A621" s="2">
        <v>45035</v>
      </c>
      <c r="B621" s="1">
        <v>3895.8</v>
      </c>
      <c r="D621" s="2">
        <v>45035</v>
      </c>
      <c r="E621" s="1">
        <v>1170.3499999999999</v>
      </c>
      <c r="G621" s="3">
        <v>20240000</v>
      </c>
      <c r="H621" s="3">
        <f t="shared" si="27"/>
        <v>78850992000</v>
      </c>
      <c r="J621" s="3">
        <v>238782786</v>
      </c>
      <c r="K621" s="3">
        <f t="shared" si="28"/>
        <v>279459433595.09998</v>
      </c>
      <c r="M621" s="4">
        <f t="shared" si="29"/>
        <v>0.71784458665208373</v>
      </c>
    </row>
    <row r="622" spans="1:13" x14ac:dyDescent="0.45">
      <c r="A622" s="2">
        <v>45034</v>
      </c>
      <c r="B622" s="1">
        <v>3928.25</v>
      </c>
      <c r="D622" s="2">
        <v>45034</v>
      </c>
      <c r="E622" s="1">
        <v>1145.6500000000001</v>
      </c>
      <c r="G622" s="3">
        <v>20240000</v>
      </c>
      <c r="H622" s="3">
        <f t="shared" si="27"/>
        <v>79507780000</v>
      </c>
      <c r="J622" s="3">
        <v>238782786</v>
      </c>
      <c r="K622" s="3">
        <f t="shared" si="28"/>
        <v>273561498780.90002</v>
      </c>
      <c r="M622" s="4">
        <f t="shared" si="29"/>
        <v>0.70936048985577793</v>
      </c>
    </row>
    <row r="623" spans="1:13" x14ac:dyDescent="0.45">
      <c r="A623" s="2">
        <v>45033</v>
      </c>
      <c r="B623" s="1">
        <v>3874.75</v>
      </c>
      <c r="D623" s="2">
        <v>45033</v>
      </c>
      <c r="E623" s="1">
        <v>1169.45</v>
      </c>
      <c r="G623" s="3">
        <v>20240000</v>
      </c>
      <c r="H623" s="3">
        <f t="shared" si="27"/>
        <v>78424940000</v>
      </c>
      <c r="J623" s="3">
        <v>238782786</v>
      </c>
      <c r="K623" s="3">
        <f t="shared" si="28"/>
        <v>279244529087.70001</v>
      </c>
      <c r="M623" s="4">
        <f t="shared" si="29"/>
        <v>0.71915317282592228</v>
      </c>
    </row>
    <row r="624" spans="1:13" x14ac:dyDescent="0.45">
      <c r="A624" s="2">
        <v>45029</v>
      </c>
      <c r="B624" s="1">
        <v>3812.7</v>
      </c>
      <c r="D624" s="2">
        <v>45029</v>
      </c>
      <c r="E624" s="1">
        <v>1163.2</v>
      </c>
      <c r="G624" s="3">
        <v>20240000</v>
      </c>
      <c r="H624" s="3">
        <f t="shared" si="27"/>
        <v>77169048000</v>
      </c>
      <c r="J624" s="3">
        <v>238782786</v>
      </c>
      <c r="K624" s="3">
        <f t="shared" si="28"/>
        <v>277752136675.20001</v>
      </c>
      <c r="M624" s="4">
        <f t="shared" si="29"/>
        <v>0.72216578088743721</v>
      </c>
    </row>
    <row r="625" spans="1:13" x14ac:dyDescent="0.45">
      <c r="A625" s="2">
        <v>45028</v>
      </c>
      <c r="B625" s="1">
        <v>3789.65</v>
      </c>
      <c r="D625" s="2">
        <v>45028</v>
      </c>
      <c r="E625" s="1">
        <v>1135.4000000000001</v>
      </c>
      <c r="G625" s="3">
        <v>20240000</v>
      </c>
      <c r="H625" s="3">
        <f t="shared" si="27"/>
        <v>76702516000</v>
      </c>
      <c r="J625" s="3">
        <v>238782786</v>
      </c>
      <c r="K625" s="3">
        <f t="shared" si="28"/>
        <v>271113975224.40002</v>
      </c>
      <c r="M625" s="4">
        <f t="shared" si="29"/>
        <v>0.71708387243219907</v>
      </c>
    </row>
    <row r="626" spans="1:13" x14ac:dyDescent="0.45">
      <c r="A626" s="2">
        <v>45027</v>
      </c>
      <c r="B626" s="1">
        <v>3815.8</v>
      </c>
      <c r="D626" s="2">
        <v>45027</v>
      </c>
      <c r="E626" s="1">
        <v>1128.5999999999999</v>
      </c>
      <c r="G626" s="3">
        <v>20240000</v>
      </c>
      <c r="H626" s="3">
        <f t="shared" si="27"/>
        <v>77231792000</v>
      </c>
      <c r="J626" s="3">
        <v>238782786</v>
      </c>
      <c r="K626" s="3">
        <f t="shared" si="28"/>
        <v>269490252279.59998</v>
      </c>
      <c r="M626" s="4">
        <f t="shared" si="29"/>
        <v>0.71341526698386515</v>
      </c>
    </row>
    <row r="627" spans="1:13" x14ac:dyDescent="0.45">
      <c r="A627" s="2">
        <v>45026</v>
      </c>
      <c r="B627" s="1">
        <v>3762.65</v>
      </c>
      <c r="D627" s="2">
        <v>45026</v>
      </c>
      <c r="E627" s="1">
        <v>1108.55</v>
      </c>
      <c r="G627" s="3">
        <v>20240000</v>
      </c>
      <c r="H627" s="3">
        <f t="shared" si="27"/>
        <v>76156036000</v>
      </c>
      <c r="J627" s="3">
        <v>238782786</v>
      </c>
      <c r="K627" s="3">
        <f t="shared" si="28"/>
        <v>264702657420.29999</v>
      </c>
      <c r="M627" s="4">
        <f t="shared" si="29"/>
        <v>0.71229591443399087</v>
      </c>
    </row>
    <row r="628" spans="1:13" x14ac:dyDescent="0.45">
      <c r="A628" s="2">
        <v>45022</v>
      </c>
      <c r="B628" s="1">
        <v>3782.95</v>
      </c>
      <c r="D628" s="2">
        <v>45022</v>
      </c>
      <c r="E628" s="1">
        <v>1098.4000000000001</v>
      </c>
      <c r="G628" s="3">
        <v>20240000</v>
      </c>
      <c r="H628" s="3">
        <f t="shared" si="27"/>
        <v>76566908000</v>
      </c>
      <c r="J628" s="3">
        <v>238782786</v>
      </c>
      <c r="K628" s="3">
        <f t="shared" si="28"/>
        <v>262279012142.40002</v>
      </c>
      <c r="M628" s="4">
        <f t="shared" si="29"/>
        <v>0.70807077785381756</v>
      </c>
    </row>
    <row r="629" spans="1:13" x14ac:dyDescent="0.45">
      <c r="A629" s="2">
        <v>45021</v>
      </c>
      <c r="B629" s="1">
        <v>3776.4</v>
      </c>
      <c r="D629" s="2">
        <v>45021</v>
      </c>
      <c r="E629" s="1">
        <v>1090.3</v>
      </c>
      <c r="G629" s="3">
        <v>20240000</v>
      </c>
      <c r="H629" s="3">
        <f t="shared" si="27"/>
        <v>76434336000</v>
      </c>
      <c r="J629" s="3">
        <v>238782786</v>
      </c>
      <c r="K629" s="3">
        <f t="shared" si="28"/>
        <v>260344871575.79999</v>
      </c>
      <c r="M629" s="4">
        <f t="shared" si="29"/>
        <v>0.70641120934181345</v>
      </c>
    </row>
    <row r="630" spans="1:13" x14ac:dyDescent="0.45">
      <c r="A630" s="2">
        <v>45019</v>
      </c>
      <c r="B630" s="1">
        <v>3818.2</v>
      </c>
      <c r="D630" s="2">
        <v>45019</v>
      </c>
      <c r="E630" s="1">
        <v>1084.4000000000001</v>
      </c>
      <c r="G630" s="3">
        <v>20240000</v>
      </c>
      <c r="H630" s="3">
        <f t="shared" si="27"/>
        <v>77280368000</v>
      </c>
      <c r="J630" s="3">
        <v>238782786</v>
      </c>
      <c r="K630" s="3">
        <f t="shared" si="28"/>
        <v>258936053138.40002</v>
      </c>
      <c r="M630" s="4">
        <f t="shared" si="29"/>
        <v>0.7015465128809466</v>
      </c>
    </row>
    <row r="631" spans="1:13" x14ac:dyDescent="0.45">
      <c r="A631" s="2">
        <v>45016</v>
      </c>
      <c r="B631" s="1">
        <v>3759.75</v>
      </c>
      <c r="D631" s="2">
        <v>45016</v>
      </c>
      <c r="E631" s="1">
        <v>1077.4000000000001</v>
      </c>
      <c r="G631" s="3">
        <v>20240000</v>
      </c>
      <c r="H631" s="3">
        <f t="shared" si="27"/>
        <v>76097340000</v>
      </c>
      <c r="J631" s="3">
        <v>238782786</v>
      </c>
      <c r="K631" s="3">
        <f t="shared" si="28"/>
        <v>257264573636.40002</v>
      </c>
      <c r="M631" s="4">
        <f t="shared" si="29"/>
        <v>0.70420591174146385</v>
      </c>
    </row>
    <row r="632" spans="1:13" x14ac:dyDescent="0.45">
      <c r="A632" s="2">
        <v>45014</v>
      </c>
      <c r="B632" s="1">
        <v>3803.55</v>
      </c>
      <c r="D632" s="2">
        <v>45014</v>
      </c>
      <c r="E632" s="1">
        <v>1079.2</v>
      </c>
      <c r="G632" s="3">
        <v>20240000</v>
      </c>
      <c r="H632" s="3">
        <f t="shared" si="27"/>
        <v>76983852000</v>
      </c>
      <c r="J632" s="3">
        <v>238782786</v>
      </c>
      <c r="K632" s="3">
        <f t="shared" si="28"/>
        <v>257694382651.20001</v>
      </c>
      <c r="M632" s="4">
        <f t="shared" si="29"/>
        <v>0.70125909921676166</v>
      </c>
    </row>
    <row r="633" spans="1:13" x14ac:dyDescent="0.45">
      <c r="A633" s="2">
        <v>45013</v>
      </c>
      <c r="B633" s="1">
        <v>3712.1</v>
      </c>
      <c r="D633" s="2">
        <v>45013</v>
      </c>
      <c r="E633" s="1">
        <v>1033.9000000000001</v>
      </c>
      <c r="G633" s="3">
        <v>20240000</v>
      </c>
      <c r="H633" s="3">
        <f t="shared" si="27"/>
        <v>75132904000</v>
      </c>
      <c r="J633" s="3">
        <v>238782786</v>
      </c>
      <c r="K633" s="3">
        <f t="shared" si="28"/>
        <v>246877522445.40002</v>
      </c>
      <c r="M633" s="4">
        <f t="shared" si="29"/>
        <v>0.69566729584862652</v>
      </c>
    </row>
    <row r="634" spans="1:13" x14ac:dyDescent="0.45">
      <c r="A634" s="2">
        <v>45012</v>
      </c>
      <c r="B634" s="1">
        <v>3741.45</v>
      </c>
      <c r="D634" s="2">
        <v>45012</v>
      </c>
      <c r="E634" s="1">
        <v>1046.8499999999999</v>
      </c>
      <c r="G634" s="3">
        <v>20240000</v>
      </c>
      <c r="H634" s="3">
        <f t="shared" si="27"/>
        <v>75726948000</v>
      </c>
      <c r="J634" s="3">
        <v>238782786</v>
      </c>
      <c r="K634" s="3">
        <f t="shared" si="28"/>
        <v>249969759524.09998</v>
      </c>
      <c r="M634" s="4">
        <f t="shared" si="29"/>
        <v>0.69705556326424745</v>
      </c>
    </row>
    <row r="635" spans="1:13" x14ac:dyDescent="0.45">
      <c r="A635" s="2">
        <v>45009</v>
      </c>
      <c r="B635" s="1">
        <v>3858.8</v>
      </c>
      <c r="D635" s="2">
        <v>45009</v>
      </c>
      <c r="E635" s="1">
        <v>1041.75</v>
      </c>
      <c r="G635" s="3">
        <v>20240000</v>
      </c>
      <c r="H635" s="3">
        <f t="shared" si="27"/>
        <v>78102112000</v>
      </c>
      <c r="J635" s="3">
        <v>238782786</v>
      </c>
      <c r="K635" s="3">
        <f t="shared" si="28"/>
        <v>248751967315.5</v>
      </c>
      <c r="M635" s="4">
        <f t="shared" si="29"/>
        <v>0.68602414347565488</v>
      </c>
    </row>
    <row r="636" spans="1:13" x14ac:dyDescent="0.45">
      <c r="A636" s="2">
        <v>45008</v>
      </c>
      <c r="B636" s="1">
        <v>4823.45</v>
      </c>
      <c r="D636" s="2">
        <v>45008</v>
      </c>
      <c r="E636" s="1">
        <v>1047.4000000000001</v>
      </c>
      <c r="G636" s="3">
        <v>20240000</v>
      </c>
      <c r="H636" s="3">
        <f t="shared" si="27"/>
        <v>97626628000</v>
      </c>
      <c r="J636" s="3">
        <v>238782786</v>
      </c>
      <c r="K636" s="3">
        <f t="shared" si="28"/>
        <v>250101090056.40002</v>
      </c>
      <c r="M636" s="4">
        <f t="shared" si="29"/>
        <v>0.6096513294764756</v>
      </c>
    </row>
    <row r="637" spans="1:13" x14ac:dyDescent="0.45">
      <c r="A637" s="2">
        <v>45007</v>
      </c>
      <c r="B637" s="1">
        <v>4822.7</v>
      </c>
      <c r="D637" s="2">
        <v>45007</v>
      </c>
      <c r="E637" s="1">
        <v>1054.8</v>
      </c>
      <c r="G637" s="3">
        <v>20240000</v>
      </c>
      <c r="H637" s="3">
        <f t="shared" si="27"/>
        <v>97611448000</v>
      </c>
      <c r="J637" s="3">
        <v>238782786</v>
      </c>
      <c r="K637" s="3">
        <f t="shared" si="28"/>
        <v>251868082672.79999</v>
      </c>
      <c r="M637" s="4">
        <f t="shared" si="29"/>
        <v>0.61245010894529917</v>
      </c>
    </row>
    <row r="638" spans="1:13" x14ac:dyDescent="0.45">
      <c r="A638" s="2">
        <v>45006</v>
      </c>
      <c r="B638" s="1">
        <v>4814.45</v>
      </c>
      <c r="D638" s="2">
        <v>45006</v>
      </c>
      <c r="E638" s="1">
        <v>1054.45</v>
      </c>
      <c r="G638" s="3">
        <v>20240000</v>
      </c>
      <c r="H638" s="3">
        <f t="shared" si="27"/>
        <v>97444468000</v>
      </c>
      <c r="J638" s="3">
        <v>238782786</v>
      </c>
      <c r="K638" s="3">
        <f t="shared" si="28"/>
        <v>251784508697.70001</v>
      </c>
      <c r="M638" s="4">
        <f t="shared" si="29"/>
        <v>0.61298465698302862</v>
      </c>
    </row>
    <row r="639" spans="1:13" x14ac:dyDescent="0.45">
      <c r="A639" s="2">
        <v>45005</v>
      </c>
      <c r="B639" s="1">
        <v>4811.25</v>
      </c>
      <c r="D639" s="2">
        <v>45005</v>
      </c>
      <c r="E639" s="1">
        <v>1041.3499999999999</v>
      </c>
      <c r="G639" s="3">
        <v>20240000</v>
      </c>
      <c r="H639" s="3">
        <f t="shared" si="27"/>
        <v>97379700000</v>
      </c>
      <c r="J639" s="3">
        <v>238782786</v>
      </c>
      <c r="K639" s="3">
        <f t="shared" si="28"/>
        <v>248656454201.09998</v>
      </c>
      <c r="M639" s="4">
        <f t="shared" si="29"/>
        <v>0.60837654380270167</v>
      </c>
    </row>
    <row r="640" spans="1:13" x14ac:dyDescent="0.45">
      <c r="A640" s="2">
        <v>45002</v>
      </c>
      <c r="B640" s="1">
        <v>4785.2</v>
      </c>
      <c r="D640" s="2">
        <v>45002</v>
      </c>
      <c r="E640" s="1">
        <v>1047.75</v>
      </c>
      <c r="G640" s="3">
        <v>20240000</v>
      </c>
      <c r="H640" s="3">
        <f t="shared" si="27"/>
        <v>96852448000</v>
      </c>
      <c r="J640" s="3">
        <v>238782786</v>
      </c>
      <c r="K640" s="3">
        <f t="shared" si="28"/>
        <v>250184664031.5</v>
      </c>
      <c r="M640" s="4">
        <f t="shared" si="29"/>
        <v>0.61287615939638251</v>
      </c>
    </row>
    <row r="641" spans="1:13" x14ac:dyDescent="0.45">
      <c r="A641" s="2">
        <v>45001</v>
      </c>
      <c r="B641" s="1">
        <v>4732.55</v>
      </c>
      <c r="D641" s="2">
        <v>45001</v>
      </c>
      <c r="E641" s="1">
        <v>1051.8</v>
      </c>
      <c r="G641" s="3">
        <v>20240000</v>
      </c>
      <c r="H641" s="3">
        <f t="shared" si="27"/>
        <v>95786812000</v>
      </c>
      <c r="J641" s="3">
        <v>238782786</v>
      </c>
      <c r="K641" s="3">
        <f t="shared" si="28"/>
        <v>251151734314.79999</v>
      </c>
      <c r="M641" s="4">
        <f t="shared" si="29"/>
        <v>0.61860979275604611</v>
      </c>
    </row>
    <row r="642" spans="1:13" x14ac:dyDescent="0.45">
      <c r="A642" s="2">
        <v>45000</v>
      </c>
      <c r="B642" s="1">
        <v>4760.6000000000004</v>
      </c>
      <c r="D642" s="2">
        <v>45000</v>
      </c>
      <c r="E642" s="1">
        <v>1032.8</v>
      </c>
      <c r="G642" s="3">
        <v>20240000</v>
      </c>
      <c r="H642" s="3">
        <f t="shared" si="27"/>
        <v>96354544000</v>
      </c>
      <c r="J642" s="3">
        <v>238782786</v>
      </c>
      <c r="K642" s="3">
        <f t="shared" si="28"/>
        <v>246614861380.79999</v>
      </c>
      <c r="M642" s="4">
        <f t="shared" si="29"/>
        <v>0.60929141309445178</v>
      </c>
    </row>
    <row r="643" spans="1:13" x14ac:dyDescent="0.45">
      <c r="A643" s="2">
        <v>44999</v>
      </c>
      <c r="B643" s="1">
        <v>4738.3999999999996</v>
      </c>
      <c r="D643" s="2">
        <v>44999</v>
      </c>
      <c r="E643" s="1">
        <v>1044.45</v>
      </c>
      <c r="G643" s="3">
        <v>20240000</v>
      </c>
      <c r="H643" s="3">
        <f t="shared" si="27"/>
        <v>95905216000</v>
      </c>
      <c r="J643" s="3">
        <v>238782786</v>
      </c>
      <c r="K643" s="3">
        <f t="shared" si="28"/>
        <v>249396680837.70001</v>
      </c>
      <c r="M643" s="4">
        <f t="shared" si="29"/>
        <v>0.61545111315089129</v>
      </c>
    </row>
    <row r="644" spans="1:13" x14ac:dyDescent="0.45">
      <c r="A644" s="2">
        <v>44998</v>
      </c>
      <c r="B644" s="1">
        <v>4729.3</v>
      </c>
      <c r="D644" s="2">
        <v>44998</v>
      </c>
      <c r="E644" s="1">
        <v>1048.5</v>
      </c>
      <c r="G644" s="3">
        <v>20240000</v>
      </c>
      <c r="H644" s="3">
        <f t="shared" ref="H644:H707" si="30">+G644*B644</f>
        <v>95721032000</v>
      </c>
      <c r="J644" s="3">
        <v>238782786</v>
      </c>
      <c r="K644" s="3">
        <f t="shared" ref="K644:K707" si="31">+J644*E644</f>
        <v>250363751121</v>
      </c>
      <c r="M644" s="4">
        <f t="shared" ref="M644:M707" si="32">1- (H644/K644)</f>
        <v>0.61767216072050968</v>
      </c>
    </row>
    <row r="645" spans="1:13" x14ac:dyDescent="0.45">
      <c r="A645" s="2">
        <v>44995</v>
      </c>
      <c r="B645" s="1">
        <v>4736.3500000000004</v>
      </c>
      <c r="D645" s="2">
        <v>44995</v>
      </c>
      <c r="E645" s="1">
        <v>1073.4000000000001</v>
      </c>
      <c r="G645" s="3">
        <v>20240000</v>
      </c>
      <c r="H645" s="3">
        <f t="shared" si="30"/>
        <v>95863724000</v>
      </c>
      <c r="J645" s="3">
        <v>238782786</v>
      </c>
      <c r="K645" s="3">
        <f t="shared" si="31"/>
        <v>256309442492.40002</v>
      </c>
      <c r="M645" s="4">
        <f t="shared" si="32"/>
        <v>0.62598442309497626</v>
      </c>
    </row>
    <row r="646" spans="1:13" x14ac:dyDescent="0.45">
      <c r="A646" s="2">
        <v>44994</v>
      </c>
      <c r="B646" s="1">
        <v>4768.7</v>
      </c>
      <c r="D646" s="2">
        <v>44994</v>
      </c>
      <c r="E646" s="1">
        <v>1086.6500000000001</v>
      </c>
      <c r="G646" s="3">
        <v>20240000</v>
      </c>
      <c r="H646" s="3">
        <f t="shared" si="30"/>
        <v>96518488000</v>
      </c>
      <c r="J646" s="3">
        <v>238782786</v>
      </c>
      <c r="K646" s="3">
        <f t="shared" si="31"/>
        <v>259473314406.90002</v>
      </c>
      <c r="M646" s="4">
        <f t="shared" si="32"/>
        <v>0.6280215242148488</v>
      </c>
    </row>
    <row r="647" spans="1:13" x14ac:dyDescent="0.45">
      <c r="A647" s="2">
        <v>44993</v>
      </c>
      <c r="B647" s="1">
        <v>4773.8</v>
      </c>
      <c r="D647" s="2">
        <v>44993</v>
      </c>
      <c r="E647" s="1">
        <v>1110.0999999999999</v>
      </c>
      <c r="G647" s="3">
        <v>20240000</v>
      </c>
      <c r="H647" s="3">
        <f t="shared" si="30"/>
        <v>96621712000</v>
      </c>
      <c r="J647" s="3">
        <v>238782786</v>
      </c>
      <c r="K647" s="3">
        <f t="shared" si="31"/>
        <v>265072770738.59998</v>
      </c>
      <c r="M647" s="4">
        <f t="shared" si="32"/>
        <v>0.6354898629128416</v>
      </c>
    </row>
    <row r="648" spans="1:13" x14ac:dyDescent="0.45">
      <c r="A648" s="2">
        <v>44991</v>
      </c>
      <c r="B648" s="1">
        <v>4649.8999999999996</v>
      </c>
      <c r="D648" s="2">
        <v>44991</v>
      </c>
      <c r="E648" s="1">
        <v>1097.8499999999999</v>
      </c>
      <c r="G648" s="3">
        <v>20240000</v>
      </c>
      <c r="H648" s="3">
        <f t="shared" si="30"/>
        <v>94113976000</v>
      </c>
      <c r="J648" s="3">
        <v>238782786</v>
      </c>
      <c r="K648" s="3">
        <f t="shared" si="31"/>
        <v>262147681610.09998</v>
      </c>
      <c r="M648" s="4">
        <f t="shared" si="32"/>
        <v>0.6409887151320357</v>
      </c>
    </row>
    <row r="649" spans="1:13" x14ac:dyDescent="0.45">
      <c r="A649" s="2">
        <v>44988</v>
      </c>
      <c r="B649" s="1">
        <v>4633.2</v>
      </c>
      <c r="D649" s="2">
        <v>44988</v>
      </c>
      <c r="E649" s="1">
        <v>1071.55</v>
      </c>
      <c r="G649" s="3">
        <v>20240000</v>
      </c>
      <c r="H649" s="3">
        <f t="shared" si="30"/>
        <v>93775968000</v>
      </c>
      <c r="J649" s="3">
        <v>238782786</v>
      </c>
      <c r="K649" s="3">
        <f t="shared" si="31"/>
        <v>255867694338.29999</v>
      </c>
      <c r="M649" s="4">
        <f t="shared" si="32"/>
        <v>0.63349820991464267</v>
      </c>
    </row>
    <row r="650" spans="1:13" x14ac:dyDescent="0.45">
      <c r="A650" s="2">
        <v>44987</v>
      </c>
      <c r="B650" s="1">
        <v>4684.75</v>
      </c>
      <c r="D650" s="2">
        <v>44987</v>
      </c>
      <c r="E650" s="1">
        <v>1066.3499999999999</v>
      </c>
      <c r="G650" s="3">
        <v>20240000</v>
      </c>
      <c r="H650" s="3">
        <f t="shared" si="30"/>
        <v>94819340000</v>
      </c>
      <c r="J650" s="3">
        <v>238782786</v>
      </c>
      <c r="K650" s="3">
        <f t="shared" si="31"/>
        <v>254626023851.09998</v>
      </c>
      <c r="M650" s="4">
        <f t="shared" si="32"/>
        <v>0.6276133186785009</v>
      </c>
    </row>
    <row r="651" spans="1:13" x14ac:dyDescent="0.45">
      <c r="A651" s="2">
        <v>44986</v>
      </c>
      <c r="B651" s="1">
        <v>4791.3</v>
      </c>
      <c r="D651" s="2">
        <v>44986</v>
      </c>
      <c r="E651" s="1">
        <v>1062.8</v>
      </c>
      <c r="G651" s="3">
        <v>20240000</v>
      </c>
      <c r="H651" s="3">
        <f t="shared" si="30"/>
        <v>96975912000</v>
      </c>
      <c r="J651" s="3">
        <v>238782786</v>
      </c>
      <c r="K651" s="3">
        <f t="shared" si="31"/>
        <v>253778344960.79999</v>
      </c>
      <c r="M651" s="4">
        <f t="shared" si="32"/>
        <v>0.61787160360361149</v>
      </c>
    </row>
    <row r="652" spans="1:13" x14ac:dyDescent="0.45">
      <c r="A652" s="2">
        <v>44985</v>
      </c>
      <c r="B652" s="1">
        <v>4841.2</v>
      </c>
      <c r="D652" s="2">
        <v>44985</v>
      </c>
      <c r="E652" s="1">
        <v>1080.25</v>
      </c>
      <c r="G652" s="3">
        <v>20240000</v>
      </c>
      <c r="H652" s="3">
        <f t="shared" si="30"/>
        <v>97985888000</v>
      </c>
      <c r="J652" s="3">
        <v>238782786</v>
      </c>
      <c r="K652" s="3">
        <f t="shared" si="31"/>
        <v>257945104576.5</v>
      </c>
      <c r="M652" s="4">
        <f t="shared" si="32"/>
        <v>0.62012891013816529</v>
      </c>
    </row>
    <row r="653" spans="1:13" x14ac:dyDescent="0.45">
      <c r="A653" s="2">
        <v>44984</v>
      </c>
      <c r="B653" s="1">
        <v>4750.8999999999996</v>
      </c>
      <c r="D653" s="2">
        <v>44984</v>
      </c>
      <c r="E653" s="1">
        <v>1085.25</v>
      </c>
      <c r="G653" s="3">
        <v>20240000</v>
      </c>
      <c r="H653" s="3">
        <f t="shared" si="30"/>
        <v>96158216000</v>
      </c>
      <c r="J653" s="3">
        <v>238782786</v>
      </c>
      <c r="K653" s="3">
        <f t="shared" si="31"/>
        <v>259139018506.5</v>
      </c>
      <c r="M653" s="4">
        <f t="shared" si="32"/>
        <v>0.62893192791193631</v>
      </c>
    </row>
    <row r="654" spans="1:13" x14ac:dyDescent="0.45">
      <c r="A654" s="2">
        <v>44981</v>
      </c>
      <c r="B654" s="1">
        <v>4928.3</v>
      </c>
      <c r="D654" s="2">
        <v>44981</v>
      </c>
      <c r="E654" s="1">
        <v>1105.45</v>
      </c>
      <c r="G654" s="3">
        <v>20240000</v>
      </c>
      <c r="H654" s="3">
        <f t="shared" si="30"/>
        <v>99748792000</v>
      </c>
      <c r="J654" s="3">
        <v>238782786</v>
      </c>
      <c r="K654" s="3">
        <f t="shared" si="31"/>
        <v>263962430783.70001</v>
      </c>
      <c r="M654" s="4">
        <f t="shared" si="32"/>
        <v>0.62210989001788053</v>
      </c>
    </row>
    <row r="655" spans="1:13" x14ac:dyDescent="0.45">
      <c r="A655" s="2">
        <v>44980</v>
      </c>
      <c r="B655" s="1">
        <v>4926.8999999999996</v>
      </c>
      <c r="D655" s="2">
        <v>44980</v>
      </c>
      <c r="E655" s="1">
        <v>1117</v>
      </c>
      <c r="G655" s="3">
        <v>20240000</v>
      </c>
      <c r="H655" s="3">
        <f t="shared" si="30"/>
        <v>99720456000</v>
      </c>
      <c r="J655" s="3">
        <v>238782786</v>
      </c>
      <c r="K655" s="3">
        <f t="shared" si="31"/>
        <v>266720371962</v>
      </c>
      <c r="M655" s="4">
        <f t="shared" si="32"/>
        <v>0.62612358678696167</v>
      </c>
    </row>
    <row r="656" spans="1:13" x14ac:dyDescent="0.45">
      <c r="A656" s="2">
        <v>44979</v>
      </c>
      <c r="B656" s="1">
        <v>4828.75</v>
      </c>
      <c r="D656" s="2">
        <v>44979</v>
      </c>
      <c r="E656" s="1">
        <v>1113.9000000000001</v>
      </c>
      <c r="G656" s="3">
        <v>20240000</v>
      </c>
      <c r="H656" s="3">
        <f t="shared" si="30"/>
        <v>97733900000</v>
      </c>
      <c r="J656" s="3">
        <v>238782786</v>
      </c>
      <c r="K656" s="3">
        <f t="shared" si="31"/>
        <v>265980145325.40002</v>
      </c>
      <c r="M656" s="4">
        <f t="shared" si="32"/>
        <v>0.63255189638146714</v>
      </c>
    </row>
    <row r="657" spans="1:13" x14ac:dyDescent="0.45">
      <c r="A657" s="2">
        <v>44978</v>
      </c>
      <c r="B657" s="1">
        <v>4798.1000000000004</v>
      </c>
      <c r="D657" s="2">
        <v>44978</v>
      </c>
      <c r="E657" s="1">
        <v>1125.8499999999999</v>
      </c>
      <c r="G657" s="3">
        <v>20240000</v>
      </c>
      <c r="H657" s="3">
        <f t="shared" si="30"/>
        <v>97113544000</v>
      </c>
      <c r="J657" s="3">
        <v>238782786</v>
      </c>
      <c r="K657" s="3">
        <f t="shared" si="31"/>
        <v>268833599618.09998</v>
      </c>
      <c r="M657" s="4">
        <f t="shared" si="32"/>
        <v>0.63875964857831125</v>
      </c>
    </row>
    <row r="658" spans="1:13" x14ac:dyDescent="0.45">
      <c r="A658" s="2">
        <v>44977</v>
      </c>
      <c r="B658" s="1">
        <v>4652.6000000000004</v>
      </c>
      <c r="D658" s="2">
        <v>44977</v>
      </c>
      <c r="E658" s="1">
        <v>1131.6500000000001</v>
      </c>
      <c r="G658" s="3">
        <v>20240000</v>
      </c>
      <c r="H658" s="3">
        <f t="shared" si="30"/>
        <v>94168624000</v>
      </c>
      <c r="J658" s="3">
        <v>238782786</v>
      </c>
      <c r="K658" s="3">
        <f t="shared" si="31"/>
        <v>270218539776.90002</v>
      </c>
      <c r="M658" s="4">
        <f t="shared" si="32"/>
        <v>0.6515093891124264</v>
      </c>
    </row>
    <row r="659" spans="1:13" x14ac:dyDescent="0.45">
      <c r="A659" s="2">
        <v>44974</v>
      </c>
      <c r="B659" s="1">
        <v>4664.6000000000004</v>
      </c>
      <c r="D659" s="2">
        <v>44974</v>
      </c>
      <c r="E659" s="1">
        <v>1104.25</v>
      </c>
      <c r="G659" s="3">
        <v>20240000</v>
      </c>
      <c r="H659" s="3">
        <f t="shared" si="30"/>
        <v>94411504000</v>
      </c>
      <c r="J659" s="3">
        <v>238782786</v>
      </c>
      <c r="K659" s="3">
        <f t="shared" si="31"/>
        <v>263675891440.5</v>
      </c>
      <c r="M659" s="4">
        <f t="shared" si="32"/>
        <v>0.64194108348618406</v>
      </c>
    </row>
    <row r="660" spans="1:13" x14ac:dyDescent="0.45">
      <c r="A660" s="2">
        <v>44973</v>
      </c>
      <c r="B660" s="1">
        <v>4657.3500000000004</v>
      </c>
      <c r="D660" s="2">
        <v>44973</v>
      </c>
      <c r="E660" s="1">
        <v>1123.4000000000001</v>
      </c>
      <c r="G660" s="3">
        <v>20240000</v>
      </c>
      <c r="H660" s="3">
        <f t="shared" si="30"/>
        <v>94264764000</v>
      </c>
      <c r="J660" s="3">
        <v>238782786</v>
      </c>
      <c r="K660" s="3">
        <f t="shared" si="31"/>
        <v>268248581792.40002</v>
      </c>
      <c r="M660" s="4">
        <f t="shared" si="32"/>
        <v>0.64859175258211677</v>
      </c>
    </row>
    <row r="661" spans="1:13" x14ac:dyDescent="0.45">
      <c r="A661" s="2">
        <v>44972</v>
      </c>
      <c r="B661" s="1">
        <v>4604.1499999999996</v>
      </c>
      <c r="D661" s="2">
        <v>44972</v>
      </c>
      <c r="E661" s="1">
        <v>1105.55</v>
      </c>
      <c r="G661" s="3">
        <v>20240000</v>
      </c>
      <c r="H661" s="3">
        <f t="shared" si="30"/>
        <v>93187996000</v>
      </c>
      <c r="J661" s="3">
        <v>238782786</v>
      </c>
      <c r="K661" s="3">
        <f t="shared" si="31"/>
        <v>263986309062.29999</v>
      </c>
      <c r="M661" s="4">
        <f t="shared" si="32"/>
        <v>0.64699686006061818</v>
      </c>
    </row>
    <row r="662" spans="1:13" x14ac:dyDescent="0.45">
      <c r="A662" s="2">
        <v>44971</v>
      </c>
      <c r="B662" s="1">
        <v>4588.8</v>
      </c>
      <c r="D662" s="2">
        <v>44971</v>
      </c>
      <c r="E662" s="1">
        <v>1078.5</v>
      </c>
      <c r="G662" s="3">
        <v>20240000</v>
      </c>
      <c r="H662" s="3">
        <f t="shared" si="30"/>
        <v>92877312000</v>
      </c>
      <c r="J662" s="3">
        <v>238782786</v>
      </c>
      <c r="K662" s="3">
        <f t="shared" si="31"/>
        <v>257527234701</v>
      </c>
      <c r="M662" s="4">
        <f t="shared" si="32"/>
        <v>0.63934955420216233</v>
      </c>
    </row>
    <row r="663" spans="1:13" x14ac:dyDescent="0.45">
      <c r="A663" s="2">
        <v>44970</v>
      </c>
      <c r="B663" s="1">
        <v>4617.3500000000004</v>
      </c>
      <c r="D663" s="2">
        <v>44970</v>
      </c>
      <c r="E663" s="1">
        <v>1068.8499999999999</v>
      </c>
      <c r="G663" s="3">
        <v>20240000</v>
      </c>
      <c r="H663" s="3">
        <f t="shared" si="30"/>
        <v>93455164000</v>
      </c>
      <c r="J663" s="3">
        <v>238782786</v>
      </c>
      <c r="K663" s="3">
        <f t="shared" si="31"/>
        <v>255222980816.09998</v>
      </c>
      <c r="M663" s="4">
        <f t="shared" si="32"/>
        <v>0.63382935305759636</v>
      </c>
    </row>
    <row r="664" spans="1:13" x14ac:dyDescent="0.45">
      <c r="A664" s="2">
        <v>44967</v>
      </c>
      <c r="B664" s="1">
        <v>4644.3</v>
      </c>
      <c r="D664" s="2">
        <v>44967</v>
      </c>
      <c r="E664" s="1">
        <v>1075</v>
      </c>
      <c r="G664" s="3">
        <v>20240000</v>
      </c>
      <c r="H664" s="3">
        <f t="shared" si="30"/>
        <v>94000632000</v>
      </c>
      <c r="J664" s="3">
        <v>238782786</v>
      </c>
      <c r="K664" s="3">
        <f t="shared" si="31"/>
        <v>256691494950</v>
      </c>
      <c r="M664" s="4">
        <f t="shared" si="32"/>
        <v>0.63379919534026619</v>
      </c>
    </row>
    <row r="665" spans="1:13" x14ac:dyDescent="0.45">
      <c r="A665" s="2">
        <v>44966</v>
      </c>
      <c r="B665" s="1">
        <v>4700</v>
      </c>
      <c r="D665" s="2">
        <v>44966</v>
      </c>
      <c r="E665" s="1">
        <v>1049.5</v>
      </c>
      <c r="G665" s="3">
        <v>20240000</v>
      </c>
      <c r="H665" s="3">
        <f t="shared" si="30"/>
        <v>95128000000</v>
      </c>
      <c r="J665" s="3">
        <v>238782786</v>
      </c>
      <c r="K665" s="3">
        <f t="shared" si="31"/>
        <v>250602533907</v>
      </c>
      <c r="M665" s="4">
        <f t="shared" si="32"/>
        <v>0.62040288054189219</v>
      </c>
    </row>
    <row r="666" spans="1:13" x14ac:dyDescent="0.45">
      <c r="A666" s="2">
        <v>44965</v>
      </c>
      <c r="B666" s="1">
        <v>4753.95</v>
      </c>
      <c r="D666" s="2">
        <v>44965</v>
      </c>
      <c r="E666" s="1">
        <v>1039.55</v>
      </c>
      <c r="G666" s="3">
        <v>20240000</v>
      </c>
      <c r="H666" s="3">
        <f t="shared" si="30"/>
        <v>96219948000</v>
      </c>
      <c r="J666" s="3">
        <v>238782786</v>
      </c>
      <c r="K666" s="3">
        <f t="shared" si="31"/>
        <v>248226645186.29999</v>
      </c>
      <c r="M666" s="4">
        <f t="shared" si="32"/>
        <v>0.61237059007994632</v>
      </c>
    </row>
    <row r="667" spans="1:13" x14ac:dyDescent="0.45">
      <c r="A667" s="2">
        <v>44964</v>
      </c>
      <c r="B667" s="1">
        <v>4782.05</v>
      </c>
      <c r="D667" s="2">
        <v>44964</v>
      </c>
      <c r="E667" s="1">
        <v>1049.45</v>
      </c>
      <c r="G667" s="3">
        <v>20240000</v>
      </c>
      <c r="H667" s="3">
        <f t="shared" si="30"/>
        <v>96788692000</v>
      </c>
      <c r="J667" s="3">
        <v>238782786</v>
      </c>
      <c r="K667" s="3">
        <f t="shared" si="31"/>
        <v>250590594767.70001</v>
      </c>
      <c r="M667" s="4">
        <f t="shared" si="32"/>
        <v>0.61375768276648968</v>
      </c>
    </row>
    <row r="668" spans="1:13" x14ac:dyDescent="0.45">
      <c r="A668" s="2">
        <v>44963</v>
      </c>
      <c r="B668" s="1">
        <v>4630.75</v>
      </c>
      <c r="D668" s="2">
        <v>44963</v>
      </c>
      <c r="E668" s="1">
        <v>1057.2</v>
      </c>
      <c r="G668" s="3">
        <v>20240000</v>
      </c>
      <c r="H668" s="3">
        <f t="shared" si="30"/>
        <v>93726380000</v>
      </c>
      <c r="J668" s="3">
        <v>238782786</v>
      </c>
      <c r="K668" s="3">
        <f t="shared" si="31"/>
        <v>252441161359.20001</v>
      </c>
      <c r="M668" s="4">
        <f t="shared" si="32"/>
        <v>0.62871989854841392</v>
      </c>
    </row>
    <row r="669" spans="1:13" x14ac:dyDescent="0.45">
      <c r="A669" s="2">
        <v>44960</v>
      </c>
      <c r="B669" s="1">
        <v>4627.05</v>
      </c>
      <c r="D669" s="2">
        <v>44960</v>
      </c>
      <c r="E669" s="1">
        <v>1035.6500000000001</v>
      </c>
      <c r="G669" s="3">
        <v>20240000</v>
      </c>
      <c r="H669" s="3">
        <f t="shared" si="30"/>
        <v>93651492000</v>
      </c>
      <c r="J669" s="3">
        <v>238782786</v>
      </c>
      <c r="K669" s="3">
        <f t="shared" si="31"/>
        <v>247295392320.90002</v>
      </c>
      <c r="M669" s="4">
        <f t="shared" si="32"/>
        <v>0.62129706048677924</v>
      </c>
    </row>
    <row r="670" spans="1:13" x14ac:dyDescent="0.45">
      <c r="A670" s="2">
        <v>44959</v>
      </c>
      <c r="B670" s="1">
        <v>4685.75</v>
      </c>
      <c r="D670" s="2">
        <v>44959</v>
      </c>
      <c r="E670" s="1">
        <v>1001.75</v>
      </c>
      <c r="G670" s="3">
        <v>20240000</v>
      </c>
      <c r="H670" s="3">
        <f t="shared" si="30"/>
        <v>94839580000</v>
      </c>
      <c r="J670" s="3">
        <v>238782786</v>
      </c>
      <c r="K670" s="3">
        <f t="shared" si="31"/>
        <v>239200655875.5</v>
      </c>
      <c r="M670" s="4">
        <f t="shared" si="32"/>
        <v>0.60351454868350185</v>
      </c>
    </row>
    <row r="671" spans="1:13" x14ac:dyDescent="0.45">
      <c r="A671" s="2">
        <v>44958</v>
      </c>
      <c r="B671" s="1">
        <v>4652.95</v>
      </c>
      <c r="D671" s="2">
        <v>44958</v>
      </c>
      <c r="E671" s="1">
        <v>1017.6</v>
      </c>
      <c r="G671" s="3">
        <v>20240000</v>
      </c>
      <c r="H671" s="3">
        <f t="shared" si="30"/>
        <v>94175708000</v>
      </c>
      <c r="J671" s="3">
        <v>238782786</v>
      </c>
      <c r="K671" s="3">
        <f t="shared" si="31"/>
        <v>242985363033.60001</v>
      </c>
      <c r="M671" s="4">
        <f t="shared" si="32"/>
        <v>0.61242230056887259</v>
      </c>
    </row>
    <row r="672" spans="1:13" x14ac:dyDescent="0.45">
      <c r="A672" s="2">
        <v>44957</v>
      </c>
      <c r="B672" s="1">
        <v>4719</v>
      </c>
      <c r="D672" s="2">
        <v>44957</v>
      </c>
      <c r="E672" s="1">
        <v>1037.25</v>
      </c>
      <c r="G672" s="3">
        <v>20240000</v>
      </c>
      <c r="H672" s="3">
        <f t="shared" si="30"/>
        <v>95512560000</v>
      </c>
      <c r="J672" s="3">
        <v>238782786</v>
      </c>
      <c r="K672" s="3">
        <f t="shared" si="31"/>
        <v>247677444778.5</v>
      </c>
      <c r="M672" s="4">
        <f t="shared" si="32"/>
        <v>0.61436714560174144</v>
      </c>
    </row>
    <row r="673" spans="1:13" x14ac:dyDescent="0.45">
      <c r="A673" s="2">
        <v>44956</v>
      </c>
      <c r="B673" s="1">
        <v>4694.2</v>
      </c>
      <c r="D673" s="2">
        <v>44956</v>
      </c>
      <c r="E673" s="1">
        <v>1033</v>
      </c>
      <c r="G673" s="3">
        <v>20240000</v>
      </c>
      <c r="H673" s="3">
        <f t="shared" si="30"/>
        <v>95010608000</v>
      </c>
      <c r="J673" s="3">
        <v>238782786</v>
      </c>
      <c r="K673" s="3">
        <f t="shared" si="31"/>
        <v>246662617938</v>
      </c>
      <c r="M673" s="4">
        <f t="shared" si="32"/>
        <v>0.61481553713225634</v>
      </c>
    </row>
    <row r="674" spans="1:13" x14ac:dyDescent="0.45">
      <c r="A674" s="2">
        <v>44953</v>
      </c>
      <c r="B674" s="1">
        <v>4695.6499999999996</v>
      </c>
      <c r="D674" s="2">
        <v>44953</v>
      </c>
      <c r="E674" s="1">
        <v>1050.6500000000001</v>
      </c>
      <c r="G674" s="3">
        <v>20240000</v>
      </c>
      <c r="H674" s="3">
        <f t="shared" si="30"/>
        <v>95039956000</v>
      </c>
      <c r="J674" s="3">
        <v>238782786</v>
      </c>
      <c r="K674" s="3">
        <f t="shared" si="31"/>
        <v>250877134110.90002</v>
      </c>
      <c r="M674" s="4">
        <f t="shared" si="32"/>
        <v>0.62116931725635993</v>
      </c>
    </row>
    <row r="675" spans="1:13" x14ac:dyDescent="0.45">
      <c r="A675" s="2">
        <v>44951</v>
      </c>
      <c r="B675" s="1">
        <v>4748.2</v>
      </c>
      <c r="D675" s="2">
        <v>44951</v>
      </c>
      <c r="E675" s="1">
        <v>1037.3</v>
      </c>
      <c r="G675" s="3">
        <v>20240000</v>
      </c>
      <c r="H675" s="3">
        <f t="shared" si="30"/>
        <v>96103568000</v>
      </c>
      <c r="J675" s="3">
        <v>238782786</v>
      </c>
      <c r="K675" s="3">
        <f t="shared" si="31"/>
        <v>247689383917.79999</v>
      </c>
      <c r="M675" s="4">
        <f t="shared" si="32"/>
        <v>0.61199964859255473</v>
      </c>
    </row>
    <row r="676" spans="1:13" x14ac:dyDescent="0.45">
      <c r="A676" s="2">
        <v>44950</v>
      </c>
      <c r="B676" s="1">
        <v>4769.8500000000004</v>
      </c>
      <c r="D676" s="2">
        <v>44950</v>
      </c>
      <c r="E676" s="1">
        <v>986.2</v>
      </c>
      <c r="G676" s="3">
        <v>20240000</v>
      </c>
      <c r="H676" s="3">
        <f t="shared" si="30"/>
        <v>96541764000</v>
      </c>
      <c r="J676" s="3">
        <v>238782786</v>
      </c>
      <c r="K676" s="3">
        <f t="shared" si="31"/>
        <v>235487583553.20001</v>
      </c>
      <c r="M676" s="4">
        <f t="shared" si="32"/>
        <v>0.59003458890141514</v>
      </c>
    </row>
    <row r="677" spans="1:13" x14ac:dyDescent="0.45">
      <c r="A677" s="2">
        <v>44949</v>
      </c>
      <c r="B677" s="1">
        <v>4820</v>
      </c>
      <c r="D677" s="2">
        <v>44949</v>
      </c>
      <c r="E677" s="1">
        <v>981.85</v>
      </c>
      <c r="G677" s="3">
        <v>20240000</v>
      </c>
      <c r="H677" s="3">
        <f t="shared" si="30"/>
        <v>97556800000</v>
      </c>
      <c r="J677" s="3">
        <v>238782786</v>
      </c>
      <c r="K677" s="3">
        <f t="shared" si="31"/>
        <v>234448878434.10001</v>
      </c>
      <c r="M677" s="4">
        <f t="shared" si="32"/>
        <v>0.58388881767492984</v>
      </c>
    </row>
    <row r="678" spans="1:13" x14ac:dyDescent="0.45">
      <c r="A678" s="2">
        <v>44946</v>
      </c>
      <c r="B678" s="1">
        <v>4856.1499999999996</v>
      </c>
      <c r="D678" s="2">
        <v>44946</v>
      </c>
      <c r="E678" s="1">
        <v>969.9</v>
      </c>
      <c r="G678" s="3">
        <v>20240000</v>
      </c>
      <c r="H678" s="3">
        <f t="shared" si="30"/>
        <v>98288476000</v>
      </c>
      <c r="J678" s="3">
        <v>238782786</v>
      </c>
      <c r="K678" s="3">
        <f t="shared" si="31"/>
        <v>231595424141.39999</v>
      </c>
      <c r="M678" s="4">
        <f t="shared" si="32"/>
        <v>0.57560268574222684</v>
      </c>
    </row>
    <row r="679" spans="1:13" x14ac:dyDescent="0.45">
      <c r="A679" s="2">
        <v>44945</v>
      </c>
      <c r="B679" s="1">
        <v>4931.3999999999996</v>
      </c>
      <c r="D679" s="2">
        <v>44945</v>
      </c>
      <c r="E679" s="1">
        <v>1013.8</v>
      </c>
      <c r="G679" s="3">
        <v>20240000</v>
      </c>
      <c r="H679" s="3">
        <f t="shared" si="30"/>
        <v>99811536000</v>
      </c>
      <c r="J679" s="3">
        <v>238782786</v>
      </c>
      <c r="K679" s="3">
        <f t="shared" si="31"/>
        <v>242077988446.79999</v>
      </c>
      <c r="M679" s="4">
        <f t="shared" si="32"/>
        <v>0.58768851046556436</v>
      </c>
    </row>
    <row r="680" spans="1:13" x14ac:dyDescent="0.45">
      <c r="A680" s="2">
        <v>44944</v>
      </c>
      <c r="B680" s="1">
        <v>4896.95</v>
      </c>
      <c r="D680" s="2">
        <v>44944</v>
      </c>
      <c r="E680" s="1">
        <v>1002.15</v>
      </c>
      <c r="G680" s="3">
        <v>20240000</v>
      </c>
      <c r="H680" s="3">
        <f t="shared" si="30"/>
        <v>99114268000</v>
      </c>
      <c r="J680" s="3">
        <v>238782786</v>
      </c>
      <c r="K680" s="3">
        <f t="shared" si="31"/>
        <v>239296168989.89999</v>
      </c>
      <c r="M680" s="4">
        <f t="shared" si="32"/>
        <v>0.58580921534024499</v>
      </c>
    </row>
    <row r="681" spans="1:13" x14ac:dyDescent="0.45">
      <c r="A681" s="2">
        <v>44943</v>
      </c>
      <c r="B681" s="1">
        <v>4898.6000000000004</v>
      </c>
      <c r="D681" s="2">
        <v>44943</v>
      </c>
      <c r="E681" s="1">
        <v>986.2</v>
      </c>
      <c r="G681" s="3">
        <v>20240000</v>
      </c>
      <c r="H681" s="3">
        <f t="shared" si="30"/>
        <v>99147664000</v>
      </c>
      <c r="J681" s="3">
        <v>238782786</v>
      </c>
      <c r="K681" s="3">
        <f t="shared" si="31"/>
        <v>235487583553.20001</v>
      </c>
      <c r="M681" s="4">
        <f t="shared" si="32"/>
        <v>0.57896861268016231</v>
      </c>
    </row>
    <row r="682" spans="1:13" x14ac:dyDescent="0.45">
      <c r="A682" s="2">
        <v>44942</v>
      </c>
      <c r="B682" s="1">
        <v>4899.2</v>
      </c>
      <c r="D682" s="2">
        <v>44942</v>
      </c>
      <c r="E682" s="1">
        <v>988.65</v>
      </c>
      <c r="G682" s="3">
        <v>20240000</v>
      </c>
      <c r="H682" s="3">
        <f t="shared" si="30"/>
        <v>99159808000</v>
      </c>
      <c r="J682" s="3">
        <v>238782786</v>
      </c>
      <c r="K682" s="3">
        <f t="shared" si="31"/>
        <v>236072601378.89999</v>
      </c>
      <c r="M682" s="4">
        <f t="shared" si="32"/>
        <v>0.57996054001689479</v>
      </c>
    </row>
    <row r="683" spans="1:13" x14ac:dyDescent="0.45">
      <c r="A683" s="2">
        <v>44939</v>
      </c>
      <c r="B683" s="1">
        <v>4980.6000000000004</v>
      </c>
      <c r="D683" s="2">
        <v>44939</v>
      </c>
      <c r="E683" s="1">
        <v>1001.95</v>
      </c>
      <c r="G683" s="3">
        <v>20240000</v>
      </c>
      <c r="H683" s="3">
        <f t="shared" si="30"/>
        <v>100807344000</v>
      </c>
      <c r="J683" s="3">
        <v>238782786</v>
      </c>
      <c r="K683" s="3">
        <f t="shared" si="31"/>
        <v>239248412432.70001</v>
      </c>
      <c r="M683" s="4">
        <f t="shared" si="32"/>
        <v>0.57864989374440734</v>
      </c>
    </row>
    <row r="684" spans="1:13" x14ac:dyDescent="0.45">
      <c r="A684" s="2">
        <v>44938</v>
      </c>
      <c r="B684" s="1">
        <v>5032</v>
      </c>
      <c r="D684" s="2">
        <v>44938</v>
      </c>
      <c r="E684" s="1">
        <v>1005.2</v>
      </c>
      <c r="G684" s="3">
        <v>20240000</v>
      </c>
      <c r="H684" s="3">
        <f t="shared" si="30"/>
        <v>101847680000</v>
      </c>
      <c r="J684" s="3">
        <v>238782786</v>
      </c>
      <c r="K684" s="3">
        <f t="shared" si="31"/>
        <v>240024456487.20001</v>
      </c>
      <c r="M684" s="4">
        <f t="shared" si="32"/>
        <v>0.57567790594942436</v>
      </c>
    </row>
    <row r="685" spans="1:13" x14ac:dyDescent="0.45">
      <c r="A685" s="2">
        <v>44937</v>
      </c>
      <c r="B685" s="1">
        <v>4979.6499999999996</v>
      </c>
      <c r="D685" s="2">
        <v>44937</v>
      </c>
      <c r="E685" s="1">
        <v>1014.8</v>
      </c>
      <c r="G685" s="3">
        <v>20240000</v>
      </c>
      <c r="H685" s="3">
        <f t="shared" si="30"/>
        <v>100788116000</v>
      </c>
      <c r="J685" s="3">
        <v>238782786</v>
      </c>
      <c r="K685" s="3">
        <f t="shared" si="31"/>
        <v>242316771232.79999</v>
      </c>
      <c r="M685" s="4">
        <f t="shared" si="32"/>
        <v>0.58406462958698691</v>
      </c>
    </row>
    <row r="686" spans="1:13" x14ac:dyDescent="0.45">
      <c r="A686" s="2">
        <v>44936</v>
      </c>
      <c r="B686" s="1">
        <v>4910</v>
      </c>
      <c r="D686" s="2">
        <v>44936</v>
      </c>
      <c r="E686" s="1">
        <v>1017.15</v>
      </c>
      <c r="G686" s="3">
        <v>20240000</v>
      </c>
      <c r="H686" s="3">
        <f t="shared" si="30"/>
        <v>99378400000</v>
      </c>
      <c r="J686" s="3">
        <v>238782786</v>
      </c>
      <c r="K686" s="3">
        <f t="shared" si="31"/>
        <v>242877910779.89999</v>
      </c>
      <c r="M686" s="4">
        <f t="shared" si="32"/>
        <v>0.59082981370809651</v>
      </c>
    </row>
    <row r="687" spans="1:13" x14ac:dyDescent="0.45">
      <c r="A687" s="2">
        <v>44935</v>
      </c>
      <c r="B687" s="1">
        <v>4967.75</v>
      </c>
      <c r="D687" s="2">
        <v>44935</v>
      </c>
      <c r="E687" s="1">
        <v>1021.4</v>
      </c>
      <c r="G687" s="3">
        <v>20240000</v>
      </c>
      <c r="H687" s="3">
        <f t="shared" si="30"/>
        <v>100547260000</v>
      </c>
      <c r="J687" s="3">
        <v>238782786</v>
      </c>
      <c r="K687" s="3">
        <f t="shared" si="31"/>
        <v>243892737620.39999</v>
      </c>
      <c r="M687" s="4">
        <f t="shared" si="32"/>
        <v>0.58773983604016133</v>
      </c>
    </row>
    <row r="688" spans="1:13" x14ac:dyDescent="0.45">
      <c r="A688" s="2">
        <v>44932</v>
      </c>
      <c r="B688" s="1">
        <v>4910.8</v>
      </c>
      <c r="D688" s="2">
        <v>44932</v>
      </c>
      <c r="E688" s="1">
        <v>1024.5</v>
      </c>
      <c r="G688" s="3">
        <v>20240000</v>
      </c>
      <c r="H688" s="3">
        <f t="shared" si="30"/>
        <v>99394592000</v>
      </c>
      <c r="J688" s="3">
        <v>238782786</v>
      </c>
      <c r="K688" s="3">
        <f t="shared" si="31"/>
        <v>244632964257</v>
      </c>
      <c r="M688" s="4">
        <f t="shared" si="32"/>
        <v>0.59369910632493228</v>
      </c>
    </row>
    <row r="689" spans="1:13" x14ac:dyDescent="0.45">
      <c r="A689" s="2">
        <v>44931</v>
      </c>
      <c r="B689" s="1">
        <v>4982.8</v>
      </c>
      <c r="D689" s="2">
        <v>44931</v>
      </c>
      <c r="E689" s="1">
        <v>1030.3499999999999</v>
      </c>
      <c r="G689" s="3">
        <v>20240000</v>
      </c>
      <c r="H689" s="3">
        <f t="shared" si="30"/>
        <v>100851872000</v>
      </c>
      <c r="J689" s="3">
        <v>238782786</v>
      </c>
      <c r="K689" s="3">
        <f t="shared" si="31"/>
        <v>246029843555.09998</v>
      </c>
      <c r="M689" s="4">
        <f t="shared" si="32"/>
        <v>0.59008276986765806</v>
      </c>
    </row>
    <row r="690" spans="1:13" x14ac:dyDescent="0.45">
      <c r="A690" s="2">
        <v>44930</v>
      </c>
      <c r="B690" s="1">
        <v>4965.7</v>
      </c>
      <c r="D690" s="2">
        <v>44930</v>
      </c>
      <c r="E690" s="1">
        <v>1024.4000000000001</v>
      </c>
      <c r="G690" s="3">
        <v>20240000</v>
      </c>
      <c r="H690" s="3">
        <f t="shared" si="30"/>
        <v>100505768000</v>
      </c>
      <c r="J690" s="3">
        <v>238782786</v>
      </c>
      <c r="K690" s="3">
        <f t="shared" si="31"/>
        <v>244609085978.40002</v>
      </c>
      <c r="M690" s="4">
        <f t="shared" si="32"/>
        <v>0.5891167836305351</v>
      </c>
    </row>
    <row r="691" spans="1:13" x14ac:dyDescent="0.45">
      <c r="A691" s="2">
        <v>44929</v>
      </c>
      <c r="B691" s="1">
        <v>4946.05</v>
      </c>
      <c r="D691" s="2">
        <v>44929</v>
      </c>
      <c r="E691" s="1">
        <v>1041.8499999999999</v>
      </c>
      <c r="G691" s="3">
        <v>20240000</v>
      </c>
      <c r="H691" s="3">
        <f t="shared" si="30"/>
        <v>100108052000</v>
      </c>
      <c r="J691" s="3">
        <v>238782786</v>
      </c>
      <c r="K691" s="3">
        <f t="shared" si="31"/>
        <v>248775845594.09998</v>
      </c>
      <c r="M691" s="4">
        <f t="shared" si="32"/>
        <v>0.59759738024030185</v>
      </c>
    </row>
    <row r="692" spans="1:13" x14ac:dyDescent="0.45">
      <c r="A692" s="2">
        <v>44928</v>
      </c>
      <c r="B692" s="1">
        <v>5023.3999999999996</v>
      </c>
      <c r="D692" s="2">
        <v>44928</v>
      </c>
      <c r="E692" s="1">
        <v>1073.3499999999999</v>
      </c>
      <c r="G692" s="3">
        <v>20240000</v>
      </c>
      <c r="H692" s="3">
        <f t="shared" si="30"/>
        <v>101673616000</v>
      </c>
      <c r="J692" s="3">
        <v>238782786</v>
      </c>
      <c r="K692" s="3">
        <f t="shared" si="31"/>
        <v>256297503353.09998</v>
      </c>
      <c r="M692" s="4">
        <f t="shared" si="32"/>
        <v>0.60329845328253273</v>
      </c>
    </row>
    <row r="693" spans="1:13" x14ac:dyDescent="0.45">
      <c r="A693" s="2">
        <v>44925</v>
      </c>
      <c r="B693" s="1">
        <v>4991.3999999999996</v>
      </c>
      <c r="D693" s="2">
        <v>44925</v>
      </c>
      <c r="E693" s="1">
        <v>1086.3</v>
      </c>
      <c r="G693" s="3">
        <v>20240000</v>
      </c>
      <c r="H693" s="3">
        <f t="shared" si="30"/>
        <v>101025936000</v>
      </c>
      <c r="J693" s="3">
        <v>238782786</v>
      </c>
      <c r="K693" s="3">
        <f t="shared" si="31"/>
        <v>259389740431.79999</v>
      </c>
      <c r="M693" s="4">
        <f t="shared" si="32"/>
        <v>0.61052454953760127</v>
      </c>
    </row>
    <row r="694" spans="1:13" x14ac:dyDescent="0.45">
      <c r="A694" s="2">
        <v>44924</v>
      </c>
      <c r="B694" s="1">
        <v>4980.6499999999996</v>
      </c>
      <c r="D694" s="2">
        <v>44924</v>
      </c>
      <c r="E694" s="1">
        <v>1100.1500000000001</v>
      </c>
      <c r="G694" s="3">
        <v>20240000</v>
      </c>
      <c r="H694" s="3">
        <f t="shared" si="30"/>
        <v>100808356000</v>
      </c>
      <c r="J694" s="3">
        <v>238782786</v>
      </c>
      <c r="K694" s="3">
        <f t="shared" si="31"/>
        <v>262696882017.90002</v>
      </c>
      <c r="M694" s="4">
        <f t="shared" si="32"/>
        <v>0.61625598588897235</v>
      </c>
    </row>
    <row r="695" spans="1:13" x14ac:dyDescent="0.45">
      <c r="A695" s="2">
        <v>44923</v>
      </c>
      <c r="B695" s="1">
        <v>5022.1000000000004</v>
      </c>
      <c r="D695" s="2">
        <v>44923</v>
      </c>
      <c r="E695" s="1">
        <v>1082.5</v>
      </c>
      <c r="G695" s="3">
        <v>20240000</v>
      </c>
      <c r="H695" s="3">
        <f t="shared" si="30"/>
        <v>101647304000</v>
      </c>
      <c r="J695" s="3">
        <v>238782786</v>
      </c>
      <c r="K695" s="3">
        <f t="shared" si="31"/>
        <v>258482365845</v>
      </c>
      <c r="M695" s="4">
        <f t="shared" si="32"/>
        <v>0.60675342912578722</v>
      </c>
    </row>
    <row r="696" spans="1:13" x14ac:dyDescent="0.45">
      <c r="A696" s="2">
        <v>44922</v>
      </c>
      <c r="B696" s="1">
        <v>4969.8500000000004</v>
      </c>
      <c r="D696" s="2">
        <v>44922</v>
      </c>
      <c r="E696" s="1">
        <v>1044.1500000000001</v>
      </c>
      <c r="G696" s="3">
        <v>20240000</v>
      </c>
      <c r="H696" s="3">
        <f t="shared" si="30"/>
        <v>100589764000</v>
      </c>
      <c r="J696" s="3">
        <v>238782786</v>
      </c>
      <c r="K696" s="3">
        <f t="shared" si="31"/>
        <v>249325046001.90002</v>
      </c>
      <c r="M696" s="4">
        <f t="shared" si="32"/>
        <v>0.59655170784874367</v>
      </c>
    </row>
    <row r="697" spans="1:13" x14ac:dyDescent="0.45">
      <c r="A697" s="2">
        <v>44921</v>
      </c>
      <c r="B697" s="1">
        <v>5004.95</v>
      </c>
      <c r="D697" s="2">
        <v>44921</v>
      </c>
      <c r="E697" s="1">
        <v>1016.05</v>
      </c>
      <c r="G697" s="3">
        <v>20240000</v>
      </c>
      <c r="H697" s="3">
        <f t="shared" si="30"/>
        <v>101300188000</v>
      </c>
      <c r="J697" s="3">
        <v>238782786</v>
      </c>
      <c r="K697" s="3">
        <f t="shared" si="31"/>
        <v>242615249715.29999</v>
      </c>
      <c r="M697" s="4">
        <f t="shared" si="32"/>
        <v>0.58246570189272107</v>
      </c>
    </row>
    <row r="698" spans="1:13" x14ac:dyDescent="0.45">
      <c r="A698" s="2">
        <v>44918</v>
      </c>
      <c r="B698" s="1">
        <v>4996.6499999999996</v>
      </c>
      <c r="D698" s="2">
        <v>44918</v>
      </c>
      <c r="E698" s="1">
        <v>1010.9</v>
      </c>
      <c r="G698" s="3">
        <v>20240000</v>
      </c>
      <c r="H698" s="3">
        <f t="shared" si="30"/>
        <v>101132196000</v>
      </c>
      <c r="J698" s="3">
        <v>238782786</v>
      </c>
      <c r="K698" s="3">
        <f t="shared" si="31"/>
        <v>241385518367.39999</v>
      </c>
      <c r="M698" s="4">
        <f t="shared" si="32"/>
        <v>0.58103453478069844</v>
      </c>
    </row>
    <row r="699" spans="1:13" x14ac:dyDescent="0.45">
      <c r="A699" s="2">
        <v>44917</v>
      </c>
      <c r="B699" s="1">
        <v>5157.8500000000004</v>
      </c>
      <c r="D699" s="2">
        <v>44917</v>
      </c>
      <c r="E699" s="1">
        <v>1037.4000000000001</v>
      </c>
      <c r="G699" s="3">
        <v>20240000</v>
      </c>
      <c r="H699" s="3">
        <f t="shared" si="30"/>
        <v>104394884000</v>
      </c>
      <c r="J699" s="3">
        <v>238782786</v>
      </c>
      <c r="K699" s="3">
        <f t="shared" si="31"/>
        <v>247713262196.40002</v>
      </c>
      <c r="M699" s="4">
        <f t="shared" si="32"/>
        <v>0.57856562432563552</v>
      </c>
    </row>
    <row r="700" spans="1:13" x14ac:dyDescent="0.45">
      <c r="A700" s="2">
        <v>44916</v>
      </c>
      <c r="B700" s="1">
        <v>5219.3999999999996</v>
      </c>
      <c r="D700" s="2">
        <v>44916</v>
      </c>
      <c r="E700" s="1">
        <v>1032.6500000000001</v>
      </c>
      <c r="G700" s="3">
        <v>20240000</v>
      </c>
      <c r="H700" s="3">
        <f t="shared" si="30"/>
        <v>105640656000</v>
      </c>
      <c r="J700" s="3">
        <v>238782786</v>
      </c>
      <c r="K700" s="3">
        <f t="shared" si="31"/>
        <v>246579043962.90002</v>
      </c>
      <c r="M700" s="4">
        <f t="shared" si="32"/>
        <v>0.57157488202487083</v>
      </c>
    </row>
    <row r="701" spans="1:13" x14ac:dyDescent="0.45">
      <c r="A701" s="2">
        <v>44915</v>
      </c>
      <c r="B701" s="1">
        <v>5182.3</v>
      </c>
      <c r="D701" s="2">
        <v>44915</v>
      </c>
      <c r="E701" s="1">
        <v>1057.3499999999999</v>
      </c>
      <c r="G701" s="3">
        <v>20240000</v>
      </c>
      <c r="H701" s="3">
        <f t="shared" si="30"/>
        <v>104889752000</v>
      </c>
      <c r="J701" s="3">
        <v>238782786</v>
      </c>
      <c r="K701" s="3">
        <f t="shared" si="31"/>
        <v>252476978777.09998</v>
      </c>
      <c r="M701" s="4">
        <f t="shared" si="32"/>
        <v>0.58455716434803262</v>
      </c>
    </row>
    <row r="702" spans="1:13" x14ac:dyDescent="0.45">
      <c r="A702" s="2">
        <v>44914</v>
      </c>
      <c r="B702" s="1">
        <v>5214</v>
      </c>
      <c r="D702" s="2">
        <v>44914</v>
      </c>
      <c r="E702" s="1">
        <v>1055.9000000000001</v>
      </c>
      <c r="G702" s="3">
        <v>20240000</v>
      </c>
      <c r="H702" s="3">
        <f t="shared" si="30"/>
        <v>105531360000</v>
      </c>
      <c r="J702" s="3">
        <v>238782786</v>
      </c>
      <c r="K702" s="3">
        <f t="shared" si="31"/>
        <v>252130743737.40002</v>
      </c>
      <c r="M702" s="4">
        <f t="shared" si="32"/>
        <v>0.58144192003053252</v>
      </c>
    </row>
    <row r="703" spans="1:13" x14ac:dyDescent="0.45">
      <c r="A703" s="2">
        <v>44911</v>
      </c>
      <c r="B703" s="1">
        <v>5183</v>
      </c>
      <c r="D703" s="2">
        <v>44911</v>
      </c>
      <c r="E703" s="1">
        <v>1039.45</v>
      </c>
      <c r="G703" s="3">
        <v>20240000</v>
      </c>
      <c r="H703" s="3">
        <f t="shared" si="30"/>
        <v>104903920000</v>
      </c>
      <c r="J703" s="3">
        <v>238782786</v>
      </c>
      <c r="K703" s="3">
        <f t="shared" si="31"/>
        <v>248202766907.70001</v>
      </c>
      <c r="M703" s="4">
        <f t="shared" si="32"/>
        <v>0.57734588817452237</v>
      </c>
    </row>
    <row r="704" spans="1:13" x14ac:dyDescent="0.45">
      <c r="A704" s="2">
        <v>44910</v>
      </c>
      <c r="B704" s="1">
        <v>5181.8500000000004</v>
      </c>
      <c r="D704" s="2">
        <v>44910</v>
      </c>
      <c r="E704" s="1">
        <v>1039.75</v>
      </c>
      <c r="G704" s="3">
        <v>20240000</v>
      </c>
      <c r="H704" s="3">
        <f t="shared" si="30"/>
        <v>104880644000</v>
      </c>
      <c r="J704" s="3">
        <v>238782786</v>
      </c>
      <c r="K704" s="3">
        <f t="shared" si="31"/>
        <v>248274401743.5</v>
      </c>
      <c r="M704" s="4">
        <f t="shared" si="32"/>
        <v>0.57756158805145175</v>
      </c>
    </row>
    <row r="705" spans="1:13" x14ac:dyDescent="0.45">
      <c r="A705" s="2">
        <v>44909</v>
      </c>
      <c r="B705" s="1">
        <v>5228.3999999999996</v>
      </c>
      <c r="D705" s="2">
        <v>44909</v>
      </c>
      <c r="E705" s="1">
        <v>1029.4000000000001</v>
      </c>
      <c r="G705" s="3">
        <v>20240000</v>
      </c>
      <c r="H705" s="3">
        <f t="shared" si="30"/>
        <v>105822816000</v>
      </c>
      <c r="J705" s="3">
        <v>238782786</v>
      </c>
      <c r="K705" s="3">
        <f t="shared" si="31"/>
        <v>245802999908.40002</v>
      </c>
      <c r="M705" s="4">
        <f t="shared" si="32"/>
        <v>0.56948118599270348</v>
      </c>
    </row>
    <row r="706" spans="1:13" x14ac:dyDescent="0.45">
      <c r="A706" s="2">
        <v>44908</v>
      </c>
      <c r="B706" s="1">
        <v>5304.65</v>
      </c>
      <c r="D706" s="2">
        <v>44908</v>
      </c>
      <c r="E706" s="1">
        <v>1037.45</v>
      </c>
      <c r="G706" s="3">
        <v>20240000</v>
      </c>
      <c r="H706" s="3">
        <f t="shared" si="30"/>
        <v>107366116000</v>
      </c>
      <c r="J706" s="3">
        <v>238782786</v>
      </c>
      <c r="K706" s="3">
        <f t="shared" si="31"/>
        <v>247725201335.70001</v>
      </c>
      <c r="M706" s="4">
        <f t="shared" si="32"/>
        <v>0.56659187106884257</v>
      </c>
    </row>
    <row r="707" spans="1:13" x14ac:dyDescent="0.45">
      <c r="A707" s="2">
        <v>44907</v>
      </c>
      <c r="B707" s="1">
        <v>5157.45</v>
      </c>
      <c r="D707" s="2">
        <v>44907</v>
      </c>
      <c r="E707" s="1">
        <v>1038</v>
      </c>
      <c r="G707" s="3">
        <v>20240000</v>
      </c>
      <c r="H707" s="3">
        <f t="shared" si="30"/>
        <v>104386788000</v>
      </c>
      <c r="J707" s="3">
        <v>238782786</v>
      </c>
      <c r="K707" s="3">
        <f t="shared" si="31"/>
        <v>247856531868</v>
      </c>
      <c r="M707" s="4">
        <f t="shared" si="32"/>
        <v>0.57884189206846126</v>
      </c>
    </row>
    <row r="708" spans="1:13" x14ac:dyDescent="0.45">
      <c r="A708" s="2">
        <v>44904</v>
      </c>
      <c r="B708" s="1">
        <v>5163.6499999999996</v>
      </c>
      <c r="D708" s="2">
        <v>44904</v>
      </c>
      <c r="E708" s="1">
        <v>1035.8499999999999</v>
      </c>
      <c r="G708" s="3">
        <v>20240000</v>
      </c>
      <c r="H708" s="3">
        <f t="shared" ref="H708:H771" si="33">+G708*B708</f>
        <v>104512276000</v>
      </c>
      <c r="J708" s="3">
        <v>238782786</v>
      </c>
      <c r="K708" s="3">
        <f t="shared" ref="K708:K771" si="34">+J708*E708</f>
        <v>247343148878.09998</v>
      </c>
      <c r="M708" s="4">
        <f t="shared" ref="M708:M771" si="35">1- (H708/K708)</f>
        <v>0.57746039672395533</v>
      </c>
    </row>
    <row r="709" spans="1:13" x14ac:dyDescent="0.45">
      <c r="A709" s="2">
        <v>44903</v>
      </c>
      <c r="B709" s="1">
        <v>5183.3999999999996</v>
      </c>
      <c r="D709" s="2">
        <v>44903</v>
      </c>
      <c r="E709" s="1">
        <v>1025.8</v>
      </c>
      <c r="G709" s="3">
        <v>20240000</v>
      </c>
      <c r="H709" s="3">
        <f t="shared" si="33"/>
        <v>104912016000</v>
      </c>
      <c r="J709" s="3">
        <v>238782786</v>
      </c>
      <c r="K709" s="3">
        <f t="shared" si="34"/>
        <v>244943381878.79999</v>
      </c>
      <c r="M709" s="4">
        <f t="shared" si="35"/>
        <v>0.57168870946710726</v>
      </c>
    </row>
    <row r="710" spans="1:13" x14ac:dyDescent="0.45">
      <c r="A710" s="2">
        <v>44902</v>
      </c>
      <c r="B710" s="1">
        <v>5115.8</v>
      </c>
      <c r="D710" s="2">
        <v>44902</v>
      </c>
      <c r="E710" s="1">
        <v>1025.3499999999999</v>
      </c>
      <c r="G710" s="3">
        <v>20240000</v>
      </c>
      <c r="H710" s="3">
        <f t="shared" si="33"/>
        <v>103543792000</v>
      </c>
      <c r="J710" s="3">
        <v>238782786</v>
      </c>
      <c r="K710" s="3">
        <f t="shared" si="34"/>
        <v>244835929625.09998</v>
      </c>
      <c r="M710" s="4">
        <f t="shared" si="35"/>
        <v>0.57708906467057619</v>
      </c>
    </row>
    <row r="711" spans="1:13" x14ac:dyDescent="0.45">
      <c r="A711" s="2">
        <v>44901</v>
      </c>
      <c r="B711" s="1">
        <v>5207.8999999999996</v>
      </c>
      <c r="D711" s="2">
        <v>44901</v>
      </c>
      <c r="E711" s="1">
        <v>1039.7</v>
      </c>
      <c r="G711" s="3">
        <v>20240000</v>
      </c>
      <c r="H711" s="3">
        <f t="shared" si="33"/>
        <v>105407896000</v>
      </c>
      <c r="J711" s="3">
        <v>238782786</v>
      </c>
      <c r="K711" s="3">
        <f t="shared" si="34"/>
        <v>248262462604.20001</v>
      </c>
      <c r="M711" s="4">
        <f t="shared" si="35"/>
        <v>0.57541750414338821</v>
      </c>
    </row>
    <row r="712" spans="1:13" x14ac:dyDescent="0.45">
      <c r="A712" s="2">
        <v>44900</v>
      </c>
      <c r="B712" s="1">
        <v>5334.55</v>
      </c>
      <c r="D712" s="2">
        <v>44900</v>
      </c>
      <c r="E712" s="1">
        <v>1017.75</v>
      </c>
      <c r="G712" s="3">
        <v>20240000</v>
      </c>
      <c r="H712" s="3">
        <f t="shared" si="33"/>
        <v>107971292000</v>
      </c>
      <c r="J712" s="3">
        <v>238782786</v>
      </c>
      <c r="K712" s="3">
        <f t="shared" si="34"/>
        <v>243021180451.5</v>
      </c>
      <c r="M712" s="4">
        <f t="shared" si="35"/>
        <v>0.55571242062356807</v>
      </c>
    </row>
    <row r="713" spans="1:13" x14ac:dyDescent="0.45">
      <c r="A713" s="2">
        <v>44897</v>
      </c>
      <c r="B713" s="1">
        <v>5313.8</v>
      </c>
      <c r="D713" s="2">
        <v>44897</v>
      </c>
      <c r="E713" s="1">
        <v>1049.3499999999999</v>
      </c>
      <c r="G713" s="3">
        <v>20240000</v>
      </c>
      <c r="H713" s="3">
        <f t="shared" si="33"/>
        <v>107551312000</v>
      </c>
      <c r="J713" s="3">
        <v>238782786</v>
      </c>
      <c r="K713" s="3">
        <f t="shared" si="34"/>
        <v>250566716489.09998</v>
      </c>
      <c r="M713" s="4">
        <f t="shared" si="35"/>
        <v>0.57076776394330631</v>
      </c>
    </row>
    <row r="714" spans="1:13" x14ac:dyDescent="0.45">
      <c r="A714" s="2">
        <v>44896</v>
      </c>
      <c r="B714" s="1">
        <v>5362.5</v>
      </c>
      <c r="D714" s="2">
        <v>44896</v>
      </c>
      <c r="E714" s="1">
        <v>1049.5</v>
      </c>
      <c r="G714" s="3">
        <v>20240000</v>
      </c>
      <c r="H714" s="3">
        <f t="shared" si="33"/>
        <v>108537000000</v>
      </c>
      <c r="J714" s="3">
        <v>238782786</v>
      </c>
      <c r="K714" s="3">
        <f t="shared" si="34"/>
        <v>250602533907</v>
      </c>
      <c r="M714" s="4">
        <f t="shared" si="35"/>
        <v>0.56689583976721214</v>
      </c>
    </row>
    <row r="715" spans="1:13" x14ac:dyDescent="0.45">
      <c r="A715" s="2">
        <v>44895</v>
      </c>
      <c r="B715" s="1">
        <v>5411.3</v>
      </c>
      <c r="D715" s="2">
        <v>44895</v>
      </c>
      <c r="E715" s="1">
        <v>1046.25</v>
      </c>
      <c r="G715" s="3">
        <v>20240000</v>
      </c>
      <c r="H715" s="3">
        <f t="shared" si="33"/>
        <v>109524712000</v>
      </c>
      <c r="J715" s="3">
        <v>238782786</v>
      </c>
      <c r="K715" s="3">
        <f t="shared" si="34"/>
        <v>249826489852.5</v>
      </c>
      <c r="M715" s="4">
        <f t="shared" si="35"/>
        <v>0.56159688244163197</v>
      </c>
    </row>
    <row r="716" spans="1:13" x14ac:dyDescent="0.45">
      <c r="A716" s="2">
        <v>44894</v>
      </c>
      <c r="B716" s="1">
        <v>5325.65</v>
      </c>
      <c r="D716" s="2">
        <v>44894</v>
      </c>
      <c r="E716" s="1">
        <v>1039.8499999999999</v>
      </c>
      <c r="G716" s="3">
        <v>20240000</v>
      </c>
      <c r="H716" s="3">
        <f t="shared" si="33"/>
        <v>107791156000</v>
      </c>
      <c r="J716" s="3">
        <v>238782786</v>
      </c>
      <c r="K716" s="3">
        <f t="shared" si="34"/>
        <v>248298280022.09998</v>
      </c>
      <c r="M716" s="4">
        <f t="shared" si="35"/>
        <v>0.56588037585114981</v>
      </c>
    </row>
    <row r="717" spans="1:13" x14ac:dyDescent="0.45">
      <c r="A717" s="2">
        <v>44893</v>
      </c>
      <c r="B717" s="1">
        <v>5404.5</v>
      </c>
      <c r="D717" s="2">
        <v>44893</v>
      </c>
      <c r="E717" s="1">
        <v>1060.7</v>
      </c>
      <c r="G717" s="3">
        <v>20240000</v>
      </c>
      <c r="H717" s="3">
        <f t="shared" si="33"/>
        <v>109387080000</v>
      </c>
      <c r="J717" s="3">
        <v>238782786</v>
      </c>
      <c r="K717" s="3">
        <f t="shared" si="34"/>
        <v>253276901110.20001</v>
      </c>
      <c r="M717" s="4">
        <f t="shared" si="35"/>
        <v>0.56811268804806636</v>
      </c>
    </row>
    <row r="718" spans="1:13" x14ac:dyDescent="0.45">
      <c r="A718" s="2">
        <v>44890</v>
      </c>
      <c r="B718" s="1">
        <v>5388.65</v>
      </c>
      <c r="D718" s="2">
        <v>44890</v>
      </c>
      <c r="E718" s="1">
        <v>1037.7</v>
      </c>
      <c r="G718" s="3">
        <v>20240000</v>
      </c>
      <c r="H718" s="3">
        <f t="shared" si="33"/>
        <v>109066276000</v>
      </c>
      <c r="J718" s="3">
        <v>238782786</v>
      </c>
      <c r="K718" s="3">
        <f t="shared" si="34"/>
        <v>247784897032.20001</v>
      </c>
      <c r="M718" s="4">
        <f t="shared" si="35"/>
        <v>0.55983485149287904</v>
      </c>
    </row>
    <row r="719" spans="1:13" x14ac:dyDescent="0.45">
      <c r="A719" s="2">
        <v>44889</v>
      </c>
      <c r="B719" s="1">
        <v>5274.2</v>
      </c>
      <c r="D719" s="2">
        <v>44889</v>
      </c>
      <c r="E719" s="1">
        <v>1051.5</v>
      </c>
      <c r="G719" s="3">
        <v>20240000</v>
      </c>
      <c r="H719" s="3">
        <f t="shared" si="33"/>
        <v>106749808000</v>
      </c>
      <c r="J719" s="3">
        <v>238782786</v>
      </c>
      <c r="K719" s="3">
        <f t="shared" si="34"/>
        <v>251080099479</v>
      </c>
      <c r="M719" s="4">
        <f t="shared" si="35"/>
        <v>0.57483763858023962</v>
      </c>
    </row>
    <row r="720" spans="1:13" x14ac:dyDescent="0.45">
      <c r="A720" s="2">
        <v>44888</v>
      </c>
      <c r="B720" s="1">
        <v>5295.25</v>
      </c>
      <c r="D720" s="2">
        <v>44888</v>
      </c>
      <c r="E720" s="1">
        <v>1051.55</v>
      </c>
      <c r="G720" s="3">
        <v>20240000</v>
      </c>
      <c r="H720" s="3">
        <f t="shared" si="33"/>
        <v>107175860000</v>
      </c>
      <c r="J720" s="3">
        <v>238782786</v>
      </c>
      <c r="K720" s="3">
        <f t="shared" si="34"/>
        <v>251092038618.29999</v>
      </c>
      <c r="M720" s="4">
        <f t="shared" si="35"/>
        <v>0.57316105843194642</v>
      </c>
    </row>
    <row r="721" spans="1:13" x14ac:dyDescent="0.45">
      <c r="A721" s="2">
        <v>44887</v>
      </c>
      <c r="B721" s="1">
        <v>5460</v>
      </c>
      <c r="D721" s="2">
        <v>44887</v>
      </c>
      <c r="E721" s="1">
        <v>1043.5999999999999</v>
      </c>
      <c r="G721" s="3">
        <v>20240000</v>
      </c>
      <c r="H721" s="3">
        <f t="shared" si="33"/>
        <v>110510400000</v>
      </c>
      <c r="J721" s="3">
        <v>238782786</v>
      </c>
      <c r="K721" s="3">
        <f t="shared" si="34"/>
        <v>249193715469.59998</v>
      </c>
      <c r="M721" s="4">
        <f t="shared" si="35"/>
        <v>0.55652814200492329</v>
      </c>
    </row>
    <row r="722" spans="1:13" x14ac:dyDescent="0.45">
      <c r="A722" s="2">
        <v>44886</v>
      </c>
      <c r="B722" s="1">
        <v>5461.3</v>
      </c>
      <c r="D722" s="2">
        <v>44886</v>
      </c>
      <c r="E722" s="1">
        <v>1048.3499999999999</v>
      </c>
      <c r="G722" s="3">
        <v>20240000</v>
      </c>
      <c r="H722" s="3">
        <f t="shared" si="33"/>
        <v>110536712000</v>
      </c>
      <c r="J722" s="3">
        <v>238782786</v>
      </c>
      <c r="K722" s="3">
        <f t="shared" si="34"/>
        <v>250327933703.09998</v>
      </c>
      <c r="M722" s="4">
        <f t="shared" si="35"/>
        <v>0.55843237163016157</v>
      </c>
    </row>
    <row r="723" spans="1:13" x14ac:dyDescent="0.45">
      <c r="A723" s="2">
        <v>44883</v>
      </c>
      <c r="B723" s="1">
        <v>5629.8</v>
      </c>
      <c r="D723" s="2">
        <v>44883</v>
      </c>
      <c r="E723" s="1">
        <v>1081.55</v>
      </c>
      <c r="G723" s="3">
        <v>20240000</v>
      </c>
      <c r="H723" s="3">
        <f t="shared" si="33"/>
        <v>113947152000</v>
      </c>
      <c r="J723" s="3">
        <v>238782786</v>
      </c>
      <c r="K723" s="3">
        <f t="shared" si="34"/>
        <v>258255522198.29999</v>
      </c>
      <c r="M723" s="4">
        <f t="shared" si="35"/>
        <v>0.55878135332763046</v>
      </c>
    </row>
    <row r="724" spans="1:13" x14ac:dyDescent="0.45">
      <c r="A724" s="2">
        <v>44882</v>
      </c>
      <c r="B724" s="1">
        <v>5706.5</v>
      </c>
      <c r="D724" s="2">
        <v>44882</v>
      </c>
      <c r="E724" s="1">
        <v>1109.75</v>
      </c>
      <c r="G724" s="3">
        <v>20240000</v>
      </c>
      <c r="H724" s="3">
        <f t="shared" si="33"/>
        <v>115499560000</v>
      </c>
      <c r="J724" s="3">
        <v>238782786</v>
      </c>
      <c r="K724" s="3">
        <f t="shared" si="34"/>
        <v>264989196763.5</v>
      </c>
      <c r="M724" s="4">
        <f t="shared" si="35"/>
        <v>0.5641348348888271</v>
      </c>
    </row>
    <row r="725" spans="1:13" x14ac:dyDescent="0.45">
      <c r="A725" s="2">
        <v>44881</v>
      </c>
      <c r="B725" s="1">
        <v>5679.95</v>
      </c>
      <c r="D725" s="2">
        <v>44881</v>
      </c>
      <c r="E725" s="1">
        <v>1118.2</v>
      </c>
      <c r="G725" s="3">
        <v>20240000</v>
      </c>
      <c r="H725" s="3">
        <f t="shared" si="33"/>
        <v>114962188000</v>
      </c>
      <c r="J725" s="3">
        <v>238782786</v>
      </c>
      <c r="K725" s="3">
        <f t="shared" si="34"/>
        <v>267006911305.20001</v>
      </c>
      <c r="M725" s="4">
        <f t="shared" si="35"/>
        <v>0.56944115252285199</v>
      </c>
    </row>
    <row r="726" spans="1:13" x14ac:dyDescent="0.45">
      <c r="A726" s="2">
        <v>44880</v>
      </c>
      <c r="B726" s="1">
        <v>5675.45</v>
      </c>
      <c r="D726" s="2">
        <v>44880</v>
      </c>
      <c r="E726" s="1">
        <v>1103.5</v>
      </c>
      <c r="G726" s="3">
        <v>20240000</v>
      </c>
      <c r="H726" s="3">
        <f t="shared" si="33"/>
        <v>114871108000</v>
      </c>
      <c r="J726" s="3">
        <v>238782786</v>
      </c>
      <c r="K726" s="3">
        <f t="shared" si="34"/>
        <v>263496804351</v>
      </c>
      <c r="M726" s="4">
        <f t="shared" si="35"/>
        <v>0.56405122907304039</v>
      </c>
    </row>
    <row r="727" spans="1:13" x14ac:dyDescent="0.45">
      <c r="A727" s="2">
        <v>44879</v>
      </c>
      <c r="B727" s="1">
        <v>5453</v>
      </c>
      <c r="D727" s="2">
        <v>44879</v>
      </c>
      <c r="E727" s="1">
        <v>1100.9000000000001</v>
      </c>
      <c r="G727" s="3">
        <v>20240000</v>
      </c>
      <c r="H727" s="3">
        <f t="shared" si="33"/>
        <v>110368720000</v>
      </c>
      <c r="J727" s="3">
        <v>238782786</v>
      </c>
      <c r="K727" s="3">
        <f t="shared" si="34"/>
        <v>262875969107.40002</v>
      </c>
      <c r="M727" s="4">
        <f t="shared" si="35"/>
        <v>0.58014907039711949</v>
      </c>
    </row>
    <row r="728" spans="1:13" x14ac:dyDescent="0.45">
      <c r="A728" s="2">
        <v>44876</v>
      </c>
      <c r="B728" s="1">
        <v>5163.95</v>
      </c>
      <c r="D728" s="2">
        <v>44876</v>
      </c>
      <c r="E728" s="1">
        <v>1106.75</v>
      </c>
      <c r="G728" s="3">
        <v>20240000</v>
      </c>
      <c r="H728" s="3">
        <f t="shared" si="33"/>
        <v>104518348000</v>
      </c>
      <c r="J728" s="3">
        <v>238782786</v>
      </c>
      <c r="K728" s="3">
        <f t="shared" si="34"/>
        <v>264272848405.5</v>
      </c>
      <c r="M728" s="4">
        <f t="shared" si="35"/>
        <v>0.6045059164018729</v>
      </c>
    </row>
    <row r="729" spans="1:13" x14ac:dyDescent="0.45">
      <c r="A729" s="2">
        <v>44875</v>
      </c>
      <c r="B729" s="1">
        <v>5132.3</v>
      </c>
      <c r="D729" s="2">
        <v>44875</v>
      </c>
      <c r="E729" s="1">
        <v>1107.05</v>
      </c>
      <c r="G729" s="3">
        <v>20240000</v>
      </c>
      <c r="H729" s="3">
        <f t="shared" si="33"/>
        <v>103877752000</v>
      </c>
      <c r="J729" s="3">
        <v>238782786</v>
      </c>
      <c r="K729" s="3">
        <f t="shared" si="34"/>
        <v>264344483241.29999</v>
      </c>
      <c r="M729" s="4">
        <f t="shared" si="35"/>
        <v>0.6070364294110201</v>
      </c>
    </row>
    <row r="730" spans="1:13" x14ac:dyDescent="0.45">
      <c r="A730" s="2">
        <v>44874</v>
      </c>
      <c r="B730" s="1">
        <v>5114.25</v>
      </c>
      <c r="D730" s="2">
        <v>44874</v>
      </c>
      <c r="E730" s="1">
        <v>1145.3</v>
      </c>
      <c r="G730" s="3">
        <v>20240000</v>
      </c>
      <c r="H730" s="3">
        <f t="shared" si="33"/>
        <v>103512420000</v>
      </c>
      <c r="J730" s="3">
        <v>238782786</v>
      </c>
      <c r="K730" s="3">
        <f t="shared" si="34"/>
        <v>273477924805.79999</v>
      </c>
      <c r="M730" s="4">
        <f t="shared" si="35"/>
        <v>0.62149625029696476</v>
      </c>
    </row>
    <row r="731" spans="1:13" x14ac:dyDescent="0.45">
      <c r="A731" s="2">
        <v>44872</v>
      </c>
      <c r="B731" s="1">
        <v>4910</v>
      </c>
      <c r="D731" s="2">
        <v>44872</v>
      </c>
      <c r="E731" s="1">
        <v>1111.8</v>
      </c>
      <c r="G731" s="3">
        <v>20240000</v>
      </c>
      <c r="H731" s="3">
        <f t="shared" si="33"/>
        <v>99378400000</v>
      </c>
      <c r="J731" s="3">
        <v>238782786</v>
      </c>
      <c r="K731" s="3">
        <f t="shared" si="34"/>
        <v>265478701474.79999</v>
      </c>
      <c r="M731" s="4">
        <f t="shared" si="35"/>
        <v>0.62566337921675697</v>
      </c>
    </row>
    <row r="732" spans="1:13" x14ac:dyDescent="0.45">
      <c r="A732" s="2">
        <v>44869</v>
      </c>
      <c r="B732" s="1">
        <v>4798.75</v>
      </c>
      <c r="D732" s="2">
        <v>44869</v>
      </c>
      <c r="E732" s="1">
        <v>1113.7</v>
      </c>
      <c r="G732" s="3">
        <v>20240000</v>
      </c>
      <c r="H732" s="3">
        <f t="shared" si="33"/>
        <v>97126700000</v>
      </c>
      <c r="J732" s="3">
        <v>238782786</v>
      </c>
      <c r="K732" s="3">
        <f t="shared" si="34"/>
        <v>265932388768.20001</v>
      </c>
      <c r="M732" s="4">
        <f t="shared" si="35"/>
        <v>0.63476919659958941</v>
      </c>
    </row>
    <row r="733" spans="1:13" x14ac:dyDescent="0.45">
      <c r="A733" s="2">
        <v>44868</v>
      </c>
      <c r="B733" s="1">
        <v>4740.3999999999996</v>
      </c>
      <c r="D733" s="2">
        <v>44868</v>
      </c>
      <c r="E733" s="1">
        <v>1134.5999999999999</v>
      </c>
      <c r="G733" s="3">
        <v>20240000</v>
      </c>
      <c r="H733" s="3">
        <f t="shared" si="33"/>
        <v>95945696000</v>
      </c>
      <c r="J733" s="3">
        <v>238782786</v>
      </c>
      <c r="K733" s="3">
        <f t="shared" si="34"/>
        <v>270922948995.59998</v>
      </c>
      <c r="M733" s="4">
        <f t="shared" si="35"/>
        <v>0.64585615077754732</v>
      </c>
    </row>
    <row r="734" spans="1:13" x14ac:dyDescent="0.45">
      <c r="A734" s="2">
        <v>44867</v>
      </c>
      <c r="B734" s="1">
        <v>4779</v>
      </c>
      <c r="D734" s="2">
        <v>44867</v>
      </c>
      <c r="E734" s="1">
        <v>1114.9000000000001</v>
      </c>
      <c r="G734" s="3">
        <v>20240000</v>
      </c>
      <c r="H734" s="3">
        <f t="shared" si="33"/>
        <v>96726960000</v>
      </c>
      <c r="J734" s="3">
        <v>238782786</v>
      </c>
      <c r="K734" s="3">
        <f t="shared" si="34"/>
        <v>266218928111.40002</v>
      </c>
      <c r="M734" s="4">
        <f t="shared" si="35"/>
        <v>0.63666385149171534</v>
      </c>
    </row>
    <row r="735" spans="1:13" x14ac:dyDescent="0.45">
      <c r="A735" s="2">
        <v>44866</v>
      </c>
      <c r="B735" s="1">
        <v>4698.05</v>
      </c>
      <c r="D735" s="2">
        <v>44866</v>
      </c>
      <c r="E735" s="1">
        <v>1140.5999999999999</v>
      </c>
      <c r="G735" s="3">
        <v>20240000</v>
      </c>
      <c r="H735" s="3">
        <f t="shared" si="33"/>
        <v>95088532000</v>
      </c>
      <c r="J735" s="3">
        <v>238782786</v>
      </c>
      <c r="K735" s="3">
        <f t="shared" si="34"/>
        <v>272355645711.59998</v>
      </c>
      <c r="M735" s="4">
        <f t="shared" si="35"/>
        <v>0.6508663084565165</v>
      </c>
    </row>
    <row r="736" spans="1:13" x14ac:dyDescent="0.45">
      <c r="A736" s="2">
        <v>44865</v>
      </c>
      <c r="B736" s="1">
        <v>4778.95</v>
      </c>
      <c r="D736" s="2">
        <v>44865</v>
      </c>
      <c r="E736" s="1">
        <v>1145.9000000000001</v>
      </c>
      <c r="G736" s="3">
        <v>20240000</v>
      </c>
      <c r="H736" s="3">
        <f t="shared" si="33"/>
        <v>96725948000</v>
      </c>
      <c r="J736" s="3">
        <v>238782786</v>
      </c>
      <c r="K736" s="3">
        <f t="shared" si="34"/>
        <v>273621194477.40002</v>
      </c>
      <c r="M736" s="4">
        <f t="shared" si="35"/>
        <v>0.64649687249286103</v>
      </c>
    </row>
    <row r="737" spans="1:13" x14ac:dyDescent="0.45">
      <c r="A737" s="2">
        <v>44862</v>
      </c>
      <c r="B737" s="1">
        <v>4727.6000000000004</v>
      </c>
      <c r="D737" s="2">
        <v>44862</v>
      </c>
      <c r="E737" s="1">
        <v>1126.9000000000001</v>
      </c>
      <c r="G737" s="3">
        <v>20240000</v>
      </c>
      <c r="H737" s="3">
        <f t="shared" si="33"/>
        <v>95686624000</v>
      </c>
      <c r="J737" s="3">
        <v>238782786</v>
      </c>
      <c r="K737" s="3">
        <f t="shared" si="34"/>
        <v>269084321543.40002</v>
      </c>
      <c r="M737" s="4">
        <f t="shared" si="35"/>
        <v>0.64439911083943657</v>
      </c>
    </row>
    <row r="738" spans="1:13" x14ac:dyDescent="0.45">
      <c r="A738" s="2">
        <v>44861</v>
      </c>
      <c r="B738" s="1">
        <v>4803.6499999999996</v>
      </c>
      <c r="D738" s="2">
        <v>44861</v>
      </c>
      <c r="E738" s="1">
        <v>1124.55</v>
      </c>
      <c r="G738" s="3">
        <v>20240000</v>
      </c>
      <c r="H738" s="3">
        <f t="shared" si="33"/>
        <v>97225876000</v>
      </c>
      <c r="J738" s="3">
        <v>238782786</v>
      </c>
      <c r="K738" s="3">
        <f t="shared" si="34"/>
        <v>268523181996.29999</v>
      </c>
      <c r="M738" s="4">
        <f t="shared" si="35"/>
        <v>0.63792371564649608</v>
      </c>
    </row>
    <row r="739" spans="1:13" x14ac:dyDescent="0.45">
      <c r="A739" s="2">
        <v>44859</v>
      </c>
      <c r="B739" s="1">
        <v>4732.05</v>
      </c>
      <c r="D739" s="2">
        <v>44859</v>
      </c>
      <c r="E739" s="1">
        <v>1156.55</v>
      </c>
      <c r="G739" s="3">
        <v>20240000</v>
      </c>
      <c r="H739" s="3">
        <f t="shared" si="33"/>
        <v>95776692000</v>
      </c>
      <c r="J739" s="3">
        <v>238782786</v>
      </c>
      <c r="K739" s="3">
        <f t="shared" si="34"/>
        <v>276164231148.29999</v>
      </c>
      <c r="M739" s="4">
        <f t="shared" si="35"/>
        <v>0.65318936633554114</v>
      </c>
    </row>
    <row r="740" spans="1:13" x14ac:dyDescent="0.45">
      <c r="A740" s="2">
        <v>44858</v>
      </c>
      <c r="B740" s="1">
        <v>4654.1000000000004</v>
      </c>
      <c r="D740" s="2">
        <v>44858</v>
      </c>
      <c r="E740" s="1">
        <v>1145.55</v>
      </c>
      <c r="G740" s="3">
        <v>20240000</v>
      </c>
      <c r="H740" s="3">
        <f t="shared" si="33"/>
        <v>94198984000</v>
      </c>
      <c r="J740" s="3">
        <v>238782786</v>
      </c>
      <c r="K740" s="3">
        <f t="shared" si="34"/>
        <v>273537620502.29999</v>
      </c>
      <c r="M740" s="4">
        <f t="shared" si="35"/>
        <v>0.65562695242057956</v>
      </c>
    </row>
    <row r="741" spans="1:13" x14ac:dyDescent="0.45">
      <c r="A741" s="2">
        <v>44855</v>
      </c>
      <c r="B741" s="1">
        <v>4581.6499999999996</v>
      </c>
      <c r="D741" s="2">
        <v>44855</v>
      </c>
      <c r="E741" s="1">
        <v>1140.7</v>
      </c>
      <c r="G741" s="3">
        <v>20240000</v>
      </c>
      <c r="H741" s="3">
        <f t="shared" si="33"/>
        <v>92732596000</v>
      </c>
      <c r="J741" s="3">
        <v>238782786</v>
      </c>
      <c r="K741" s="3">
        <f t="shared" si="34"/>
        <v>272379523990.20001</v>
      </c>
      <c r="M741" s="4">
        <f t="shared" si="35"/>
        <v>0.65954637616836265</v>
      </c>
    </row>
    <row r="742" spans="1:13" x14ac:dyDescent="0.45">
      <c r="A742" s="2">
        <v>44854</v>
      </c>
      <c r="B742" s="1">
        <v>4597.3</v>
      </c>
      <c r="D742" s="2">
        <v>44854</v>
      </c>
      <c r="E742" s="1">
        <v>1142.4000000000001</v>
      </c>
      <c r="G742" s="3">
        <v>20240000</v>
      </c>
      <c r="H742" s="3">
        <f t="shared" si="33"/>
        <v>93049352000</v>
      </c>
      <c r="J742" s="3">
        <v>238782786</v>
      </c>
      <c r="K742" s="3">
        <f t="shared" si="34"/>
        <v>272785454726.40002</v>
      </c>
      <c r="M742" s="4">
        <f t="shared" si="35"/>
        <v>0.65889181263961749</v>
      </c>
    </row>
    <row r="743" spans="1:13" x14ac:dyDescent="0.45">
      <c r="A743" s="2">
        <v>44853</v>
      </c>
      <c r="B743" s="1">
        <v>4614.8999999999996</v>
      </c>
      <c r="D743" s="2">
        <v>44853</v>
      </c>
      <c r="E743" s="1">
        <v>1170.8</v>
      </c>
      <c r="G743" s="3">
        <v>20240000</v>
      </c>
      <c r="H743" s="3">
        <f t="shared" si="33"/>
        <v>93405576000</v>
      </c>
      <c r="J743" s="3">
        <v>238782786</v>
      </c>
      <c r="K743" s="3">
        <f t="shared" si="34"/>
        <v>279566885848.79999</v>
      </c>
      <c r="M743" s="4">
        <f t="shared" si="35"/>
        <v>0.66589184653822997</v>
      </c>
    </row>
    <row r="744" spans="1:13" x14ac:dyDescent="0.45">
      <c r="A744" s="2">
        <v>44852</v>
      </c>
      <c r="B744" s="1">
        <v>4515.95</v>
      </c>
      <c r="D744" s="2">
        <v>44852</v>
      </c>
      <c r="E744" s="1">
        <v>1129.5999999999999</v>
      </c>
      <c r="G744" s="3">
        <v>20240000</v>
      </c>
      <c r="H744" s="3">
        <f t="shared" si="33"/>
        <v>91402828000</v>
      </c>
      <c r="J744" s="3">
        <v>238782786</v>
      </c>
      <c r="K744" s="3">
        <f t="shared" si="34"/>
        <v>269729035065.59998</v>
      </c>
      <c r="M744" s="4">
        <f t="shared" si="35"/>
        <v>0.66113092727384659</v>
      </c>
    </row>
    <row r="745" spans="1:13" x14ac:dyDescent="0.45">
      <c r="A745" s="2">
        <v>44851</v>
      </c>
      <c r="B745" s="1">
        <v>4407.8</v>
      </c>
      <c r="D745" s="2">
        <v>44851</v>
      </c>
      <c r="E745" s="1">
        <v>1075.1500000000001</v>
      </c>
      <c r="G745" s="3">
        <v>20240000</v>
      </c>
      <c r="H745" s="3">
        <f t="shared" si="33"/>
        <v>89213872000</v>
      </c>
      <c r="J745" s="3">
        <v>238782786</v>
      </c>
      <c r="K745" s="3">
        <f t="shared" si="34"/>
        <v>256727312367.90002</v>
      </c>
      <c r="M745" s="4">
        <f t="shared" si="35"/>
        <v>0.65249559473378849</v>
      </c>
    </row>
    <row r="746" spans="1:13" x14ac:dyDescent="0.45">
      <c r="A746" s="2">
        <v>44848</v>
      </c>
      <c r="B746" s="1">
        <v>4433.3999999999996</v>
      </c>
      <c r="D746" s="2">
        <v>44848</v>
      </c>
      <c r="E746" s="1">
        <v>1078.5999999999999</v>
      </c>
      <c r="G746" s="3">
        <v>20240000</v>
      </c>
      <c r="H746" s="3">
        <f t="shared" si="33"/>
        <v>89732016000</v>
      </c>
      <c r="J746" s="3">
        <v>238782786</v>
      </c>
      <c r="K746" s="3">
        <f t="shared" si="34"/>
        <v>257551112979.59998</v>
      </c>
      <c r="M746" s="4">
        <f t="shared" si="35"/>
        <v>0.65159530874515204</v>
      </c>
    </row>
    <row r="747" spans="1:13" x14ac:dyDescent="0.45">
      <c r="A747" s="2">
        <v>44847</v>
      </c>
      <c r="B747" s="1">
        <v>4458.25</v>
      </c>
      <c r="D747" s="2">
        <v>44847</v>
      </c>
      <c r="E747" s="1">
        <v>1077.45</v>
      </c>
      <c r="G747" s="3">
        <v>20240000</v>
      </c>
      <c r="H747" s="3">
        <f t="shared" si="33"/>
        <v>90234980000</v>
      </c>
      <c r="J747" s="3">
        <v>238782786</v>
      </c>
      <c r="K747" s="3">
        <f t="shared" si="34"/>
        <v>257276512775.70001</v>
      </c>
      <c r="M747" s="4">
        <f t="shared" si="35"/>
        <v>0.64926848927453751</v>
      </c>
    </row>
    <row r="748" spans="1:13" x14ac:dyDescent="0.45">
      <c r="A748" s="2">
        <v>44846</v>
      </c>
      <c r="B748" s="1">
        <v>4433.6499999999996</v>
      </c>
      <c r="D748" s="2">
        <v>44846</v>
      </c>
      <c r="E748" s="1">
        <v>1087.8</v>
      </c>
      <c r="G748" s="3">
        <v>20240000</v>
      </c>
      <c r="H748" s="3">
        <f t="shared" si="33"/>
        <v>89737076000</v>
      </c>
      <c r="J748" s="3">
        <v>238782786</v>
      </c>
      <c r="K748" s="3">
        <f t="shared" si="34"/>
        <v>259747914610.79999</v>
      </c>
      <c r="M748" s="4">
        <f t="shared" si="35"/>
        <v>0.65452243905611374</v>
      </c>
    </row>
    <row r="749" spans="1:13" x14ac:dyDescent="0.45">
      <c r="A749" s="2">
        <v>44845</v>
      </c>
      <c r="B749" s="1">
        <v>4440</v>
      </c>
      <c r="D749" s="2">
        <v>44845</v>
      </c>
      <c r="E749" s="1">
        <v>1055.25</v>
      </c>
      <c r="G749" s="3">
        <v>20240000</v>
      </c>
      <c r="H749" s="3">
        <f t="shared" si="33"/>
        <v>89865600000</v>
      </c>
      <c r="J749" s="3">
        <v>238782786</v>
      </c>
      <c r="K749" s="3">
        <f t="shared" si="34"/>
        <v>251975534926.5</v>
      </c>
      <c r="M749" s="4">
        <f t="shared" si="35"/>
        <v>0.643355851883742</v>
      </c>
    </row>
    <row r="750" spans="1:13" x14ac:dyDescent="0.45">
      <c r="A750" s="2">
        <v>44844</v>
      </c>
      <c r="B750" s="1">
        <v>4442.95</v>
      </c>
      <c r="D750" s="2">
        <v>44844</v>
      </c>
      <c r="E750" s="1">
        <v>1066.5</v>
      </c>
      <c r="G750" s="3">
        <v>20240000</v>
      </c>
      <c r="H750" s="3">
        <f t="shared" si="33"/>
        <v>89925308000</v>
      </c>
      <c r="J750" s="3">
        <v>238782786</v>
      </c>
      <c r="K750" s="3">
        <f t="shared" si="34"/>
        <v>254661841269</v>
      </c>
      <c r="M750" s="4">
        <f t="shared" si="35"/>
        <v>0.6468834610167935</v>
      </c>
    </row>
    <row r="751" spans="1:13" x14ac:dyDescent="0.45">
      <c r="A751" s="2">
        <v>44841</v>
      </c>
      <c r="B751" s="1">
        <v>4475.8999999999996</v>
      </c>
      <c r="D751" s="2">
        <v>44841</v>
      </c>
      <c r="E751" s="1">
        <v>1085.25</v>
      </c>
      <c r="G751" s="3">
        <v>20240000</v>
      </c>
      <c r="H751" s="3">
        <f t="shared" si="33"/>
        <v>90592216000</v>
      </c>
      <c r="J751" s="3">
        <v>238782786</v>
      </c>
      <c r="K751" s="3">
        <f t="shared" si="34"/>
        <v>259139018506.5</v>
      </c>
      <c r="M751" s="4">
        <f t="shared" si="35"/>
        <v>0.65041074662506815</v>
      </c>
    </row>
    <row r="752" spans="1:13" x14ac:dyDescent="0.45">
      <c r="A752" s="2">
        <v>44840</v>
      </c>
      <c r="B752" s="1">
        <v>4518.55</v>
      </c>
      <c r="D752" s="2">
        <v>44840</v>
      </c>
      <c r="E752" s="1">
        <v>1074.2</v>
      </c>
      <c r="G752" s="3">
        <v>20240000</v>
      </c>
      <c r="H752" s="3">
        <f t="shared" si="33"/>
        <v>91455452000</v>
      </c>
      <c r="J752" s="3">
        <v>238782786</v>
      </c>
      <c r="K752" s="3">
        <f t="shared" si="34"/>
        <v>256500468721.20001</v>
      </c>
      <c r="M752" s="4">
        <f t="shared" si="35"/>
        <v>0.64344918176579879</v>
      </c>
    </row>
    <row r="753" spans="1:13" x14ac:dyDescent="0.45">
      <c r="A753" s="2">
        <v>44838</v>
      </c>
      <c r="B753" s="1">
        <v>4543.3</v>
      </c>
      <c r="D753" s="2">
        <v>44838</v>
      </c>
      <c r="E753" s="1">
        <v>1036</v>
      </c>
      <c r="G753" s="3">
        <v>20240000</v>
      </c>
      <c r="H753" s="3">
        <f t="shared" si="33"/>
        <v>91956392000</v>
      </c>
      <c r="J753" s="3">
        <v>238782786</v>
      </c>
      <c r="K753" s="3">
        <f t="shared" si="34"/>
        <v>247378966296</v>
      </c>
      <c r="M753" s="4">
        <f t="shared" si="35"/>
        <v>0.62827724047496392</v>
      </c>
    </row>
    <row r="754" spans="1:13" x14ac:dyDescent="0.45">
      <c r="A754" s="2">
        <v>44837</v>
      </c>
      <c r="B754" s="1">
        <v>4515.2</v>
      </c>
      <c r="D754" s="2">
        <v>44837</v>
      </c>
      <c r="E754" s="1">
        <v>994.55</v>
      </c>
      <c r="G754" s="3">
        <v>20240000</v>
      </c>
      <c r="H754" s="3">
        <f t="shared" si="33"/>
        <v>91387648000</v>
      </c>
      <c r="J754" s="3">
        <v>238782786</v>
      </c>
      <c r="K754" s="3">
        <f t="shared" si="34"/>
        <v>237481419816.29999</v>
      </c>
      <c r="M754" s="4">
        <f t="shared" si="35"/>
        <v>0.61517979776821496</v>
      </c>
    </row>
    <row r="755" spans="1:13" x14ac:dyDescent="0.45">
      <c r="A755" s="2">
        <v>44834</v>
      </c>
      <c r="B755" s="1">
        <v>4584.05</v>
      </c>
      <c r="D755" s="2">
        <v>44834</v>
      </c>
      <c r="E755" s="1">
        <v>1031.5</v>
      </c>
      <c r="G755" s="3">
        <v>20240000</v>
      </c>
      <c r="H755" s="3">
        <f t="shared" si="33"/>
        <v>92781172000</v>
      </c>
      <c r="J755" s="3">
        <v>238782786</v>
      </c>
      <c r="K755" s="3">
        <f t="shared" si="34"/>
        <v>246304443759</v>
      </c>
      <c r="M755" s="4">
        <f t="shared" si="35"/>
        <v>0.62330695060141494</v>
      </c>
    </row>
    <row r="756" spans="1:13" x14ac:dyDescent="0.45">
      <c r="A756" s="2">
        <v>44833</v>
      </c>
      <c r="B756" s="1">
        <v>4539.8999999999996</v>
      </c>
      <c r="D756" s="2">
        <v>44833</v>
      </c>
      <c r="E756" s="1">
        <v>1011.7</v>
      </c>
      <c r="G756" s="3">
        <v>20240000</v>
      </c>
      <c r="H756" s="3">
        <f t="shared" si="33"/>
        <v>91887576000</v>
      </c>
      <c r="J756" s="3">
        <v>238782786</v>
      </c>
      <c r="K756" s="3">
        <f t="shared" si="34"/>
        <v>241576544596.20001</v>
      </c>
      <c r="M756" s="4">
        <f t="shared" si="35"/>
        <v>0.61963370180001576</v>
      </c>
    </row>
    <row r="757" spans="1:13" x14ac:dyDescent="0.45">
      <c r="A757" s="2">
        <v>44832</v>
      </c>
      <c r="B757" s="1">
        <v>4451</v>
      </c>
      <c r="D757" s="2">
        <v>44832</v>
      </c>
      <c r="E757" s="1">
        <v>1021.35</v>
      </c>
      <c r="G757" s="3">
        <v>20240000</v>
      </c>
      <c r="H757" s="3">
        <f t="shared" si="33"/>
        <v>90088240000</v>
      </c>
      <c r="J757" s="3">
        <v>238782786</v>
      </c>
      <c r="K757" s="3">
        <f t="shared" si="34"/>
        <v>243880798481.10001</v>
      </c>
      <c r="M757" s="4">
        <f t="shared" si="35"/>
        <v>0.63060544101432581</v>
      </c>
    </row>
    <row r="758" spans="1:13" x14ac:dyDescent="0.45">
      <c r="A758" s="2">
        <v>44831</v>
      </c>
      <c r="B758" s="1">
        <v>4451</v>
      </c>
      <c r="D758" s="2">
        <v>44831</v>
      </c>
      <c r="E758" s="1">
        <v>1035</v>
      </c>
      <c r="G758" s="3">
        <v>20240000</v>
      </c>
      <c r="H758" s="3">
        <f t="shared" si="33"/>
        <v>90088240000</v>
      </c>
      <c r="J758" s="3">
        <v>238782786</v>
      </c>
      <c r="K758" s="3">
        <f t="shared" si="34"/>
        <v>247140183510</v>
      </c>
      <c r="M758" s="4">
        <f t="shared" si="35"/>
        <v>0.63547716635747031</v>
      </c>
    </row>
    <row r="759" spans="1:13" x14ac:dyDescent="0.45">
      <c r="A759" s="2">
        <v>44830</v>
      </c>
      <c r="B759" s="1">
        <v>4476.25</v>
      </c>
      <c r="D759" s="2">
        <v>44830</v>
      </c>
      <c r="E759" s="1">
        <v>1025.0999999999999</v>
      </c>
      <c r="G759" s="3">
        <v>20240000</v>
      </c>
      <c r="H759" s="3">
        <f t="shared" si="33"/>
        <v>90599300000</v>
      </c>
      <c r="J759" s="3">
        <v>238782786</v>
      </c>
      <c r="K759" s="3">
        <f t="shared" si="34"/>
        <v>244776233928.59998</v>
      </c>
      <c r="M759" s="4">
        <f t="shared" si="35"/>
        <v>0.62986888659122287</v>
      </c>
    </row>
    <row r="760" spans="1:13" x14ac:dyDescent="0.45">
      <c r="A760" s="2">
        <v>44827</v>
      </c>
      <c r="B760" s="1">
        <v>4625.3500000000004</v>
      </c>
      <c r="D760" s="2">
        <v>44827</v>
      </c>
      <c r="E760" s="1">
        <v>1037.8</v>
      </c>
      <c r="G760" s="3">
        <v>20240000</v>
      </c>
      <c r="H760" s="3">
        <f t="shared" si="33"/>
        <v>93617084000</v>
      </c>
      <c r="J760" s="3">
        <v>238782786</v>
      </c>
      <c r="K760" s="3">
        <f t="shared" si="34"/>
        <v>247808775310.79999</v>
      </c>
      <c r="M760" s="4">
        <f t="shared" si="35"/>
        <v>0.62222046462000336</v>
      </c>
    </row>
    <row r="761" spans="1:13" x14ac:dyDescent="0.45">
      <c r="A761" s="2">
        <v>44826</v>
      </c>
      <c r="B761" s="1">
        <v>4681.25</v>
      </c>
      <c r="D761" s="2">
        <v>44826</v>
      </c>
      <c r="E761" s="1">
        <v>1065.8</v>
      </c>
      <c r="G761" s="3">
        <v>20240000</v>
      </c>
      <c r="H761" s="3">
        <f t="shared" si="33"/>
        <v>94748500000</v>
      </c>
      <c r="J761" s="3">
        <v>238782786</v>
      </c>
      <c r="K761" s="3">
        <f t="shared" si="34"/>
        <v>254494693318.79999</v>
      </c>
      <c r="M761" s="4">
        <f t="shared" si="35"/>
        <v>0.62769950616883552</v>
      </c>
    </row>
    <row r="762" spans="1:13" x14ac:dyDescent="0.45">
      <c r="A762" s="2">
        <v>44825</v>
      </c>
      <c r="B762" s="1">
        <v>4657</v>
      </c>
      <c r="D762" s="2">
        <v>44825</v>
      </c>
      <c r="E762" s="1">
        <v>1067.75</v>
      </c>
      <c r="G762" s="3">
        <v>20240000</v>
      </c>
      <c r="H762" s="3">
        <f t="shared" si="33"/>
        <v>94257680000</v>
      </c>
      <c r="J762" s="3">
        <v>238782786</v>
      </c>
      <c r="K762" s="3">
        <f t="shared" si="34"/>
        <v>254960319751.5</v>
      </c>
      <c r="M762" s="4">
        <f t="shared" si="35"/>
        <v>0.63030451133780607</v>
      </c>
    </row>
    <row r="763" spans="1:13" x14ac:dyDescent="0.45">
      <c r="A763" s="2">
        <v>44824</v>
      </c>
      <c r="B763" s="1">
        <v>4729.5</v>
      </c>
      <c r="D763" s="2">
        <v>44824</v>
      </c>
      <c r="E763" s="1">
        <v>1082.95</v>
      </c>
      <c r="G763" s="3">
        <v>20240000</v>
      </c>
      <c r="H763" s="3">
        <f t="shared" si="33"/>
        <v>95725080000</v>
      </c>
      <c r="J763" s="3">
        <v>238782786</v>
      </c>
      <c r="K763" s="3">
        <f t="shared" si="34"/>
        <v>258589818098.70001</v>
      </c>
      <c r="M763" s="4">
        <f t="shared" si="35"/>
        <v>0.62981883546759332</v>
      </c>
    </row>
    <row r="764" spans="1:13" x14ac:dyDescent="0.45">
      <c r="A764" s="2">
        <v>44823</v>
      </c>
      <c r="B764" s="1">
        <v>4843.1000000000004</v>
      </c>
      <c r="D764" s="2">
        <v>44823</v>
      </c>
      <c r="E764" s="1">
        <v>1026.9000000000001</v>
      </c>
      <c r="G764" s="3">
        <v>20240000</v>
      </c>
      <c r="H764" s="3">
        <f t="shared" si="33"/>
        <v>98024344000</v>
      </c>
      <c r="J764" s="3">
        <v>238782786</v>
      </c>
      <c r="K764" s="3">
        <f t="shared" si="34"/>
        <v>245206042943.40002</v>
      </c>
      <c r="M764" s="4">
        <f t="shared" si="35"/>
        <v>0.60023683420140428</v>
      </c>
    </row>
    <row r="765" spans="1:13" x14ac:dyDescent="0.45">
      <c r="A765" s="2">
        <v>44820</v>
      </c>
      <c r="B765" s="1">
        <v>4965.5</v>
      </c>
      <c r="D765" s="2">
        <v>44820</v>
      </c>
      <c r="E765" s="1">
        <v>1023.4</v>
      </c>
      <c r="G765" s="3">
        <v>20240000</v>
      </c>
      <c r="H765" s="3">
        <f t="shared" si="33"/>
        <v>100501720000</v>
      </c>
      <c r="J765" s="3">
        <v>238782786</v>
      </c>
      <c r="K765" s="3">
        <f t="shared" si="34"/>
        <v>244370303192.39999</v>
      </c>
      <c r="M765" s="4">
        <f t="shared" si="35"/>
        <v>0.58873186026670354</v>
      </c>
    </row>
    <row r="766" spans="1:13" x14ac:dyDescent="0.45">
      <c r="A766" s="2">
        <v>44819</v>
      </c>
      <c r="B766" s="1">
        <v>4953.3999999999996</v>
      </c>
      <c r="D766" s="2">
        <v>44819</v>
      </c>
      <c r="E766" s="1">
        <v>1041.8</v>
      </c>
      <c r="G766" s="3">
        <v>20240000</v>
      </c>
      <c r="H766" s="3">
        <f t="shared" si="33"/>
        <v>100256816000</v>
      </c>
      <c r="J766" s="3">
        <v>238782786</v>
      </c>
      <c r="K766" s="3">
        <f t="shared" si="34"/>
        <v>248763906454.79999</v>
      </c>
      <c r="M766" s="4">
        <f t="shared" si="35"/>
        <v>0.59698005458755521</v>
      </c>
    </row>
    <row r="767" spans="1:13" x14ac:dyDescent="0.45">
      <c r="A767" s="2">
        <v>44818</v>
      </c>
      <c r="B767" s="1">
        <v>4856.95</v>
      </c>
      <c r="D767" s="2">
        <v>44818</v>
      </c>
      <c r="E767" s="1">
        <v>1037.8</v>
      </c>
      <c r="G767" s="3">
        <v>20240000</v>
      </c>
      <c r="H767" s="3">
        <f t="shared" si="33"/>
        <v>98304668000</v>
      </c>
      <c r="J767" s="3">
        <v>238782786</v>
      </c>
      <c r="K767" s="3">
        <f t="shared" si="34"/>
        <v>247808775310.79999</v>
      </c>
      <c r="M767" s="4">
        <f t="shared" si="35"/>
        <v>0.60330433062062871</v>
      </c>
    </row>
    <row r="768" spans="1:13" x14ac:dyDescent="0.45">
      <c r="A768" s="2">
        <v>44817</v>
      </c>
      <c r="B768" s="1">
        <v>4703</v>
      </c>
      <c r="D768" s="2">
        <v>44817</v>
      </c>
      <c r="E768" s="1">
        <v>1038.6500000000001</v>
      </c>
      <c r="G768" s="3">
        <v>20240000</v>
      </c>
      <c r="H768" s="3">
        <f t="shared" si="33"/>
        <v>95188720000</v>
      </c>
      <c r="J768" s="3">
        <v>238782786</v>
      </c>
      <c r="K768" s="3">
        <f t="shared" si="34"/>
        <v>248011740678.90002</v>
      </c>
      <c r="M768" s="4">
        <f t="shared" si="35"/>
        <v>0.6161926861227085</v>
      </c>
    </row>
    <row r="769" spans="1:13" x14ac:dyDescent="0.45">
      <c r="A769" s="2">
        <v>44816</v>
      </c>
      <c r="B769" s="1">
        <v>4688.7</v>
      </c>
      <c r="D769" s="2">
        <v>44816</v>
      </c>
      <c r="E769" s="1">
        <v>1050.4000000000001</v>
      </c>
      <c r="G769" s="3">
        <v>20240000</v>
      </c>
      <c r="H769" s="3">
        <f t="shared" si="33"/>
        <v>94899288000</v>
      </c>
      <c r="J769" s="3">
        <v>238782786</v>
      </c>
      <c r="K769" s="3">
        <f t="shared" si="34"/>
        <v>250817438414.40002</v>
      </c>
      <c r="M769" s="4">
        <f t="shared" si="35"/>
        <v>0.62163999201998221</v>
      </c>
    </row>
    <row r="770" spans="1:13" x14ac:dyDescent="0.45">
      <c r="A770" s="2">
        <v>44813</v>
      </c>
      <c r="B770" s="1">
        <v>4708.6000000000004</v>
      </c>
      <c r="D770" s="2">
        <v>44813</v>
      </c>
      <c r="E770" s="1">
        <v>1054.05</v>
      </c>
      <c r="G770" s="3">
        <v>20240000</v>
      </c>
      <c r="H770" s="3">
        <f t="shared" si="33"/>
        <v>95302064000</v>
      </c>
      <c r="J770" s="3">
        <v>238782786</v>
      </c>
      <c r="K770" s="3">
        <f t="shared" si="34"/>
        <v>251688995583.29999</v>
      </c>
      <c r="M770" s="4">
        <f t="shared" si="35"/>
        <v>0.62134989740360558</v>
      </c>
    </row>
    <row r="771" spans="1:13" x14ac:dyDescent="0.45">
      <c r="A771" s="2">
        <v>44812</v>
      </c>
      <c r="B771" s="1">
        <v>4672.25</v>
      </c>
      <c r="D771" s="2">
        <v>44812</v>
      </c>
      <c r="E771" s="1">
        <v>1044.1500000000001</v>
      </c>
      <c r="G771" s="3">
        <v>20240000</v>
      </c>
      <c r="H771" s="3">
        <f t="shared" si="33"/>
        <v>94566340000</v>
      </c>
      <c r="J771" s="3">
        <v>238782786</v>
      </c>
      <c r="K771" s="3">
        <f t="shared" si="34"/>
        <v>249325046001.90002</v>
      </c>
      <c r="M771" s="4">
        <f t="shared" si="35"/>
        <v>0.62071062848904734</v>
      </c>
    </row>
    <row r="772" spans="1:13" x14ac:dyDescent="0.45">
      <c r="A772" s="2">
        <v>44811</v>
      </c>
      <c r="B772" s="1">
        <v>4661.8500000000004</v>
      </c>
      <c r="D772" s="2">
        <v>44811</v>
      </c>
      <c r="E772" s="1">
        <v>1041.5</v>
      </c>
      <c r="G772" s="3">
        <v>20240000</v>
      </c>
      <c r="H772" s="3">
        <f t="shared" ref="H772:H835" si="36">+G772*B772</f>
        <v>94355844000</v>
      </c>
      <c r="J772" s="3">
        <v>238782786</v>
      </c>
      <c r="K772" s="3">
        <f t="shared" ref="K772:K835" si="37">+J772*E772</f>
        <v>248692271619</v>
      </c>
      <c r="M772" s="4">
        <f t="shared" ref="M772:M835" si="38">1- (H772/K772)</f>
        <v>0.62059197342266248</v>
      </c>
    </row>
    <row r="773" spans="1:13" x14ac:dyDescent="0.45">
      <c r="A773" s="2">
        <v>44810</v>
      </c>
      <c r="B773" s="1">
        <v>4627.05</v>
      </c>
      <c r="D773" s="2">
        <v>44810</v>
      </c>
      <c r="E773" s="1">
        <v>1054.45</v>
      </c>
      <c r="G773" s="3">
        <v>20240000</v>
      </c>
      <c r="H773" s="3">
        <f t="shared" si="36"/>
        <v>93651492000</v>
      </c>
      <c r="J773" s="3">
        <v>238782786</v>
      </c>
      <c r="K773" s="3">
        <f t="shared" si="37"/>
        <v>251784508697.70001</v>
      </c>
      <c r="M773" s="4">
        <f t="shared" si="38"/>
        <v>0.6280490309574972</v>
      </c>
    </row>
    <row r="774" spans="1:13" x14ac:dyDescent="0.45">
      <c r="A774" s="2">
        <v>44809</v>
      </c>
      <c r="B774" s="1">
        <v>4660.3500000000004</v>
      </c>
      <c r="D774" s="2">
        <v>44809</v>
      </c>
      <c r="E774" s="1">
        <v>1038.7</v>
      </c>
      <c r="G774" s="3">
        <v>20240000</v>
      </c>
      <c r="H774" s="3">
        <f t="shared" si="36"/>
        <v>94325484000</v>
      </c>
      <c r="J774" s="3">
        <v>238782786</v>
      </c>
      <c r="K774" s="3">
        <f t="shared" si="37"/>
        <v>248023679818.20001</v>
      </c>
      <c r="M774" s="4">
        <f t="shared" si="38"/>
        <v>0.61969161948915497</v>
      </c>
    </row>
    <row r="775" spans="1:13" x14ac:dyDescent="0.45">
      <c r="A775" s="2">
        <v>44806</v>
      </c>
      <c r="B775" s="1">
        <v>4695.95</v>
      </c>
      <c r="D775" s="2">
        <v>44806</v>
      </c>
      <c r="E775" s="1">
        <v>1025.95</v>
      </c>
      <c r="G775" s="3">
        <v>20240000</v>
      </c>
      <c r="H775" s="3">
        <f t="shared" si="36"/>
        <v>95046028000</v>
      </c>
      <c r="J775" s="3">
        <v>238782786</v>
      </c>
      <c r="K775" s="3">
        <f t="shared" si="37"/>
        <v>244979199296.70001</v>
      </c>
      <c r="M775" s="4">
        <f t="shared" si="38"/>
        <v>0.61202408909465189</v>
      </c>
    </row>
    <row r="776" spans="1:13" x14ac:dyDescent="0.45">
      <c r="A776" s="2">
        <v>44805</v>
      </c>
      <c r="B776" s="1">
        <v>4746.6499999999996</v>
      </c>
      <c r="D776" s="2">
        <v>44805</v>
      </c>
      <c r="E776" s="1">
        <v>1015.05</v>
      </c>
      <c r="G776" s="3">
        <v>20240000</v>
      </c>
      <c r="H776" s="3">
        <f t="shared" si="36"/>
        <v>96072196000</v>
      </c>
      <c r="J776" s="3">
        <v>238782786</v>
      </c>
      <c r="K776" s="3">
        <f t="shared" si="37"/>
        <v>242376466929.29999</v>
      </c>
      <c r="M776" s="4">
        <f t="shared" si="38"/>
        <v>0.60362407614422486</v>
      </c>
    </row>
    <row r="777" spans="1:13" x14ac:dyDescent="0.45">
      <c r="A777" s="2">
        <v>44803</v>
      </c>
      <c r="B777" s="1">
        <v>4696.6000000000004</v>
      </c>
      <c r="D777" s="2">
        <v>44803</v>
      </c>
      <c r="E777" s="1">
        <v>985.7</v>
      </c>
      <c r="G777" s="3">
        <v>20240000</v>
      </c>
      <c r="H777" s="3">
        <f t="shared" si="36"/>
        <v>95059184000</v>
      </c>
      <c r="J777" s="3">
        <v>238782786</v>
      </c>
      <c r="K777" s="3">
        <f>+J777*E777</f>
        <v>235368192160.20001</v>
      </c>
      <c r="M777" s="4">
        <f t="shared" si="38"/>
        <v>0.59612561439355694</v>
      </c>
    </row>
    <row r="778" spans="1:13" x14ac:dyDescent="0.45">
      <c r="A778" s="2">
        <v>44802</v>
      </c>
      <c r="B778" s="1">
        <v>4694.3</v>
      </c>
      <c r="D778" s="2">
        <v>44802</v>
      </c>
      <c r="E778" s="1">
        <v>957.6</v>
      </c>
      <c r="G778" s="3">
        <v>20240000</v>
      </c>
      <c r="H778" s="3">
        <f t="shared" si="36"/>
        <v>95012632000</v>
      </c>
      <c r="J778" s="3">
        <v>238782786</v>
      </c>
      <c r="K778" s="3">
        <f t="shared" si="37"/>
        <v>228658395873.60001</v>
      </c>
      <c r="M778" s="4">
        <f t="shared" si="38"/>
        <v>0.58447783368286199</v>
      </c>
    </row>
    <row r="779" spans="1:13" x14ac:dyDescent="0.45">
      <c r="A779" s="2">
        <v>44799</v>
      </c>
      <c r="B779" s="1">
        <v>4609.7</v>
      </c>
      <c r="D779" s="2">
        <v>44799</v>
      </c>
      <c r="E779" s="1">
        <v>953.25</v>
      </c>
      <c r="G779" s="3">
        <v>20240000</v>
      </c>
      <c r="H779" s="3">
        <f t="shared" si="36"/>
        <v>93300328000</v>
      </c>
      <c r="J779" s="3">
        <v>238782786</v>
      </c>
      <c r="K779" s="3">
        <f t="shared" si="37"/>
        <v>227619690754.5</v>
      </c>
      <c r="M779" s="4">
        <f t="shared" si="38"/>
        <v>0.59010431966261923</v>
      </c>
    </row>
    <row r="780" spans="1:13" x14ac:dyDescent="0.45">
      <c r="A780" s="2">
        <v>44798</v>
      </c>
      <c r="B780" s="1">
        <v>4630.7</v>
      </c>
      <c r="D780" s="2">
        <v>44798</v>
      </c>
      <c r="E780" s="1">
        <v>948.5</v>
      </c>
      <c r="G780" s="3">
        <v>20240000</v>
      </c>
      <c r="H780" s="3">
        <f t="shared" si="36"/>
        <v>93725368000</v>
      </c>
      <c r="J780" s="3">
        <v>238782786</v>
      </c>
      <c r="K780" s="3">
        <f t="shared" si="37"/>
        <v>226485472521</v>
      </c>
      <c r="M780" s="4">
        <f t="shared" si="38"/>
        <v>0.58617492346530231</v>
      </c>
    </row>
    <row r="781" spans="1:13" x14ac:dyDescent="0.45">
      <c r="A781" s="2">
        <v>44797</v>
      </c>
      <c r="B781" s="1">
        <v>4619</v>
      </c>
      <c r="D781" s="2">
        <v>44797</v>
      </c>
      <c r="E781" s="1">
        <v>958.45</v>
      </c>
      <c r="G781" s="3">
        <v>20240000</v>
      </c>
      <c r="H781" s="3">
        <f t="shared" si="36"/>
        <v>93488560000</v>
      </c>
      <c r="J781" s="3">
        <v>238782786</v>
      </c>
      <c r="K781" s="3">
        <f t="shared" si="37"/>
        <v>228861361241.70001</v>
      </c>
      <c r="M781" s="4">
        <f t="shared" si="38"/>
        <v>0.59150570680532255</v>
      </c>
    </row>
    <row r="782" spans="1:13" x14ac:dyDescent="0.45">
      <c r="A782" s="2">
        <v>44796</v>
      </c>
      <c r="B782" s="1">
        <v>4636.1499999999996</v>
      </c>
      <c r="D782" s="2">
        <v>44796</v>
      </c>
      <c r="E782" s="1">
        <v>955.15</v>
      </c>
      <c r="G782" s="3">
        <v>20240000</v>
      </c>
      <c r="H782" s="3">
        <f t="shared" si="36"/>
        <v>93835676000</v>
      </c>
      <c r="J782" s="3">
        <v>238782786</v>
      </c>
      <c r="K782" s="3">
        <f t="shared" si="37"/>
        <v>228073378047.89999</v>
      </c>
      <c r="M782" s="4">
        <f t="shared" si="38"/>
        <v>0.58857242873698035</v>
      </c>
    </row>
    <row r="783" spans="1:13" x14ac:dyDescent="0.45">
      <c r="A783" s="2">
        <v>44795</v>
      </c>
      <c r="B783" s="1">
        <v>4540.3</v>
      </c>
      <c r="D783" s="2">
        <v>44795</v>
      </c>
      <c r="E783" s="1">
        <v>936.8</v>
      </c>
      <c r="G783" s="3">
        <v>20240000</v>
      </c>
      <c r="H783" s="3">
        <f t="shared" si="36"/>
        <v>91895672000</v>
      </c>
      <c r="J783" s="3">
        <v>238782786</v>
      </c>
      <c r="K783" s="3">
        <f t="shared" si="37"/>
        <v>223691713924.79999</v>
      </c>
      <c r="M783" s="4">
        <f t="shared" si="38"/>
        <v>0.58918607047334248</v>
      </c>
    </row>
    <row r="784" spans="1:13" x14ac:dyDescent="0.45">
      <c r="A784" s="2">
        <v>44792</v>
      </c>
      <c r="B784" s="1">
        <v>4606.55</v>
      </c>
      <c r="D784" s="2">
        <v>44792</v>
      </c>
      <c r="E784" s="1">
        <v>959.4</v>
      </c>
      <c r="G784" s="3">
        <v>20240000</v>
      </c>
      <c r="H784" s="3">
        <f t="shared" si="36"/>
        <v>93236572000</v>
      </c>
      <c r="J784" s="3">
        <v>238782786</v>
      </c>
      <c r="K784" s="3">
        <f t="shared" si="37"/>
        <v>229088204888.39999</v>
      </c>
      <c r="M784" s="4">
        <f t="shared" si="38"/>
        <v>0.59301015936014667</v>
      </c>
    </row>
    <row r="785" spans="1:13" x14ac:dyDescent="0.45">
      <c r="A785" s="2">
        <v>44791</v>
      </c>
      <c r="B785" s="1">
        <v>4598.5</v>
      </c>
      <c r="D785" s="2">
        <v>44791</v>
      </c>
      <c r="E785" s="1">
        <v>973.9</v>
      </c>
      <c r="G785" s="3">
        <v>20240000</v>
      </c>
      <c r="H785" s="3">
        <f t="shared" si="36"/>
        <v>93073640000</v>
      </c>
      <c r="J785" s="3">
        <v>238782786</v>
      </c>
      <c r="K785" s="3">
        <f t="shared" si="37"/>
        <v>232550555285.39999</v>
      </c>
      <c r="M785" s="4">
        <f t="shared" si="38"/>
        <v>0.59977029559970541</v>
      </c>
    </row>
    <row r="786" spans="1:13" x14ac:dyDescent="0.45">
      <c r="A786" s="2">
        <v>44790</v>
      </c>
      <c r="B786" s="1">
        <v>4666.6000000000004</v>
      </c>
      <c r="D786" s="2">
        <v>44790</v>
      </c>
      <c r="E786" s="1">
        <v>970.55</v>
      </c>
      <c r="G786" s="3">
        <v>20240000</v>
      </c>
      <c r="H786" s="3">
        <f t="shared" si="36"/>
        <v>94451984000</v>
      </c>
      <c r="J786" s="3">
        <v>238782786</v>
      </c>
      <c r="K786" s="3">
        <f t="shared" si="37"/>
        <v>231750632952.29999</v>
      </c>
      <c r="M786" s="4">
        <f t="shared" si="38"/>
        <v>0.5924413116082381</v>
      </c>
    </row>
    <row r="787" spans="1:13" x14ac:dyDescent="0.45">
      <c r="A787" s="2">
        <v>44789</v>
      </c>
      <c r="B787" s="1">
        <v>4598.05</v>
      </c>
      <c r="D787" s="2">
        <v>44789</v>
      </c>
      <c r="E787" s="1">
        <v>979.3</v>
      </c>
      <c r="G787" s="3">
        <v>20240000</v>
      </c>
      <c r="H787" s="3">
        <f t="shared" si="36"/>
        <v>93064532000</v>
      </c>
      <c r="J787" s="3">
        <v>238782786</v>
      </c>
      <c r="K787" s="3">
        <f t="shared" si="37"/>
        <v>233839982329.79999</v>
      </c>
      <c r="M787" s="4">
        <f t="shared" si="38"/>
        <v>0.60201616903671784</v>
      </c>
    </row>
    <row r="788" spans="1:13" x14ac:dyDescent="0.45">
      <c r="A788" s="2">
        <v>44785</v>
      </c>
      <c r="B788" s="1">
        <v>4573.05</v>
      </c>
      <c r="D788" s="2">
        <v>44785</v>
      </c>
      <c r="E788" s="1">
        <v>952.9</v>
      </c>
      <c r="G788" s="3">
        <v>20240000</v>
      </c>
      <c r="H788" s="3">
        <f t="shared" si="36"/>
        <v>92558532000</v>
      </c>
      <c r="J788" s="3">
        <v>238782786</v>
      </c>
      <c r="K788" s="3">
        <f t="shared" si="37"/>
        <v>227536116779.39999</v>
      </c>
      <c r="M788" s="4">
        <f t="shared" si="38"/>
        <v>0.59321388924934049</v>
      </c>
    </row>
    <row r="789" spans="1:13" x14ac:dyDescent="0.45">
      <c r="A789" s="2">
        <v>44784</v>
      </c>
      <c r="B789" s="1">
        <v>4603.3500000000004</v>
      </c>
      <c r="D789" s="2">
        <v>44784</v>
      </c>
      <c r="E789" s="1">
        <v>957.6</v>
      </c>
      <c r="G789" s="3">
        <v>20240000</v>
      </c>
      <c r="H789" s="3">
        <f t="shared" si="36"/>
        <v>93171804000</v>
      </c>
      <c r="J789" s="3">
        <v>238782786</v>
      </c>
      <c r="K789" s="3">
        <f t="shared" si="37"/>
        <v>228658395873.60001</v>
      </c>
      <c r="M789" s="4">
        <f t="shared" si="38"/>
        <v>0.59252839309034422</v>
      </c>
    </row>
    <row r="790" spans="1:13" x14ac:dyDescent="0.45">
      <c r="A790" s="2">
        <v>44783</v>
      </c>
      <c r="B790" s="1">
        <v>4650.6499999999996</v>
      </c>
      <c r="D790" s="2">
        <v>44783</v>
      </c>
      <c r="E790" s="1">
        <v>966.1</v>
      </c>
      <c r="G790" s="3">
        <v>20240000</v>
      </c>
      <c r="H790" s="3">
        <f t="shared" si="36"/>
        <v>94129156000</v>
      </c>
      <c r="J790" s="3">
        <v>238782786</v>
      </c>
      <c r="K790" s="3">
        <f t="shared" si="37"/>
        <v>230688049554.60001</v>
      </c>
      <c r="M790" s="4">
        <f t="shared" si="38"/>
        <v>0.59196344942124446</v>
      </c>
    </row>
    <row r="791" spans="1:13" x14ac:dyDescent="0.45">
      <c r="A791" s="2">
        <v>44781</v>
      </c>
      <c r="B791" s="1">
        <v>4560.55</v>
      </c>
      <c r="D791" s="2">
        <v>44781</v>
      </c>
      <c r="E791" s="1">
        <v>956.7</v>
      </c>
      <c r="G791" s="3">
        <v>20240000</v>
      </c>
      <c r="H791" s="3">
        <f t="shared" si="36"/>
        <v>92305532000</v>
      </c>
      <c r="J791" s="3">
        <v>238782786</v>
      </c>
      <c r="K791" s="3">
        <f t="shared" si="37"/>
        <v>228443491366.20001</v>
      </c>
      <c r="M791" s="4">
        <f t="shared" si="38"/>
        <v>0.59593713330167863</v>
      </c>
    </row>
    <row r="792" spans="1:13" x14ac:dyDescent="0.45">
      <c r="A792" s="2">
        <v>44778</v>
      </c>
      <c r="B792" s="1">
        <v>4687.95</v>
      </c>
      <c r="D792" s="2">
        <v>44778</v>
      </c>
      <c r="E792" s="1">
        <v>948.25</v>
      </c>
      <c r="G792" s="3">
        <v>20240000</v>
      </c>
      <c r="H792" s="3">
        <f t="shared" si="36"/>
        <v>94884108000</v>
      </c>
      <c r="J792" s="3">
        <v>238782786</v>
      </c>
      <c r="K792" s="3">
        <f t="shared" si="37"/>
        <v>226425776824.5</v>
      </c>
      <c r="M792" s="4">
        <f t="shared" si="38"/>
        <v>0.58094829426799954</v>
      </c>
    </row>
    <row r="793" spans="1:13" x14ac:dyDescent="0.45">
      <c r="A793" s="2">
        <v>44777</v>
      </c>
      <c r="B793" s="1">
        <v>4690.1499999999996</v>
      </c>
      <c r="D793" s="2">
        <v>44777</v>
      </c>
      <c r="E793" s="1">
        <v>934.65</v>
      </c>
      <c r="G793" s="3">
        <v>20240000</v>
      </c>
      <c r="H793" s="3">
        <f t="shared" si="36"/>
        <v>94928636000</v>
      </c>
      <c r="J793" s="3">
        <v>238782786</v>
      </c>
      <c r="K793" s="3">
        <f t="shared" si="37"/>
        <v>223178330934.89999</v>
      </c>
      <c r="M793" s="4">
        <f t="shared" si="38"/>
        <v>0.57465119663570652</v>
      </c>
    </row>
    <row r="794" spans="1:13" x14ac:dyDescent="0.45">
      <c r="A794" s="2">
        <v>44776</v>
      </c>
      <c r="B794" s="1">
        <v>4642.1000000000004</v>
      </c>
      <c r="D794" s="2">
        <v>44776</v>
      </c>
      <c r="E794" s="1">
        <v>928.05</v>
      </c>
      <c r="G794" s="3">
        <v>20240000</v>
      </c>
      <c r="H794" s="3">
        <f t="shared" si="36"/>
        <v>93956104000</v>
      </c>
      <c r="J794" s="3">
        <v>238782786</v>
      </c>
      <c r="K794" s="3">
        <f t="shared" si="37"/>
        <v>221602364547.29999</v>
      </c>
      <c r="M794" s="4">
        <f t="shared" si="38"/>
        <v>0.57601488507607734</v>
      </c>
    </row>
    <row r="795" spans="1:13" x14ac:dyDescent="0.45">
      <c r="A795" s="2">
        <v>44775</v>
      </c>
      <c r="B795" s="1">
        <v>4652</v>
      </c>
      <c r="D795" s="2">
        <v>44775</v>
      </c>
      <c r="E795" s="1">
        <v>938.05</v>
      </c>
      <c r="G795" s="3">
        <v>20240000</v>
      </c>
      <c r="H795" s="3">
        <f t="shared" si="36"/>
        <v>94156480000</v>
      </c>
      <c r="J795" s="3">
        <v>238782786</v>
      </c>
      <c r="K795" s="3">
        <f t="shared" si="37"/>
        <v>223990192407.29999</v>
      </c>
      <c r="M795" s="4">
        <f t="shared" si="38"/>
        <v>0.57964016643734362</v>
      </c>
    </row>
    <row r="796" spans="1:13" x14ac:dyDescent="0.45">
      <c r="A796" s="2">
        <v>44774</v>
      </c>
      <c r="B796" s="1">
        <v>4691.95</v>
      </c>
      <c r="D796" s="2">
        <v>44774</v>
      </c>
      <c r="E796" s="1">
        <v>927.3</v>
      </c>
      <c r="G796" s="3">
        <v>20240000</v>
      </c>
      <c r="H796" s="3">
        <f t="shared" si="36"/>
        <v>94965068000</v>
      </c>
      <c r="J796" s="3">
        <v>238782786</v>
      </c>
      <c r="K796" s="3">
        <f t="shared" si="37"/>
        <v>221423277457.79999</v>
      </c>
      <c r="M796" s="4">
        <f t="shared" si="38"/>
        <v>0.57111524546872028</v>
      </c>
    </row>
    <row r="797" spans="1:13" x14ac:dyDescent="0.45">
      <c r="A797" s="2">
        <v>44771</v>
      </c>
      <c r="B797" s="1">
        <v>4671.05</v>
      </c>
      <c r="D797" s="2">
        <v>44771</v>
      </c>
      <c r="E797" s="1">
        <v>907.9</v>
      </c>
      <c r="G797" s="3">
        <v>20240000</v>
      </c>
      <c r="H797" s="3">
        <f t="shared" si="36"/>
        <v>94542052000</v>
      </c>
      <c r="J797" s="3">
        <v>238782786</v>
      </c>
      <c r="K797" s="3">
        <f t="shared" si="37"/>
        <v>216790891409.39999</v>
      </c>
      <c r="M797" s="4">
        <f t="shared" si="38"/>
        <v>0.56390210222688042</v>
      </c>
    </row>
    <row r="798" spans="1:13" x14ac:dyDescent="0.45">
      <c r="A798" s="2">
        <v>44770</v>
      </c>
      <c r="B798" s="1">
        <v>4522.8500000000004</v>
      </c>
      <c r="D798" s="2">
        <v>44770</v>
      </c>
      <c r="E798" s="1">
        <v>869.2</v>
      </c>
      <c r="G798" s="3">
        <v>20240000</v>
      </c>
      <c r="H798" s="3">
        <f t="shared" si="36"/>
        <v>91542484000</v>
      </c>
      <c r="J798" s="3">
        <v>238782786</v>
      </c>
      <c r="K798" s="3">
        <f t="shared" si="37"/>
        <v>207549997591.20001</v>
      </c>
      <c r="M798" s="4">
        <f t="shared" si="38"/>
        <v>0.55893767736723232</v>
      </c>
    </row>
    <row r="799" spans="1:13" x14ac:dyDescent="0.45">
      <c r="A799" s="2">
        <v>44769</v>
      </c>
      <c r="B799" s="1">
        <v>4411</v>
      </c>
      <c r="D799" s="2">
        <v>44769</v>
      </c>
      <c r="E799" s="1">
        <v>849.25</v>
      </c>
      <c r="G799" s="3">
        <v>20240000</v>
      </c>
      <c r="H799" s="3">
        <f t="shared" si="36"/>
        <v>89278640000</v>
      </c>
      <c r="J799" s="3">
        <v>238782786</v>
      </c>
      <c r="K799" s="3">
        <f t="shared" si="37"/>
        <v>202786281010.5</v>
      </c>
      <c r="M799" s="4">
        <f t="shared" si="38"/>
        <v>0.55974023708547982</v>
      </c>
    </row>
    <row r="800" spans="1:13" x14ac:dyDescent="0.45">
      <c r="A800" s="2">
        <v>44768</v>
      </c>
      <c r="B800" s="1">
        <v>4464.1499999999996</v>
      </c>
      <c r="D800" s="2">
        <v>44768</v>
      </c>
      <c r="E800" s="1">
        <v>864.2</v>
      </c>
      <c r="G800" s="3">
        <v>20240000</v>
      </c>
      <c r="H800" s="3">
        <f t="shared" si="36"/>
        <v>90354396000</v>
      </c>
      <c r="J800" s="3">
        <v>238782786</v>
      </c>
      <c r="K800" s="3">
        <f t="shared" si="37"/>
        <v>206356083661.20001</v>
      </c>
      <c r="M800" s="4">
        <f t="shared" si="38"/>
        <v>0.56214328942031178</v>
      </c>
    </row>
    <row r="801" spans="1:13" x14ac:dyDescent="0.45">
      <c r="A801" s="2">
        <v>44767</v>
      </c>
      <c r="B801" s="1">
        <v>4477.6499999999996</v>
      </c>
      <c r="D801" s="2">
        <v>44767</v>
      </c>
      <c r="E801" s="1">
        <v>871.3</v>
      </c>
      <c r="G801" s="3">
        <v>20240000</v>
      </c>
      <c r="H801" s="3">
        <f t="shared" si="36"/>
        <v>90627636000</v>
      </c>
      <c r="J801" s="3">
        <v>238782786</v>
      </c>
      <c r="K801" s="3">
        <f t="shared" si="37"/>
        <v>208051441441.79999</v>
      </c>
      <c r="M801" s="4">
        <f t="shared" si="38"/>
        <v>0.56439794229759255</v>
      </c>
    </row>
    <row r="802" spans="1:13" x14ac:dyDescent="0.45">
      <c r="A802" s="2">
        <v>44764</v>
      </c>
      <c r="B802" s="1">
        <v>4491.8500000000004</v>
      </c>
      <c r="D802" s="2">
        <v>44764</v>
      </c>
      <c r="E802" s="1">
        <v>885.35</v>
      </c>
      <c r="G802" s="3">
        <v>20240000</v>
      </c>
      <c r="H802" s="3">
        <f t="shared" si="36"/>
        <v>90915044000</v>
      </c>
      <c r="J802" s="3">
        <v>238782786</v>
      </c>
      <c r="K802" s="3">
        <f t="shared" si="37"/>
        <v>211406339585.10001</v>
      </c>
      <c r="M802" s="4">
        <f t="shared" si="38"/>
        <v>0.5699511936187569</v>
      </c>
    </row>
    <row r="803" spans="1:13" x14ac:dyDescent="0.45">
      <c r="A803" s="2">
        <v>44763</v>
      </c>
      <c r="B803" s="1">
        <v>4460.6499999999996</v>
      </c>
      <c r="D803" s="2">
        <v>44763</v>
      </c>
      <c r="E803" s="1">
        <v>879.6</v>
      </c>
      <c r="G803" s="3">
        <v>20240000</v>
      </c>
      <c r="H803" s="3">
        <f t="shared" si="36"/>
        <v>90283556000</v>
      </c>
      <c r="J803" s="3">
        <v>238782786</v>
      </c>
      <c r="K803" s="3">
        <f t="shared" si="37"/>
        <v>210033338565.60001</v>
      </c>
      <c r="M803" s="4">
        <f t="shared" si="38"/>
        <v>0.57014654617889815</v>
      </c>
    </row>
    <row r="804" spans="1:13" x14ac:dyDescent="0.45">
      <c r="A804" s="2">
        <v>44762</v>
      </c>
      <c r="B804" s="1">
        <v>4417.1000000000004</v>
      </c>
      <c r="D804" s="2">
        <v>44762</v>
      </c>
      <c r="E804" s="1">
        <v>877.05</v>
      </c>
      <c r="G804" s="3">
        <v>20240000</v>
      </c>
      <c r="H804" s="3">
        <f t="shared" si="36"/>
        <v>89402104000</v>
      </c>
      <c r="J804" s="3">
        <v>238782786</v>
      </c>
      <c r="K804" s="3">
        <f t="shared" si="37"/>
        <v>209424442461.29999</v>
      </c>
      <c r="M804" s="4">
        <f t="shared" si="38"/>
        <v>0.57310568456439448</v>
      </c>
    </row>
    <row r="805" spans="1:13" x14ac:dyDescent="0.45">
      <c r="A805" s="2">
        <v>44761</v>
      </c>
      <c r="B805" s="1">
        <v>4458.3999999999996</v>
      </c>
      <c r="D805" s="2">
        <v>44761</v>
      </c>
      <c r="E805" s="1">
        <v>879.95</v>
      </c>
      <c r="G805" s="3">
        <v>20240000</v>
      </c>
      <c r="H805" s="3">
        <f t="shared" si="36"/>
        <v>90238016000</v>
      </c>
      <c r="J805" s="3">
        <v>238782786</v>
      </c>
      <c r="K805" s="3">
        <f t="shared" si="37"/>
        <v>210116912540.70001</v>
      </c>
      <c r="M805" s="4">
        <f t="shared" si="38"/>
        <v>0.57053425681513981</v>
      </c>
    </row>
    <row r="806" spans="1:13" x14ac:dyDescent="0.45">
      <c r="A806" s="2">
        <v>44760</v>
      </c>
      <c r="B806" s="1">
        <v>4489.25</v>
      </c>
      <c r="D806" s="2">
        <v>44760</v>
      </c>
      <c r="E806" s="1">
        <v>877.55</v>
      </c>
      <c r="G806" s="3">
        <v>20240000</v>
      </c>
      <c r="H806" s="3">
        <f t="shared" si="36"/>
        <v>90862420000</v>
      </c>
      <c r="J806" s="3">
        <v>238782786</v>
      </c>
      <c r="K806" s="3">
        <f t="shared" si="37"/>
        <v>209543833854.29999</v>
      </c>
      <c r="M806" s="4">
        <f t="shared" si="38"/>
        <v>0.56637989136354894</v>
      </c>
    </row>
    <row r="807" spans="1:13" x14ac:dyDescent="0.45">
      <c r="A807" s="2">
        <v>44757</v>
      </c>
      <c r="B807" s="1">
        <v>4356.3</v>
      </c>
      <c r="D807" s="2">
        <v>44757</v>
      </c>
      <c r="E807" s="1">
        <v>872.05</v>
      </c>
      <c r="G807" s="3">
        <v>20240000</v>
      </c>
      <c r="H807" s="3">
        <f t="shared" si="36"/>
        <v>88171512000</v>
      </c>
      <c r="J807" s="3">
        <v>238782786</v>
      </c>
      <c r="K807" s="3">
        <f t="shared" si="37"/>
        <v>208230528531.29999</v>
      </c>
      <c r="M807" s="4">
        <f t="shared" si="38"/>
        <v>0.57656779425238514</v>
      </c>
    </row>
    <row r="808" spans="1:13" x14ac:dyDescent="0.45">
      <c r="A808" s="2">
        <v>44756</v>
      </c>
      <c r="B808" s="1">
        <v>4262.45</v>
      </c>
      <c r="D808" s="2">
        <v>44756</v>
      </c>
      <c r="E808" s="1">
        <v>837.3</v>
      </c>
      <c r="G808" s="3">
        <v>20240000</v>
      </c>
      <c r="H808" s="3">
        <f t="shared" si="36"/>
        <v>86271988000</v>
      </c>
      <c r="J808" s="3">
        <v>238782786</v>
      </c>
      <c r="K808" s="3">
        <f t="shared" si="37"/>
        <v>199932826717.79999</v>
      </c>
      <c r="M808" s="4">
        <f t="shared" si="38"/>
        <v>0.56849513200865864</v>
      </c>
    </row>
    <row r="809" spans="1:13" x14ac:dyDescent="0.45">
      <c r="A809" s="2">
        <v>44755</v>
      </c>
      <c r="B809" s="1">
        <v>4179.8500000000004</v>
      </c>
      <c r="D809" s="2">
        <v>44755</v>
      </c>
      <c r="E809" s="1">
        <v>855.65</v>
      </c>
      <c r="G809" s="3">
        <v>20240000</v>
      </c>
      <c r="H809" s="3">
        <f t="shared" si="36"/>
        <v>84600164000</v>
      </c>
      <c r="J809" s="3">
        <v>238782786</v>
      </c>
      <c r="K809" s="3">
        <f t="shared" si="37"/>
        <v>204314490840.89999</v>
      </c>
      <c r="M809" s="4">
        <f t="shared" si="38"/>
        <v>0.58593165050697127</v>
      </c>
    </row>
    <row r="810" spans="1:13" x14ac:dyDescent="0.45">
      <c r="A810" s="2">
        <v>44754</v>
      </c>
      <c r="B810" s="1">
        <v>4227.05</v>
      </c>
      <c r="D810" s="2">
        <v>44754</v>
      </c>
      <c r="E810" s="1">
        <v>849.45</v>
      </c>
      <c r="G810" s="3">
        <v>20240000</v>
      </c>
      <c r="H810" s="3">
        <f t="shared" si="36"/>
        <v>85555492000</v>
      </c>
      <c r="J810" s="3">
        <v>238782786</v>
      </c>
      <c r="K810" s="3">
        <f t="shared" si="37"/>
        <v>202834037567.70001</v>
      </c>
      <c r="M810" s="4">
        <f t="shared" si="38"/>
        <v>0.57819953186385642</v>
      </c>
    </row>
    <row r="811" spans="1:13" x14ac:dyDescent="0.45">
      <c r="A811" s="2">
        <v>44753</v>
      </c>
      <c r="B811" s="1">
        <v>4168.1499999999996</v>
      </c>
      <c r="D811" s="2">
        <v>44753</v>
      </c>
      <c r="E811" s="1">
        <v>854.75</v>
      </c>
      <c r="G811" s="3">
        <v>20240000</v>
      </c>
      <c r="H811" s="3">
        <f t="shared" si="36"/>
        <v>84363356000</v>
      </c>
      <c r="J811" s="3">
        <v>238782786</v>
      </c>
      <c r="K811" s="3">
        <f t="shared" si="37"/>
        <v>204099586333.5</v>
      </c>
      <c r="M811" s="4">
        <f t="shared" si="38"/>
        <v>0.58665591873297696</v>
      </c>
    </row>
    <row r="812" spans="1:13" x14ac:dyDescent="0.45">
      <c r="A812" s="2">
        <v>44750</v>
      </c>
      <c r="B812" s="1">
        <v>4059.95</v>
      </c>
      <c r="D812" s="2">
        <v>44750</v>
      </c>
      <c r="E812" s="1">
        <v>839.05</v>
      </c>
      <c r="G812" s="3">
        <v>20240000</v>
      </c>
      <c r="H812" s="3">
        <f t="shared" si="36"/>
        <v>82173388000</v>
      </c>
      <c r="J812" s="3">
        <v>238782786</v>
      </c>
      <c r="K812" s="3">
        <f t="shared" si="37"/>
        <v>200350696593.29999</v>
      </c>
      <c r="M812" s="4">
        <f t="shared" si="38"/>
        <v>0.58985224709846107</v>
      </c>
    </row>
    <row r="813" spans="1:13" x14ac:dyDescent="0.45">
      <c r="A813" s="2">
        <v>44749</v>
      </c>
      <c r="B813" s="1">
        <v>4154.45</v>
      </c>
      <c r="D813" s="2">
        <v>44749</v>
      </c>
      <c r="E813" s="1">
        <v>825.7</v>
      </c>
      <c r="G813" s="3">
        <v>20240000</v>
      </c>
      <c r="H813" s="3">
        <f t="shared" si="36"/>
        <v>84086068000</v>
      </c>
      <c r="J813" s="3">
        <v>238782786</v>
      </c>
      <c r="K813" s="3">
        <f t="shared" si="37"/>
        <v>197162946400.20001</v>
      </c>
      <c r="M813" s="4">
        <f t="shared" si="38"/>
        <v>0.57351992585197697</v>
      </c>
    </row>
    <row r="814" spans="1:13" x14ac:dyDescent="0.45">
      <c r="A814" s="2">
        <v>44748</v>
      </c>
      <c r="B814" s="1">
        <v>4105.05</v>
      </c>
      <c r="D814" s="2">
        <v>44748</v>
      </c>
      <c r="E814" s="1">
        <v>825.35</v>
      </c>
      <c r="G814" s="3">
        <v>20240000</v>
      </c>
      <c r="H814" s="3">
        <f t="shared" si="36"/>
        <v>83086212000</v>
      </c>
      <c r="J814" s="3">
        <v>238782786</v>
      </c>
      <c r="K814" s="3">
        <f t="shared" si="37"/>
        <v>197079372425.10001</v>
      </c>
      <c r="M814" s="4">
        <f t="shared" si="38"/>
        <v>0.57841243871640136</v>
      </c>
    </row>
    <row r="815" spans="1:13" x14ac:dyDescent="0.45">
      <c r="A815" s="2">
        <v>44747</v>
      </c>
      <c r="B815" s="1">
        <v>4072</v>
      </c>
      <c r="D815" s="2">
        <v>44747</v>
      </c>
      <c r="E815" s="1">
        <v>811.85</v>
      </c>
      <c r="G815" s="3">
        <v>20240000</v>
      </c>
      <c r="H815" s="3">
        <f t="shared" si="36"/>
        <v>82417280000</v>
      </c>
      <c r="J815" s="3">
        <v>238782786</v>
      </c>
      <c r="K815" s="3">
        <f t="shared" si="37"/>
        <v>193855804814.10001</v>
      </c>
      <c r="M815" s="4">
        <f t="shared" si="38"/>
        <v>0.57485265876337888</v>
      </c>
    </row>
    <row r="816" spans="1:13" x14ac:dyDescent="0.45">
      <c r="A816" s="2">
        <v>44746</v>
      </c>
      <c r="B816" s="1">
        <v>4150.1000000000004</v>
      </c>
      <c r="D816" s="2">
        <v>44746</v>
      </c>
      <c r="E816" s="1">
        <v>840.55</v>
      </c>
      <c r="G816" s="3">
        <v>20240000</v>
      </c>
      <c r="H816" s="3">
        <f t="shared" si="36"/>
        <v>83998024000</v>
      </c>
      <c r="J816" s="3">
        <v>238782786</v>
      </c>
      <c r="K816" s="3">
        <f t="shared" si="37"/>
        <v>200708870772.29999</v>
      </c>
      <c r="M816" s="4">
        <f t="shared" si="38"/>
        <v>0.58149321613545424</v>
      </c>
    </row>
    <row r="817" spans="1:13" x14ac:dyDescent="0.45">
      <c r="A817" s="2">
        <v>44743</v>
      </c>
      <c r="B817" s="1">
        <v>4261.3</v>
      </c>
      <c r="D817" s="2">
        <v>44743</v>
      </c>
      <c r="E817" s="1">
        <v>863.6</v>
      </c>
      <c r="G817" s="3">
        <v>20240000</v>
      </c>
      <c r="H817" s="3">
        <f t="shared" si="36"/>
        <v>86248712000</v>
      </c>
      <c r="J817" s="3">
        <v>238782786</v>
      </c>
      <c r="K817" s="3">
        <f t="shared" si="37"/>
        <v>206212813989.60001</v>
      </c>
      <c r="M817" s="4">
        <f t="shared" si="38"/>
        <v>0.58174901776787835</v>
      </c>
    </row>
    <row r="818" spans="1:13" x14ac:dyDescent="0.45">
      <c r="A818" s="2">
        <v>44742</v>
      </c>
      <c r="B818" s="1">
        <v>4372.1499999999996</v>
      </c>
      <c r="D818" s="2">
        <v>44742</v>
      </c>
      <c r="E818" s="1">
        <v>841.7</v>
      </c>
      <c r="G818" s="3">
        <v>20240000</v>
      </c>
      <c r="H818" s="3">
        <f t="shared" si="36"/>
        <v>88492316000</v>
      </c>
      <c r="J818" s="3">
        <v>238782786</v>
      </c>
      <c r="K818" s="3">
        <f t="shared" si="37"/>
        <v>200983470976.20001</v>
      </c>
      <c r="M818" s="4">
        <f t="shared" si="38"/>
        <v>0.55970351407415464</v>
      </c>
    </row>
    <row r="819" spans="1:13" x14ac:dyDescent="0.45">
      <c r="A819" s="2">
        <v>44741</v>
      </c>
      <c r="B819" s="1">
        <v>4301.8500000000004</v>
      </c>
      <c r="D819" s="2">
        <v>44741</v>
      </c>
      <c r="E819" s="1">
        <v>834.55</v>
      </c>
      <c r="G819" s="3">
        <v>20240000</v>
      </c>
      <c r="H819" s="3">
        <f t="shared" si="36"/>
        <v>87069444000</v>
      </c>
      <c r="J819" s="3">
        <v>238782786</v>
      </c>
      <c r="K819" s="3">
        <f t="shared" si="37"/>
        <v>199276174056.29999</v>
      </c>
      <c r="M819" s="4">
        <f t="shared" si="38"/>
        <v>0.56307147900480603</v>
      </c>
    </row>
    <row r="820" spans="1:13" x14ac:dyDescent="0.45">
      <c r="A820" s="2">
        <v>44740</v>
      </c>
      <c r="B820" s="1">
        <v>4224.45</v>
      </c>
      <c r="D820" s="2">
        <v>44740</v>
      </c>
      <c r="E820" s="1">
        <v>820.3</v>
      </c>
      <c r="G820" s="3">
        <v>20240000</v>
      </c>
      <c r="H820" s="3">
        <f t="shared" si="36"/>
        <v>85502868000</v>
      </c>
      <c r="J820" s="3">
        <v>238782786</v>
      </c>
      <c r="K820" s="3">
        <f t="shared" si="37"/>
        <v>195873519355.79999</v>
      </c>
      <c r="M820" s="4">
        <f t="shared" si="38"/>
        <v>0.56347918656280482</v>
      </c>
    </row>
    <row r="821" spans="1:13" x14ac:dyDescent="0.45">
      <c r="A821" s="2">
        <v>44739</v>
      </c>
      <c r="B821" s="1">
        <v>4122.3999999999996</v>
      </c>
      <c r="D821" s="2">
        <v>44739</v>
      </c>
      <c r="E821" s="1">
        <v>801.45</v>
      </c>
      <c r="G821" s="3">
        <v>20240000</v>
      </c>
      <c r="H821" s="3">
        <f t="shared" si="36"/>
        <v>83437376000</v>
      </c>
      <c r="J821" s="3">
        <v>238782786</v>
      </c>
      <c r="K821" s="3">
        <f t="shared" si="37"/>
        <v>191372463839.70001</v>
      </c>
      <c r="M821" s="4">
        <f t="shared" si="38"/>
        <v>0.56400532069289788</v>
      </c>
    </row>
    <row r="822" spans="1:13" x14ac:dyDescent="0.45">
      <c r="A822" s="2">
        <v>44736</v>
      </c>
      <c r="B822" s="1">
        <v>3958.2</v>
      </c>
      <c r="D822" s="2">
        <v>44736</v>
      </c>
      <c r="E822" s="1">
        <v>797.9</v>
      </c>
      <c r="G822" s="3">
        <v>20240000</v>
      </c>
      <c r="H822" s="3">
        <f t="shared" si="36"/>
        <v>80113968000</v>
      </c>
      <c r="J822" s="3">
        <v>238782786</v>
      </c>
      <c r="K822" s="3">
        <f t="shared" si="37"/>
        <v>190524784949.39999</v>
      </c>
      <c r="M822" s="4">
        <f t="shared" si="38"/>
        <v>0.57950894409209353</v>
      </c>
    </row>
    <row r="823" spans="1:13" x14ac:dyDescent="0.45">
      <c r="A823" s="2">
        <v>44735</v>
      </c>
      <c r="B823" s="1">
        <v>3819.5</v>
      </c>
      <c r="D823" s="2">
        <v>44735</v>
      </c>
      <c r="E823" s="1">
        <v>772</v>
      </c>
      <c r="G823" s="3">
        <v>20240000</v>
      </c>
      <c r="H823" s="3">
        <f t="shared" si="36"/>
        <v>77306680000</v>
      </c>
      <c r="J823" s="3">
        <v>238782786</v>
      </c>
      <c r="K823" s="3">
        <f t="shared" si="37"/>
        <v>184340310792</v>
      </c>
      <c r="M823" s="4">
        <f t="shared" si="38"/>
        <v>0.58063063001326487</v>
      </c>
    </row>
    <row r="824" spans="1:13" x14ac:dyDescent="0.45">
      <c r="A824" s="2">
        <v>44734</v>
      </c>
      <c r="B824" s="1">
        <v>3768.8</v>
      </c>
      <c r="D824" s="2">
        <v>44734</v>
      </c>
      <c r="E824" s="1">
        <v>744</v>
      </c>
      <c r="G824" s="3">
        <v>20240000</v>
      </c>
      <c r="H824" s="3">
        <f t="shared" si="36"/>
        <v>76280512000</v>
      </c>
      <c r="J824" s="3">
        <v>238782786</v>
      </c>
      <c r="K824" s="3">
        <f t="shared" si="37"/>
        <v>177654392784</v>
      </c>
      <c r="M824" s="4">
        <f t="shared" si="38"/>
        <v>0.57062411570793414</v>
      </c>
    </row>
    <row r="825" spans="1:13" x14ac:dyDescent="0.45">
      <c r="A825" s="2">
        <v>44733</v>
      </c>
      <c r="B825" s="1">
        <v>3834.05</v>
      </c>
      <c r="D825" s="2">
        <v>44733</v>
      </c>
      <c r="E825" s="1">
        <v>744.55</v>
      </c>
      <c r="G825" s="3">
        <v>20240000</v>
      </c>
      <c r="H825" s="3">
        <f t="shared" si="36"/>
        <v>77601172000</v>
      </c>
      <c r="J825" s="3">
        <v>238782786</v>
      </c>
      <c r="K825" s="3">
        <f t="shared" si="37"/>
        <v>177785723316.29999</v>
      </c>
      <c r="M825" s="4">
        <f t="shared" si="38"/>
        <v>0.56351291570280293</v>
      </c>
    </row>
    <row r="826" spans="1:13" x14ac:dyDescent="0.45">
      <c r="A826" s="2">
        <v>44732</v>
      </c>
      <c r="B826" s="1">
        <v>3822.85</v>
      </c>
      <c r="D826" s="2">
        <v>44732</v>
      </c>
      <c r="E826" s="1">
        <v>731</v>
      </c>
      <c r="G826" s="3">
        <v>20240000</v>
      </c>
      <c r="H826" s="3">
        <f t="shared" si="36"/>
        <v>77374484000</v>
      </c>
      <c r="J826" s="3">
        <v>238782786</v>
      </c>
      <c r="K826" s="3">
        <f t="shared" si="37"/>
        <v>174550216566</v>
      </c>
      <c r="M826" s="4">
        <f t="shared" si="38"/>
        <v>0.5567207791418376</v>
      </c>
    </row>
    <row r="827" spans="1:13" x14ac:dyDescent="0.45">
      <c r="A827" s="2">
        <v>44729</v>
      </c>
      <c r="B827" s="1">
        <v>3812.35</v>
      </c>
      <c r="D827" s="2">
        <v>44729</v>
      </c>
      <c r="E827" s="1">
        <v>739.5</v>
      </c>
      <c r="G827" s="3">
        <v>20240000</v>
      </c>
      <c r="H827" s="3">
        <f t="shared" si="36"/>
        <v>77161964000</v>
      </c>
      <c r="J827" s="3">
        <v>238782786</v>
      </c>
      <c r="K827" s="3">
        <f t="shared" si="37"/>
        <v>176579870247</v>
      </c>
      <c r="M827" s="4">
        <f t="shared" si="38"/>
        <v>0.56301947729338675</v>
      </c>
    </row>
    <row r="828" spans="1:13" x14ac:dyDescent="0.45">
      <c r="A828" s="2">
        <v>44728</v>
      </c>
      <c r="B828" s="1">
        <v>3858</v>
      </c>
      <c r="D828" s="2">
        <v>44728</v>
      </c>
      <c r="E828" s="1">
        <v>746.2</v>
      </c>
      <c r="G828" s="3">
        <v>20240000</v>
      </c>
      <c r="H828" s="3">
        <f t="shared" si="36"/>
        <v>78085920000</v>
      </c>
      <c r="J828" s="3">
        <v>238782786</v>
      </c>
      <c r="K828" s="3">
        <f t="shared" si="37"/>
        <v>178179714913.20001</v>
      </c>
      <c r="M828" s="4">
        <f t="shared" si="38"/>
        <v>0.56175752083765851</v>
      </c>
    </row>
    <row r="829" spans="1:13" x14ac:dyDescent="0.45">
      <c r="A829" s="2">
        <v>44727</v>
      </c>
      <c r="B829" s="1">
        <v>3838.7</v>
      </c>
      <c r="D829" s="2">
        <v>44727</v>
      </c>
      <c r="E829" s="1">
        <v>754.35</v>
      </c>
      <c r="G829" s="3">
        <v>20240000</v>
      </c>
      <c r="H829" s="3">
        <f t="shared" si="36"/>
        <v>77695288000</v>
      </c>
      <c r="J829" s="3">
        <v>238782786</v>
      </c>
      <c r="K829" s="3">
        <f t="shared" si="37"/>
        <v>180125794619.10001</v>
      </c>
      <c r="M829" s="4">
        <f t="shared" si="38"/>
        <v>0.56866095628170843</v>
      </c>
    </row>
    <row r="830" spans="1:13" x14ac:dyDescent="0.45">
      <c r="A830" s="2">
        <v>44726</v>
      </c>
      <c r="B830" s="1">
        <v>3804.5</v>
      </c>
      <c r="D830" s="2">
        <v>44726</v>
      </c>
      <c r="E830" s="1">
        <v>749.1</v>
      </c>
      <c r="G830" s="3">
        <v>20240000</v>
      </c>
      <c r="H830" s="3">
        <f t="shared" si="36"/>
        <v>77003080000</v>
      </c>
      <c r="J830" s="3">
        <v>238782786</v>
      </c>
      <c r="K830" s="3">
        <f t="shared" si="37"/>
        <v>178872184992.60001</v>
      </c>
      <c r="M830" s="4">
        <f t="shared" si="38"/>
        <v>0.56950780243901167</v>
      </c>
    </row>
    <row r="831" spans="1:13" x14ac:dyDescent="0.45">
      <c r="A831" s="2">
        <v>44725</v>
      </c>
      <c r="B831" s="1">
        <v>3849.8</v>
      </c>
      <c r="D831" s="2">
        <v>44725</v>
      </c>
      <c r="E831" s="1">
        <v>750.45</v>
      </c>
      <c r="G831" s="3">
        <v>20240000</v>
      </c>
      <c r="H831" s="3">
        <f t="shared" si="36"/>
        <v>77919952000</v>
      </c>
      <c r="J831" s="3">
        <v>238782786</v>
      </c>
      <c r="K831" s="3">
        <f t="shared" si="37"/>
        <v>179194541753.70001</v>
      </c>
      <c r="M831" s="4">
        <f t="shared" si="38"/>
        <v>0.56516559468033511</v>
      </c>
    </row>
    <row r="832" spans="1:13" x14ac:dyDescent="0.45">
      <c r="A832" s="2">
        <v>44722</v>
      </c>
      <c r="B832" s="1">
        <v>3904.75</v>
      </c>
      <c r="D832" s="2">
        <v>44722</v>
      </c>
      <c r="E832" s="1">
        <v>763.5</v>
      </c>
      <c r="G832" s="3">
        <v>20240000</v>
      </c>
      <c r="H832" s="3">
        <f t="shared" si="36"/>
        <v>79032140000</v>
      </c>
      <c r="J832" s="3">
        <v>238782786</v>
      </c>
      <c r="K832" s="3">
        <f t="shared" si="37"/>
        <v>182310657111</v>
      </c>
      <c r="M832" s="4">
        <f t="shared" si="38"/>
        <v>0.56649742120187074</v>
      </c>
    </row>
    <row r="833" spans="1:13" x14ac:dyDescent="0.45">
      <c r="A833" s="2">
        <v>44721</v>
      </c>
      <c r="B833" s="1">
        <v>3923.2</v>
      </c>
      <c r="D833" s="2">
        <v>44721</v>
      </c>
      <c r="E833" s="1">
        <v>763.95</v>
      </c>
      <c r="G833" s="3">
        <v>20240000</v>
      </c>
      <c r="H833" s="3">
        <f t="shared" si="36"/>
        <v>79405568000</v>
      </c>
      <c r="J833" s="3">
        <v>238782786</v>
      </c>
      <c r="K833" s="3">
        <f t="shared" si="37"/>
        <v>182418109364.70001</v>
      </c>
      <c r="M833" s="4">
        <f t="shared" si="38"/>
        <v>0.56470567381417069</v>
      </c>
    </row>
    <row r="834" spans="1:13" x14ac:dyDescent="0.45">
      <c r="A834" s="2">
        <v>44720</v>
      </c>
      <c r="B834" s="1">
        <v>3776.45</v>
      </c>
      <c r="D834" s="2">
        <v>44720</v>
      </c>
      <c r="E834" s="1">
        <v>750.65</v>
      </c>
      <c r="G834" s="3">
        <v>20240000</v>
      </c>
      <c r="H834" s="3">
        <f t="shared" si="36"/>
        <v>76435348000</v>
      </c>
      <c r="J834" s="3">
        <v>238782786</v>
      </c>
      <c r="K834" s="3">
        <f t="shared" si="37"/>
        <v>179242298310.89999</v>
      </c>
      <c r="M834" s="4">
        <f t="shared" si="38"/>
        <v>0.57356411561170073</v>
      </c>
    </row>
    <row r="835" spans="1:13" x14ac:dyDescent="0.45">
      <c r="A835" s="2">
        <v>44719</v>
      </c>
      <c r="B835" s="1">
        <v>3853.95</v>
      </c>
      <c r="D835" s="2">
        <v>44719</v>
      </c>
      <c r="E835" s="1">
        <v>744.2</v>
      </c>
      <c r="G835" s="3">
        <v>20240000</v>
      </c>
      <c r="H835" s="3">
        <f t="shared" si="36"/>
        <v>78003948000</v>
      </c>
      <c r="J835" s="3">
        <v>238782786</v>
      </c>
      <c r="K835" s="3">
        <f t="shared" si="37"/>
        <v>177702149341.20001</v>
      </c>
      <c r="M835" s="4">
        <f t="shared" si="38"/>
        <v>0.5610410549946292</v>
      </c>
    </row>
    <row r="836" spans="1:13" x14ac:dyDescent="0.45">
      <c r="A836" s="2">
        <v>44718</v>
      </c>
      <c r="B836" s="1">
        <v>3813.1</v>
      </c>
      <c r="D836" s="2">
        <v>44718</v>
      </c>
      <c r="E836" s="1">
        <v>728.2</v>
      </c>
      <c r="G836" s="3">
        <v>20240000</v>
      </c>
      <c r="H836" s="3">
        <f t="shared" ref="H836:H899" si="39">+G836*B836</f>
        <v>77177144000</v>
      </c>
      <c r="J836" s="3">
        <v>238782786</v>
      </c>
      <c r="K836" s="3">
        <f t="shared" ref="K836:K899" si="40">+J836*E836</f>
        <v>173881624765.20001</v>
      </c>
      <c r="M836" s="4">
        <f t="shared" ref="M836:M899" si="41">1- (H836/K836)</f>
        <v>0.55615123734773197</v>
      </c>
    </row>
    <row r="837" spans="1:13" x14ac:dyDescent="0.45">
      <c r="A837" s="2">
        <v>44715</v>
      </c>
      <c r="B837" s="1">
        <v>3874.25</v>
      </c>
      <c r="D837" s="2">
        <v>44715</v>
      </c>
      <c r="E837" s="1">
        <v>730.45</v>
      </c>
      <c r="G837" s="3">
        <v>20240000</v>
      </c>
      <c r="H837" s="3">
        <f t="shared" si="39"/>
        <v>78414820000</v>
      </c>
      <c r="J837" s="3">
        <v>238782786</v>
      </c>
      <c r="K837" s="3">
        <f t="shared" si="40"/>
        <v>174418886033.70001</v>
      </c>
      <c r="M837" s="4">
        <f t="shared" si="41"/>
        <v>0.55042242395213314</v>
      </c>
    </row>
    <row r="838" spans="1:13" x14ac:dyDescent="0.45">
      <c r="A838" s="2">
        <v>44714</v>
      </c>
      <c r="B838" s="1">
        <v>3888.8</v>
      </c>
      <c r="D838" s="2">
        <v>44714</v>
      </c>
      <c r="E838" s="1">
        <v>738.4</v>
      </c>
      <c r="G838" s="3">
        <v>20240000</v>
      </c>
      <c r="H838" s="3">
        <f t="shared" si="39"/>
        <v>78709312000</v>
      </c>
      <c r="J838" s="3">
        <v>238782786</v>
      </c>
      <c r="K838" s="3">
        <f t="shared" si="40"/>
        <v>176317209182.39999</v>
      </c>
      <c r="M838" s="4">
        <f t="shared" si="41"/>
        <v>0.55359257122442718</v>
      </c>
    </row>
    <row r="839" spans="1:13" x14ac:dyDescent="0.45">
      <c r="A839" s="2">
        <v>44713</v>
      </c>
      <c r="B839" s="1">
        <v>3671.25</v>
      </c>
      <c r="D839" s="2">
        <v>44713</v>
      </c>
      <c r="E839" s="1">
        <v>737.9</v>
      </c>
      <c r="G839" s="3">
        <v>20240000</v>
      </c>
      <c r="H839" s="3">
        <f t="shared" si="39"/>
        <v>74306100000</v>
      </c>
      <c r="J839" s="3">
        <v>238782786</v>
      </c>
      <c r="K839" s="3">
        <f t="shared" si="40"/>
        <v>176197817789.39999</v>
      </c>
      <c r="M839" s="4">
        <f t="shared" si="41"/>
        <v>0.57828024811967771</v>
      </c>
    </row>
    <row r="840" spans="1:13" x14ac:dyDescent="0.45">
      <c r="A840" s="2">
        <v>44712</v>
      </c>
      <c r="B840" s="1">
        <v>3717.5</v>
      </c>
      <c r="D840" s="2">
        <v>44712</v>
      </c>
      <c r="E840" s="1">
        <v>736.6</v>
      </c>
      <c r="G840" s="3">
        <v>20240000</v>
      </c>
      <c r="H840" s="3">
        <f t="shared" si="39"/>
        <v>75242200000</v>
      </c>
      <c r="J840" s="3">
        <v>238782786</v>
      </c>
      <c r="K840" s="3">
        <f t="shared" si="40"/>
        <v>175887400167.60001</v>
      </c>
      <c r="M840" s="4">
        <f t="shared" si="41"/>
        <v>0.57221381447276476</v>
      </c>
    </row>
    <row r="841" spans="1:13" x14ac:dyDescent="0.45">
      <c r="A841" s="2">
        <v>44711</v>
      </c>
      <c r="B841" s="1">
        <v>3759.8</v>
      </c>
      <c r="D841" s="2">
        <v>44711</v>
      </c>
      <c r="E841" s="1">
        <v>739.45</v>
      </c>
      <c r="G841" s="3">
        <v>20240000</v>
      </c>
      <c r="H841" s="3">
        <f t="shared" si="39"/>
        <v>76098352000</v>
      </c>
      <c r="J841" s="3">
        <v>238782786</v>
      </c>
      <c r="K841" s="3">
        <f t="shared" si="40"/>
        <v>176567931107.70001</v>
      </c>
      <c r="M841" s="4">
        <f t="shared" si="41"/>
        <v>0.56901374149543171</v>
      </c>
    </row>
    <row r="842" spans="1:13" x14ac:dyDescent="0.45">
      <c r="A842" s="2">
        <v>44708</v>
      </c>
      <c r="B842" s="1">
        <v>3798.2</v>
      </c>
      <c r="D842" s="2">
        <v>44708</v>
      </c>
      <c r="E842" s="1">
        <v>723.25</v>
      </c>
      <c r="G842" s="3">
        <v>20240000</v>
      </c>
      <c r="H842" s="3">
        <f t="shared" si="39"/>
        <v>76875568000</v>
      </c>
      <c r="J842" s="3">
        <v>238782786</v>
      </c>
      <c r="K842" s="3">
        <f t="shared" si="40"/>
        <v>172699649974.5</v>
      </c>
      <c r="M842" s="4">
        <f t="shared" si="41"/>
        <v>0.55485973473975725</v>
      </c>
    </row>
    <row r="843" spans="1:13" x14ac:dyDescent="0.45">
      <c r="A843" s="2">
        <v>44707</v>
      </c>
      <c r="B843" s="1">
        <v>3695.8</v>
      </c>
      <c r="D843" s="2">
        <v>44707</v>
      </c>
      <c r="E843" s="1">
        <v>708.3</v>
      </c>
      <c r="G843" s="3">
        <v>20240000</v>
      </c>
      <c r="H843" s="3">
        <f t="shared" si="39"/>
        <v>74802992000</v>
      </c>
      <c r="J843" s="3">
        <v>238782786</v>
      </c>
      <c r="K843" s="3">
        <f t="shared" si="40"/>
        <v>169129847323.79999</v>
      </c>
      <c r="M843" s="4">
        <f t="shared" si="41"/>
        <v>0.55771856249128349</v>
      </c>
    </row>
    <row r="844" spans="1:13" x14ac:dyDescent="0.45">
      <c r="A844" s="2">
        <v>44706</v>
      </c>
      <c r="B844" s="1">
        <v>3711.1</v>
      </c>
      <c r="D844" s="2">
        <v>44706</v>
      </c>
      <c r="E844" s="1">
        <v>702.25</v>
      </c>
      <c r="G844" s="3">
        <v>20240000</v>
      </c>
      <c r="H844" s="3">
        <f t="shared" si="39"/>
        <v>75112664000</v>
      </c>
      <c r="J844" s="3">
        <v>238782786</v>
      </c>
      <c r="K844" s="3">
        <f t="shared" si="40"/>
        <v>167685211468.5</v>
      </c>
      <c r="M844" s="4">
        <f t="shared" si="41"/>
        <v>0.5520614886536368</v>
      </c>
    </row>
    <row r="845" spans="1:13" x14ac:dyDescent="0.45">
      <c r="A845" s="2">
        <v>44705</v>
      </c>
      <c r="B845" s="1">
        <v>3721.55</v>
      </c>
      <c r="D845" s="2">
        <v>44705</v>
      </c>
      <c r="E845" s="1">
        <v>708.75</v>
      </c>
      <c r="G845" s="3">
        <v>20240000</v>
      </c>
      <c r="H845" s="3">
        <f t="shared" si="39"/>
        <v>75324172000</v>
      </c>
      <c r="J845" s="3">
        <v>238782786</v>
      </c>
      <c r="K845" s="3">
        <f t="shared" si="40"/>
        <v>169237299577.5</v>
      </c>
      <c r="M845" s="4">
        <f t="shared" si="41"/>
        <v>0.55491979493854848</v>
      </c>
    </row>
    <row r="846" spans="1:13" x14ac:dyDescent="0.45">
      <c r="A846" s="2">
        <v>44704</v>
      </c>
      <c r="B846" s="1">
        <v>3633.15</v>
      </c>
      <c r="D846" s="2">
        <v>44704</v>
      </c>
      <c r="E846" s="1">
        <v>695.65</v>
      </c>
      <c r="G846" s="3">
        <v>20240000</v>
      </c>
      <c r="H846" s="3">
        <f t="shared" si="39"/>
        <v>73534956000</v>
      </c>
      <c r="J846" s="3">
        <v>238782786</v>
      </c>
      <c r="K846" s="3">
        <f t="shared" si="40"/>
        <v>166109245080.89999</v>
      </c>
      <c r="M846" s="4">
        <f t="shared" si="41"/>
        <v>0.55730967313597535</v>
      </c>
    </row>
    <row r="847" spans="1:13" x14ac:dyDescent="0.45">
      <c r="A847" s="2">
        <v>44701</v>
      </c>
      <c r="B847" s="1">
        <v>3599.95</v>
      </c>
      <c r="D847" s="2">
        <v>44701</v>
      </c>
      <c r="E847" s="1">
        <v>685</v>
      </c>
      <c r="G847" s="3">
        <v>20240000</v>
      </c>
      <c r="H847" s="3">
        <f t="shared" si="39"/>
        <v>72862988000</v>
      </c>
      <c r="J847" s="3">
        <v>238782786</v>
      </c>
      <c r="K847" s="3">
        <f t="shared" si="40"/>
        <v>163566208410</v>
      </c>
      <c r="M847" s="4">
        <f t="shared" si="41"/>
        <v>0.5545352019326667</v>
      </c>
    </row>
    <row r="848" spans="1:13" x14ac:dyDescent="0.45">
      <c r="A848" s="2">
        <v>44700</v>
      </c>
      <c r="B848" s="1">
        <v>3607.15</v>
      </c>
      <c r="D848" s="2">
        <v>44700</v>
      </c>
      <c r="E848" s="1">
        <v>679.85</v>
      </c>
      <c r="G848" s="3">
        <v>20240000</v>
      </c>
      <c r="H848" s="3">
        <f t="shared" si="39"/>
        <v>73008716000</v>
      </c>
      <c r="J848" s="3">
        <v>238782786</v>
      </c>
      <c r="K848" s="3">
        <f t="shared" si="40"/>
        <v>162336477062.10001</v>
      </c>
      <c r="M848" s="4">
        <f t="shared" si="41"/>
        <v>0.5502630257765706</v>
      </c>
    </row>
    <row r="849" spans="1:13" x14ac:dyDescent="0.45">
      <c r="A849" s="2">
        <v>44699</v>
      </c>
      <c r="B849" s="1">
        <v>3726.7</v>
      </c>
      <c r="D849" s="2">
        <v>44699</v>
      </c>
      <c r="E849" s="1">
        <v>679.75</v>
      </c>
      <c r="G849" s="3">
        <v>20240000</v>
      </c>
      <c r="H849" s="3">
        <f t="shared" si="39"/>
        <v>75428408000</v>
      </c>
      <c r="J849" s="3">
        <v>238782786</v>
      </c>
      <c r="K849" s="3">
        <f t="shared" si="40"/>
        <v>162312598783.5</v>
      </c>
      <c r="M849" s="4">
        <f t="shared" si="41"/>
        <v>0.53528925933463811</v>
      </c>
    </row>
    <row r="850" spans="1:13" x14ac:dyDescent="0.45">
      <c r="A850" s="2">
        <v>44698</v>
      </c>
      <c r="B850" s="1">
        <v>3622.45</v>
      </c>
      <c r="D850" s="2">
        <v>44698</v>
      </c>
      <c r="E850" s="1">
        <v>676.3</v>
      </c>
      <c r="G850" s="3">
        <v>20240000</v>
      </c>
      <c r="H850" s="3">
        <f t="shared" si="39"/>
        <v>73318388000</v>
      </c>
      <c r="J850" s="3">
        <v>238782786</v>
      </c>
      <c r="K850" s="3">
        <f t="shared" si="40"/>
        <v>161488798171.79999</v>
      </c>
      <c r="M850" s="4">
        <f t="shared" si="41"/>
        <v>0.54598468234310493</v>
      </c>
    </row>
    <row r="851" spans="1:13" x14ac:dyDescent="0.45">
      <c r="A851" s="2">
        <v>44697</v>
      </c>
      <c r="B851" s="1">
        <v>3554.15</v>
      </c>
      <c r="D851" s="2">
        <v>44697</v>
      </c>
      <c r="E851" s="1">
        <v>653.35</v>
      </c>
      <c r="G851" s="3">
        <v>20240000</v>
      </c>
      <c r="H851" s="3">
        <f t="shared" si="39"/>
        <v>71935996000</v>
      </c>
      <c r="J851" s="3">
        <v>238782786</v>
      </c>
      <c r="K851" s="3">
        <f t="shared" si="40"/>
        <v>156008733233.10001</v>
      </c>
      <c r="M851" s="4">
        <f t="shared" si="41"/>
        <v>0.5388976340669529</v>
      </c>
    </row>
    <row r="852" spans="1:13" x14ac:dyDescent="0.45">
      <c r="A852" s="2">
        <v>44694</v>
      </c>
      <c r="B852" s="1">
        <v>3565.4</v>
      </c>
      <c r="D852" s="2">
        <v>44694</v>
      </c>
      <c r="E852" s="1">
        <v>634.85</v>
      </c>
      <c r="G852" s="3">
        <v>20240000</v>
      </c>
      <c r="H852" s="3">
        <f t="shared" si="39"/>
        <v>72163696000</v>
      </c>
      <c r="J852" s="3">
        <v>238782786</v>
      </c>
      <c r="K852" s="3">
        <f t="shared" si="40"/>
        <v>151591251692.10001</v>
      </c>
      <c r="M852" s="4">
        <f t="shared" si="41"/>
        <v>0.52395870345755102</v>
      </c>
    </row>
    <row r="853" spans="1:13" x14ac:dyDescent="0.45">
      <c r="A853" s="2">
        <v>44693</v>
      </c>
      <c r="B853" s="1">
        <v>3609.8</v>
      </c>
      <c r="D853" s="2">
        <v>44693</v>
      </c>
      <c r="E853" s="1">
        <v>603</v>
      </c>
      <c r="G853" s="3">
        <v>20240000</v>
      </c>
      <c r="H853" s="3">
        <f t="shared" si="39"/>
        <v>73062352000</v>
      </c>
      <c r="J853" s="3">
        <v>238782786</v>
      </c>
      <c r="K853" s="3">
        <f t="shared" si="40"/>
        <v>143986019958</v>
      </c>
      <c r="M853" s="4">
        <f t="shared" si="41"/>
        <v>0.49257329273139205</v>
      </c>
    </row>
    <row r="854" spans="1:13" x14ac:dyDescent="0.45">
      <c r="A854" s="2">
        <v>44692</v>
      </c>
      <c r="B854" s="1">
        <v>3612.8</v>
      </c>
      <c r="D854" s="2">
        <v>44692</v>
      </c>
      <c r="E854" s="1">
        <v>619.65</v>
      </c>
      <c r="G854" s="3">
        <v>20240000</v>
      </c>
      <c r="H854" s="3">
        <f t="shared" si="39"/>
        <v>73123072000</v>
      </c>
      <c r="J854" s="3">
        <v>238782786</v>
      </c>
      <c r="K854" s="3">
        <f t="shared" si="40"/>
        <v>147961753344.89999</v>
      </c>
      <c r="M854" s="4">
        <f t="shared" si="41"/>
        <v>0.50579747571962363</v>
      </c>
    </row>
    <row r="855" spans="1:13" x14ac:dyDescent="0.45">
      <c r="A855" s="2">
        <v>44691</v>
      </c>
      <c r="B855" s="1">
        <v>3693.8</v>
      </c>
      <c r="D855" s="2">
        <v>44691</v>
      </c>
      <c r="E855" s="1">
        <v>615.9</v>
      </c>
      <c r="G855" s="3">
        <v>20240000</v>
      </c>
      <c r="H855" s="3">
        <f t="shared" si="39"/>
        <v>74762512000</v>
      </c>
      <c r="J855" s="3">
        <v>238782786</v>
      </c>
      <c r="K855" s="3">
        <f t="shared" si="40"/>
        <v>147066317897.39999</v>
      </c>
      <c r="M855" s="4">
        <f t="shared" si="41"/>
        <v>0.49164082524893526</v>
      </c>
    </row>
    <row r="856" spans="1:13" x14ac:dyDescent="0.45">
      <c r="A856" s="2">
        <v>44690</v>
      </c>
      <c r="B856" s="1">
        <v>3745.4</v>
      </c>
      <c r="D856" s="2">
        <v>44690</v>
      </c>
      <c r="E856" s="1">
        <v>615.45000000000005</v>
      </c>
      <c r="G856" s="3">
        <v>20240000</v>
      </c>
      <c r="H856" s="3">
        <f t="shared" si="39"/>
        <v>75806896000</v>
      </c>
      <c r="J856" s="3">
        <v>238782786</v>
      </c>
      <c r="K856" s="3">
        <f t="shared" si="40"/>
        <v>146958865643.70001</v>
      </c>
      <c r="M856" s="4">
        <f t="shared" si="41"/>
        <v>0.48416248541416407</v>
      </c>
    </row>
    <row r="857" spans="1:13" x14ac:dyDescent="0.45">
      <c r="A857" s="2">
        <v>44687</v>
      </c>
      <c r="B857" s="1">
        <v>3757.9</v>
      </c>
      <c r="D857" s="2">
        <v>44687</v>
      </c>
      <c r="E857" s="1">
        <v>628.75</v>
      </c>
      <c r="G857" s="3">
        <v>20240000</v>
      </c>
      <c r="H857" s="3">
        <f t="shared" si="39"/>
        <v>76059896000</v>
      </c>
      <c r="J857" s="3">
        <v>238782786</v>
      </c>
      <c r="K857" s="3">
        <f t="shared" si="40"/>
        <v>150134676697.5</v>
      </c>
      <c r="M857" s="4">
        <f t="shared" si="41"/>
        <v>0.49338888474612785</v>
      </c>
    </row>
    <row r="858" spans="1:13" x14ac:dyDescent="0.45">
      <c r="A858" s="2">
        <v>44686</v>
      </c>
      <c r="B858" s="1">
        <v>3707.3</v>
      </c>
      <c r="D858" s="2">
        <v>44686</v>
      </c>
      <c r="E858" s="1">
        <v>630.20000000000005</v>
      </c>
      <c r="G858" s="3">
        <v>20240000</v>
      </c>
      <c r="H858" s="3">
        <f t="shared" si="39"/>
        <v>75035752000</v>
      </c>
      <c r="J858" s="3">
        <v>238782786</v>
      </c>
      <c r="K858" s="3">
        <f t="shared" si="40"/>
        <v>150480911737.20001</v>
      </c>
      <c r="M858" s="4">
        <f t="shared" si="41"/>
        <v>0.50136033112928968</v>
      </c>
    </row>
    <row r="859" spans="1:13" x14ac:dyDescent="0.45">
      <c r="A859" s="2">
        <v>44685</v>
      </c>
      <c r="B859" s="1">
        <v>3767.85</v>
      </c>
      <c r="D859" s="2">
        <v>44685</v>
      </c>
      <c r="E859" s="1">
        <v>627.4</v>
      </c>
      <c r="G859" s="3">
        <v>20240000</v>
      </c>
      <c r="H859" s="3">
        <f t="shared" si="39"/>
        <v>76261284000</v>
      </c>
      <c r="J859" s="3">
        <v>238782786</v>
      </c>
      <c r="K859" s="3">
        <f t="shared" si="40"/>
        <v>149812319936.39999</v>
      </c>
      <c r="M859" s="4">
        <f t="shared" si="41"/>
        <v>0.49095452208219392</v>
      </c>
    </row>
    <row r="860" spans="1:13" x14ac:dyDescent="0.45">
      <c r="A860" s="2">
        <v>44683</v>
      </c>
      <c r="B860" s="1">
        <v>3879.3</v>
      </c>
      <c r="D860" s="2">
        <v>44683</v>
      </c>
      <c r="E860" s="1">
        <v>648.85</v>
      </c>
      <c r="G860" s="3">
        <v>20240000</v>
      </c>
      <c r="H860" s="3">
        <f t="shared" si="39"/>
        <v>78517032000</v>
      </c>
      <c r="J860" s="3">
        <v>238782786</v>
      </c>
      <c r="K860" s="3">
        <f t="shared" si="40"/>
        <v>154934210696.10001</v>
      </c>
      <c r="M860" s="4">
        <f t="shared" si="41"/>
        <v>0.49322340335789749</v>
      </c>
    </row>
    <row r="861" spans="1:13" x14ac:dyDescent="0.45">
      <c r="A861" s="2">
        <v>44680</v>
      </c>
      <c r="B861" s="1">
        <v>3824.2</v>
      </c>
      <c r="D861" s="2">
        <v>44680</v>
      </c>
      <c r="E861" s="1">
        <v>655.1</v>
      </c>
      <c r="G861" s="3">
        <v>20240000</v>
      </c>
      <c r="H861" s="3">
        <f t="shared" si="39"/>
        <v>77401808000</v>
      </c>
      <c r="J861" s="3">
        <v>238782786</v>
      </c>
      <c r="K861" s="3">
        <f t="shared" si="40"/>
        <v>156426603108.60001</v>
      </c>
      <c r="M861" s="4">
        <f t="shared" si="41"/>
        <v>0.50518769530357077</v>
      </c>
    </row>
    <row r="862" spans="1:13" x14ac:dyDescent="0.45">
      <c r="A862" s="2">
        <v>44679</v>
      </c>
      <c r="B862" s="1">
        <v>3840.85</v>
      </c>
      <c r="D862" s="2">
        <v>44679</v>
      </c>
      <c r="E862" s="1">
        <v>680.85</v>
      </c>
      <c r="G862" s="3">
        <v>20240000</v>
      </c>
      <c r="H862" s="3">
        <f t="shared" si="39"/>
        <v>77738804000</v>
      </c>
      <c r="J862" s="3">
        <v>238782786</v>
      </c>
      <c r="K862" s="3">
        <f t="shared" si="40"/>
        <v>162575259848.10001</v>
      </c>
      <c r="M862" s="4">
        <f t="shared" si="41"/>
        <v>0.52182881901813227</v>
      </c>
    </row>
    <row r="863" spans="1:13" x14ac:dyDescent="0.45">
      <c r="A863" s="2">
        <v>44678</v>
      </c>
      <c r="B863" s="1">
        <v>3818.05</v>
      </c>
      <c r="D863" s="2">
        <v>44678</v>
      </c>
      <c r="E863" s="1">
        <v>686.65</v>
      </c>
      <c r="G863" s="3">
        <v>20240000</v>
      </c>
      <c r="H863" s="3">
        <f t="shared" si="39"/>
        <v>77277332000</v>
      </c>
      <c r="J863" s="3">
        <v>238782786</v>
      </c>
      <c r="K863" s="3">
        <f t="shared" si="40"/>
        <v>163960200006.89999</v>
      </c>
      <c r="M863" s="4">
        <f t="shared" si="41"/>
        <v>0.52868237537678098</v>
      </c>
    </row>
    <row r="864" spans="1:13" x14ac:dyDescent="0.45">
      <c r="A864" s="2">
        <v>44677</v>
      </c>
      <c r="B864" s="1">
        <v>3822.7</v>
      </c>
      <c r="D864" s="2">
        <v>44677</v>
      </c>
      <c r="E864" s="1">
        <v>682.15</v>
      </c>
      <c r="G864" s="3">
        <v>20240000</v>
      </c>
      <c r="H864" s="3">
        <f t="shared" si="39"/>
        <v>77371448000</v>
      </c>
      <c r="J864" s="3">
        <v>238782786</v>
      </c>
      <c r="K864" s="3">
        <f t="shared" si="40"/>
        <v>162885677469.89999</v>
      </c>
      <c r="M864" s="4">
        <f t="shared" si="41"/>
        <v>0.52499538816543501</v>
      </c>
    </row>
    <row r="865" spans="1:13" x14ac:dyDescent="0.45">
      <c r="A865" s="2">
        <v>44676</v>
      </c>
      <c r="B865" s="1">
        <v>3719.55</v>
      </c>
      <c r="D865" s="2">
        <v>44676</v>
      </c>
      <c r="E865" s="1">
        <v>649.29999999999995</v>
      </c>
      <c r="G865" s="3">
        <v>20240000</v>
      </c>
      <c r="H865" s="3">
        <f t="shared" si="39"/>
        <v>75283692000</v>
      </c>
      <c r="J865" s="3">
        <v>238782786</v>
      </c>
      <c r="K865" s="3">
        <f t="shared" si="40"/>
        <v>155041662949.79999</v>
      </c>
      <c r="M865" s="4">
        <f t="shared" si="41"/>
        <v>0.51442927941004046</v>
      </c>
    </row>
    <row r="866" spans="1:13" x14ac:dyDescent="0.45">
      <c r="A866" s="2">
        <v>44673</v>
      </c>
      <c r="B866" s="1">
        <v>3690</v>
      </c>
      <c r="D866" s="2">
        <v>44673</v>
      </c>
      <c r="E866" s="1">
        <v>645.04999999999995</v>
      </c>
      <c r="G866" s="3">
        <v>20240000</v>
      </c>
      <c r="H866" s="3">
        <f t="shared" si="39"/>
        <v>74685600000</v>
      </c>
      <c r="J866" s="3">
        <v>238782786</v>
      </c>
      <c r="K866" s="3">
        <f t="shared" si="40"/>
        <v>154026836109.29999</v>
      </c>
      <c r="M866" s="4">
        <f t="shared" si="41"/>
        <v>0.51511306804353318</v>
      </c>
    </row>
    <row r="867" spans="1:13" x14ac:dyDescent="0.45">
      <c r="A867" s="2">
        <v>44672</v>
      </c>
      <c r="B867" s="1">
        <v>3664.5</v>
      </c>
      <c r="D867" s="2">
        <v>44672</v>
      </c>
      <c r="E867" s="1">
        <v>658.1</v>
      </c>
      <c r="G867" s="3">
        <v>20240000</v>
      </c>
      <c r="H867" s="3">
        <f t="shared" si="39"/>
        <v>74169480000</v>
      </c>
      <c r="J867" s="3">
        <v>238782786</v>
      </c>
      <c r="K867" s="3">
        <f t="shared" si="40"/>
        <v>157142951466.60001</v>
      </c>
      <c r="M867" s="4">
        <f t="shared" si="41"/>
        <v>0.528012683306611</v>
      </c>
    </row>
    <row r="868" spans="1:13" x14ac:dyDescent="0.45">
      <c r="A868" s="2">
        <v>44671</v>
      </c>
      <c r="B868" s="1">
        <v>3632.7</v>
      </c>
      <c r="D868" s="2">
        <v>44671</v>
      </c>
      <c r="E868" s="1">
        <v>651.70000000000005</v>
      </c>
      <c r="G868" s="3">
        <v>20240000</v>
      </c>
      <c r="H868" s="3">
        <f t="shared" si="39"/>
        <v>73525848000</v>
      </c>
      <c r="J868" s="3">
        <v>238782786</v>
      </c>
      <c r="K868" s="3">
        <f t="shared" si="40"/>
        <v>155614741636.20001</v>
      </c>
      <c r="M868" s="4">
        <f t="shared" si="41"/>
        <v>0.52751360682851922</v>
      </c>
    </row>
    <row r="869" spans="1:13" x14ac:dyDescent="0.45">
      <c r="A869" s="2">
        <v>44670</v>
      </c>
      <c r="B869" s="1">
        <v>3609.15</v>
      </c>
      <c r="D869" s="2">
        <v>44670</v>
      </c>
      <c r="E869" s="1">
        <v>639.85</v>
      </c>
      <c r="G869" s="3">
        <v>20240000</v>
      </c>
      <c r="H869" s="3">
        <f t="shared" si="39"/>
        <v>73049196000</v>
      </c>
      <c r="J869" s="3">
        <v>238782786</v>
      </c>
      <c r="K869" s="3">
        <f t="shared" si="40"/>
        <v>152785165622.10001</v>
      </c>
      <c r="M869" s="4">
        <f t="shared" si="41"/>
        <v>0.52188292821123461</v>
      </c>
    </row>
    <row r="870" spans="1:13" x14ac:dyDescent="0.45">
      <c r="A870" s="2">
        <v>44669</v>
      </c>
      <c r="B870" s="1">
        <v>3695.45</v>
      </c>
      <c r="D870" s="2">
        <v>44669</v>
      </c>
      <c r="E870" s="1">
        <v>655.7</v>
      </c>
      <c r="G870" s="3">
        <v>20240000</v>
      </c>
      <c r="H870" s="3">
        <f t="shared" si="39"/>
        <v>74795908000</v>
      </c>
      <c r="J870" s="3">
        <v>238782786</v>
      </c>
      <c r="K870" s="3">
        <f t="shared" si="40"/>
        <v>156569872780.20001</v>
      </c>
      <c r="M870" s="4">
        <f t="shared" si="41"/>
        <v>0.5222841618770302</v>
      </c>
    </row>
    <row r="871" spans="1:13" x14ac:dyDescent="0.45">
      <c r="A871" s="2">
        <v>44664</v>
      </c>
      <c r="B871" s="1">
        <v>3683.15</v>
      </c>
      <c r="D871" s="2">
        <v>44664</v>
      </c>
      <c r="E871" s="1">
        <v>649.95000000000005</v>
      </c>
      <c r="G871" s="3">
        <v>20240000</v>
      </c>
      <c r="H871" s="3">
        <f t="shared" si="39"/>
        <v>74546956000</v>
      </c>
      <c r="J871" s="3">
        <v>238782786</v>
      </c>
      <c r="K871" s="3">
        <f t="shared" si="40"/>
        <v>155196871760.70001</v>
      </c>
      <c r="M871" s="4">
        <f t="shared" si="41"/>
        <v>0.51966199347790409</v>
      </c>
    </row>
    <row r="872" spans="1:13" x14ac:dyDescent="0.45">
      <c r="A872" s="2">
        <v>44663</v>
      </c>
      <c r="B872" s="1">
        <v>3642.05</v>
      </c>
      <c r="D872" s="2">
        <v>44663</v>
      </c>
      <c r="E872" s="1">
        <v>650.04999999999995</v>
      </c>
      <c r="G872" s="3">
        <v>20240000</v>
      </c>
      <c r="H872" s="3">
        <f t="shared" si="39"/>
        <v>73715092000</v>
      </c>
      <c r="J872" s="3">
        <v>238782786</v>
      </c>
      <c r="K872" s="3">
        <f t="shared" si="40"/>
        <v>155220750039.29999</v>
      </c>
      <c r="M872" s="4">
        <f t="shared" si="41"/>
        <v>0.52509511787994678</v>
      </c>
    </row>
    <row r="873" spans="1:13" x14ac:dyDescent="0.45">
      <c r="A873" s="2">
        <v>44662</v>
      </c>
      <c r="B873" s="1">
        <v>3669.4</v>
      </c>
      <c r="D873" s="2">
        <v>44662</v>
      </c>
      <c r="E873" s="1">
        <v>650.35</v>
      </c>
      <c r="G873" s="3">
        <v>20240000</v>
      </c>
      <c r="H873" s="3">
        <f t="shared" si="39"/>
        <v>74268656000</v>
      </c>
      <c r="J873" s="3">
        <v>238782786</v>
      </c>
      <c r="K873" s="3">
        <f t="shared" si="40"/>
        <v>155292384875.10001</v>
      </c>
      <c r="M873" s="4">
        <f t="shared" si="41"/>
        <v>0.52174953034732852</v>
      </c>
    </row>
    <row r="874" spans="1:13" x14ac:dyDescent="0.45">
      <c r="A874" s="2">
        <v>44659</v>
      </c>
      <c r="B874" s="1">
        <v>3675.5</v>
      </c>
      <c r="D874" s="2">
        <v>44659</v>
      </c>
      <c r="E874" s="1">
        <v>653.29999999999995</v>
      </c>
      <c r="G874" s="3">
        <v>20240000</v>
      </c>
      <c r="H874" s="3">
        <f t="shared" si="39"/>
        <v>74392120000</v>
      </c>
      <c r="J874" s="3">
        <v>238782786</v>
      </c>
      <c r="K874" s="3">
        <f t="shared" si="40"/>
        <v>155996794093.79999</v>
      </c>
      <c r="M874" s="4">
        <f t="shared" si="41"/>
        <v>0.52311763564020142</v>
      </c>
    </row>
    <row r="875" spans="1:13" x14ac:dyDescent="0.45">
      <c r="A875" s="2">
        <v>44658</v>
      </c>
      <c r="B875" s="1">
        <v>3702.15</v>
      </c>
      <c r="D875" s="2">
        <v>44658</v>
      </c>
      <c r="E875" s="1">
        <v>637.4</v>
      </c>
      <c r="G875" s="3">
        <v>20240000</v>
      </c>
      <c r="H875" s="3">
        <f t="shared" si="39"/>
        <v>74931516000</v>
      </c>
      <c r="J875" s="3">
        <v>238782786</v>
      </c>
      <c r="K875" s="3">
        <f t="shared" si="40"/>
        <v>152200147796.39999</v>
      </c>
      <c r="M875" s="4">
        <f t="shared" si="41"/>
        <v>0.50767777111335788</v>
      </c>
    </row>
    <row r="876" spans="1:13" x14ac:dyDescent="0.45">
      <c r="A876" s="2">
        <v>44657</v>
      </c>
      <c r="B876" s="1">
        <v>3702.25</v>
      </c>
      <c r="D876" s="2">
        <v>44657</v>
      </c>
      <c r="E876" s="1">
        <v>647.85</v>
      </c>
      <c r="G876" s="3">
        <v>20240000</v>
      </c>
      <c r="H876" s="3">
        <f t="shared" si="39"/>
        <v>74933540000</v>
      </c>
      <c r="J876" s="3">
        <v>238782786</v>
      </c>
      <c r="K876" s="3">
        <f t="shared" si="40"/>
        <v>154695427910.10001</v>
      </c>
      <c r="M876" s="4">
        <f t="shared" si="41"/>
        <v>0.51560598129928559</v>
      </c>
    </row>
    <row r="877" spans="1:13" x14ac:dyDescent="0.45">
      <c r="A877" s="2">
        <v>44656</v>
      </c>
      <c r="B877" s="1">
        <v>3607.65</v>
      </c>
      <c r="D877" s="2">
        <v>44656</v>
      </c>
      <c r="E877" s="1">
        <v>635.75</v>
      </c>
      <c r="G877" s="3">
        <v>20240000</v>
      </c>
      <c r="H877" s="3">
        <f t="shared" si="39"/>
        <v>73018836000</v>
      </c>
      <c r="J877" s="3">
        <v>238782786</v>
      </c>
      <c r="K877" s="3">
        <f t="shared" si="40"/>
        <v>151806156199.5</v>
      </c>
      <c r="M877" s="4">
        <f t="shared" si="41"/>
        <v>0.51899950681815299</v>
      </c>
    </row>
    <row r="878" spans="1:13" x14ac:dyDescent="0.45">
      <c r="A878" s="2">
        <v>44655</v>
      </c>
      <c r="B878" s="1">
        <v>3625.05</v>
      </c>
      <c r="D878" s="2">
        <v>44655</v>
      </c>
      <c r="E878" s="1">
        <v>632.75</v>
      </c>
      <c r="G878" s="3">
        <v>20240000</v>
      </c>
      <c r="H878" s="3">
        <f t="shared" si="39"/>
        <v>73371012000</v>
      </c>
      <c r="J878" s="3">
        <v>238782786</v>
      </c>
      <c r="K878" s="3">
        <f t="shared" si="40"/>
        <v>151089807841.5</v>
      </c>
      <c r="M878" s="4">
        <f t="shared" si="41"/>
        <v>0.51438807787107987</v>
      </c>
    </row>
    <row r="879" spans="1:13" x14ac:dyDescent="0.45">
      <c r="A879" s="2">
        <v>44652</v>
      </c>
      <c r="B879" s="1">
        <v>3617.3</v>
      </c>
      <c r="D879" s="2">
        <v>44652</v>
      </c>
      <c r="E879" s="1">
        <v>628.85</v>
      </c>
      <c r="G879" s="3">
        <v>20240000</v>
      </c>
      <c r="H879" s="3">
        <f t="shared" si="39"/>
        <v>73214152000</v>
      </c>
      <c r="J879" s="3">
        <v>238782786</v>
      </c>
      <c r="K879" s="3">
        <f t="shared" si="40"/>
        <v>150158554976.10001</v>
      </c>
      <c r="M879" s="4">
        <f t="shared" si="41"/>
        <v>0.51242104046850256</v>
      </c>
    </row>
    <row r="880" spans="1:13" x14ac:dyDescent="0.45">
      <c r="A880" s="2">
        <v>44651</v>
      </c>
      <c r="B880" s="1">
        <v>3577.85</v>
      </c>
      <c r="D880" s="2">
        <v>44651</v>
      </c>
      <c r="E880" s="1">
        <v>625.65</v>
      </c>
      <c r="G880" s="3">
        <v>20240000</v>
      </c>
      <c r="H880" s="3">
        <f t="shared" si="39"/>
        <v>72415684000</v>
      </c>
      <c r="J880" s="3">
        <v>248282786</v>
      </c>
      <c r="K880" s="3">
        <f t="shared" si="40"/>
        <v>155338125060.89999</v>
      </c>
      <c r="M880" s="4">
        <f t="shared" si="41"/>
        <v>0.53381899020855583</v>
      </c>
    </row>
    <row r="881" spans="1:13" x14ac:dyDescent="0.45">
      <c r="A881" s="2">
        <v>44650</v>
      </c>
      <c r="B881" s="1">
        <v>3608.35</v>
      </c>
      <c r="D881" s="2">
        <v>44650</v>
      </c>
      <c r="E881" s="1">
        <v>622.25</v>
      </c>
      <c r="G881" s="3">
        <v>20240000</v>
      </c>
      <c r="H881" s="3">
        <f t="shared" si="39"/>
        <v>73033004000</v>
      </c>
      <c r="J881" s="3">
        <v>248282786</v>
      </c>
      <c r="K881" s="3">
        <f t="shared" si="40"/>
        <v>154493963588.5</v>
      </c>
      <c r="M881" s="4">
        <f t="shared" si="41"/>
        <v>0.52727600287008025</v>
      </c>
    </row>
    <row r="882" spans="1:13" x14ac:dyDescent="0.45">
      <c r="A882" s="2">
        <v>44649</v>
      </c>
      <c r="B882" s="1">
        <v>3662.8</v>
      </c>
      <c r="D882" s="2">
        <v>44649</v>
      </c>
      <c r="E882" s="1">
        <v>612.6</v>
      </c>
      <c r="G882" s="3">
        <v>20240000</v>
      </c>
      <c r="H882" s="3">
        <f t="shared" si="39"/>
        <v>74135072000</v>
      </c>
      <c r="J882" s="3">
        <v>248282786</v>
      </c>
      <c r="K882" s="3">
        <f t="shared" si="40"/>
        <v>152098034703.60001</v>
      </c>
      <c r="M882" s="4">
        <f t="shared" si="41"/>
        <v>0.5125836297328219</v>
      </c>
    </row>
    <row r="883" spans="1:13" x14ac:dyDescent="0.45">
      <c r="A883" s="2">
        <v>44648</v>
      </c>
      <c r="B883" s="1">
        <v>3665.6</v>
      </c>
      <c r="D883" s="2">
        <v>44648</v>
      </c>
      <c r="E883" s="1">
        <v>607.25</v>
      </c>
      <c r="G883" s="3">
        <v>20240000</v>
      </c>
      <c r="H883" s="3">
        <f t="shared" si="39"/>
        <v>74191744000</v>
      </c>
      <c r="J883" s="3">
        <v>248282786</v>
      </c>
      <c r="K883" s="3">
        <f t="shared" si="40"/>
        <v>150769721798.5</v>
      </c>
      <c r="M883" s="4">
        <f t="shared" si="41"/>
        <v>0.50791350468129515</v>
      </c>
    </row>
    <row r="884" spans="1:13" x14ac:dyDescent="0.45">
      <c r="A884" s="2">
        <v>44645</v>
      </c>
      <c r="B884" s="1">
        <v>3684.85</v>
      </c>
      <c r="D884" s="2">
        <v>44645</v>
      </c>
      <c r="E884" s="1">
        <v>602.85</v>
      </c>
      <c r="G884" s="3">
        <v>20240000</v>
      </c>
      <c r="H884" s="3">
        <f t="shared" si="39"/>
        <v>74581364000</v>
      </c>
      <c r="J884" s="3">
        <v>248282786</v>
      </c>
      <c r="K884" s="3">
        <f t="shared" si="40"/>
        <v>149677277540.10001</v>
      </c>
      <c r="M884" s="4">
        <f t="shared" si="41"/>
        <v>0.50171886323881776</v>
      </c>
    </row>
    <row r="885" spans="1:13" x14ac:dyDescent="0.45">
      <c r="A885" s="2">
        <v>44644</v>
      </c>
      <c r="B885" s="1">
        <v>3651.35</v>
      </c>
      <c r="D885" s="2">
        <v>44644</v>
      </c>
      <c r="E885" s="1">
        <v>608.75</v>
      </c>
      <c r="G885" s="3">
        <v>20240000</v>
      </c>
      <c r="H885" s="3">
        <f t="shared" si="39"/>
        <v>73903324000</v>
      </c>
      <c r="J885" s="3">
        <v>248282786</v>
      </c>
      <c r="K885" s="3">
        <f t="shared" si="40"/>
        <v>151142145977.5</v>
      </c>
      <c r="M885" s="4">
        <f t="shared" si="41"/>
        <v>0.5110343079884434</v>
      </c>
    </row>
    <row r="886" spans="1:13" x14ac:dyDescent="0.45">
      <c r="A886" s="2">
        <v>44643</v>
      </c>
      <c r="B886" s="1">
        <v>3600.3</v>
      </c>
      <c r="D886" s="2">
        <v>44643</v>
      </c>
      <c r="E886" s="1">
        <v>610.79999999999995</v>
      </c>
      <c r="G886" s="3">
        <v>20240000</v>
      </c>
      <c r="H886" s="3">
        <f t="shared" si="39"/>
        <v>72870072000</v>
      </c>
      <c r="J886" s="3">
        <v>248282786</v>
      </c>
      <c r="K886" s="3">
        <f t="shared" si="40"/>
        <v>151651125688.79999</v>
      </c>
      <c r="M886" s="4">
        <f t="shared" si="41"/>
        <v>0.5194887497931594</v>
      </c>
    </row>
    <row r="887" spans="1:13" x14ac:dyDescent="0.45">
      <c r="A887" s="2">
        <v>44642</v>
      </c>
      <c r="B887" s="1">
        <v>3586.4</v>
      </c>
      <c r="D887" s="2">
        <v>44642</v>
      </c>
      <c r="E887" s="1">
        <v>612.65</v>
      </c>
      <c r="G887" s="3">
        <v>20240000</v>
      </c>
      <c r="H887" s="3">
        <f t="shared" si="39"/>
        <v>72588736000</v>
      </c>
      <c r="J887" s="3">
        <v>248282786</v>
      </c>
      <c r="K887" s="3">
        <f t="shared" si="40"/>
        <v>152110448842.89999</v>
      </c>
      <c r="M887" s="4">
        <f t="shared" si="41"/>
        <v>0.52278928533719726</v>
      </c>
    </row>
    <row r="888" spans="1:13" x14ac:dyDescent="0.45">
      <c r="A888" s="2">
        <v>44641</v>
      </c>
      <c r="B888" s="1">
        <v>3648.5</v>
      </c>
      <c r="D888" s="2">
        <v>44641</v>
      </c>
      <c r="E888" s="1">
        <v>609</v>
      </c>
      <c r="G888" s="3">
        <v>20240000</v>
      </c>
      <c r="H888" s="3">
        <f t="shared" si="39"/>
        <v>73845640000</v>
      </c>
      <c r="J888" s="3">
        <v>248282786</v>
      </c>
      <c r="K888" s="3">
        <f t="shared" si="40"/>
        <v>151204216674</v>
      </c>
      <c r="M888" s="4">
        <f t="shared" si="41"/>
        <v>0.51161653011825048</v>
      </c>
    </row>
    <row r="889" spans="1:13" x14ac:dyDescent="0.45">
      <c r="A889" s="2">
        <v>44637</v>
      </c>
      <c r="B889" s="1">
        <v>3624.6</v>
      </c>
      <c r="D889" s="2">
        <v>44637</v>
      </c>
      <c r="E889" s="1">
        <v>611.5</v>
      </c>
      <c r="G889" s="3">
        <v>20240000</v>
      </c>
      <c r="H889" s="3">
        <f t="shared" si="39"/>
        <v>73361904000</v>
      </c>
      <c r="J889" s="3">
        <v>248282786</v>
      </c>
      <c r="K889" s="3">
        <f t="shared" si="40"/>
        <v>151824923639</v>
      </c>
      <c r="M889" s="4">
        <f t="shared" si="41"/>
        <v>0.51679933543430967</v>
      </c>
    </row>
    <row r="890" spans="1:13" x14ac:dyDescent="0.45">
      <c r="A890" s="2">
        <v>44636</v>
      </c>
      <c r="B890" s="1">
        <v>3594.05</v>
      </c>
      <c r="D890" s="2">
        <v>44636</v>
      </c>
      <c r="E890" s="1">
        <v>609.75</v>
      </c>
      <c r="G890" s="3">
        <v>20240000</v>
      </c>
      <c r="H890" s="3">
        <f t="shared" si="39"/>
        <v>72743572000</v>
      </c>
      <c r="J890" s="3">
        <v>248282786</v>
      </c>
      <c r="K890" s="3">
        <f t="shared" si="40"/>
        <v>151390428763.5</v>
      </c>
      <c r="M890" s="4">
        <f t="shared" si="41"/>
        <v>0.51949688897678614</v>
      </c>
    </row>
    <row r="891" spans="1:13" x14ac:dyDescent="0.45">
      <c r="A891" s="2">
        <v>44635</v>
      </c>
      <c r="B891" s="1">
        <v>3601.1</v>
      </c>
      <c r="D891" s="2">
        <v>44635</v>
      </c>
      <c r="E891" s="1">
        <v>594.75</v>
      </c>
      <c r="G891" s="3">
        <v>20240000</v>
      </c>
      <c r="H891" s="3">
        <f t="shared" si="39"/>
        <v>72886264000</v>
      </c>
      <c r="J891" s="3">
        <v>248282786</v>
      </c>
      <c r="K891" s="3">
        <f t="shared" si="40"/>
        <v>147666186973.5</v>
      </c>
      <c r="M891" s="4">
        <f t="shared" si="41"/>
        <v>0.50641195866268229</v>
      </c>
    </row>
    <row r="892" spans="1:13" x14ac:dyDescent="0.45">
      <c r="A892" s="2">
        <v>44634</v>
      </c>
      <c r="B892" s="1">
        <v>3593.2</v>
      </c>
      <c r="D892" s="2">
        <v>44634</v>
      </c>
      <c r="E892" s="1">
        <v>592.54999999999995</v>
      </c>
      <c r="G892" s="3">
        <v>20240000</v>
      </c>
      <c r="H892" s="3">
        <f t="shared" si="39"/>
        <v>72726368000</v>
      </c>
      <c r="J892" s="3">
        <v>248282786</v>
      </c>
      <c r="K892" s="3">
        <f t="shared" si="40"/>
        <v>147119964844.29999</v>
      </c>
      <c r="M892" s="4">
        <f t="shared" si="41"/>
        <v>0.50566622227671298</v>
      </c>
    </row>
    <row r="893" spans="1:13" x14ac:dyDescent="0.45">
      <c r="A893" s="2">
        <v>44631</v>
      </c>
      <c r="B893" s="1">
        <v>3592.9</v>
      </c>
      <c r="D893" s="2">
        <v>44631</v>
      </c>
      <c r="E893" s="1">
        <v>581.5</v>
      </c>
      <c r="G893" s="3">
        <v>20240000</v>
      </c>
      <c r="H893" s="3">
        <f t="shared" si="39"/>
        <v>72720296000</v>
      </c>
      <c r="J893" s="3">
        <v>248282786</v>
      </c>
      <c r="K893" s="3">
        <f t="shared" si="40"/>
        <v>144376440059</v>
      </c>
      <c r="M893" s="4">
        <f t="shared" si="41"/>
        <v>0.49631466207171637</v>
      </c>
    </row>
    <row r="894" spans="1:13" x14ac:dyDescent="0.45">
      <c r="A894" s="2">
        <v>44630</v>
      </c>
      <c r="B894" s="1">
        <v>3599.75</v>
      </c>
      <c r="D894" s="2">
        <v>44630</v>
      </c>
      <c r="E894" s="1">
        <v>566.70000000000005</v>
      </c>
      <c r="G894" s="3">
        <v>20240000</v>
      </c>
      <c r="H894" s="3">
        <f t="shared" si="39"/>
        <v>72858940000</v>
      </c>
      <c r="J894" s="3">
        <v>248282786</v>
      </c>
      <c r="K894" s="3">
        <f t="shared" si="40"/>
        <v>140701854826.20001</v>
      </c>
      <c r="M894" s="4">
        <f t="shared" si="41"/>
        <v>0.48217498561054517</v>
      </c>
    </row>
    <row r="895" spans="1:13" x14ac:dyDescent="0.45">
      <c r="A895" s="2">
        <v>44629</v>
      </c>
      <c r="B895" s="1">
        <v>3596.6</v>
      </c>
      <c r="D895" s="2">
        <v>44629</v>
      </c>
      <c r="E895" s="1">
        <v>555.54999999999995</v>
      </c>
      <c r="G895" s="3">
        <v>20240000</v>
      </c>
      <c r="H895" s="3">
        <f t="shared" si="39"/>
        <v>72795184000</v>
      </c>
      <c r="J895" s="3">
        <v>248282786</v>
      </c>
      <c r="K895" s="3">
        <f t="shared" si="40"/>
        <v>137933501762.29999</v>
      </c>
      <c r="M895" s="4">
        <f t="shared" si="41"/>
        <v>0.4722443563750921</v>
      </c>
    </row>
    <row r="896" spans="1:13" x14ac:dyDescent="0.45">
      <c r="A896" s="2">
        <v>44628</v>
      </c>
      <c r="B896" s="1">
        <v>3604.85</v>
      </c>
      <c r="D896" s="2">
        <v>44628</v>
      </c>
      <c r="E896" s="1">
        <v>534.79999999999995</v>
      </c>
      <c r="G896" s="3">
        <v>20240000</v>
      </c>
      <c r="H896" s="3">
        <f t="shared" si="39"/>
        <v>72962164000</v>
      </c>
      <c r="J896" s="3">
        <v>248282786</v>
      </c>
      <c r="K896" s="3">
        <f t="shared" si="40"/>
        <v>132781633952.79999</v>
      </c>
      <c r="M896" s="4">
        <f t="shared" si="41"/>
        <v>0.45051012080529207</v>
      </c>
    </row>
    <row r="897" spans="1:13" x14ac:dyDescent="0.45">
      <c r="A897" s="2">
        <v>44627</v>
      </c>
      <c r="B897" s="1">
        <v>3602.8</v>
      </c>
      <c r="D897" s="2">
        <v>44627</v>
      </c>
      <c r="E897" s="1">
        <v>529.35</v>
      </c>
      <c r="G897" s="3">
        <v>20240000</v>
      </c>
      <c r="H897" s="3">
        <f t="shared" si="39"/>
        <v>72920672000</v>
      </c>
      <c r="J897" s="3">
        <v>248282786</v>
      </c>
      <c r="K897" s="3">
        <f t="shared" si="40"/>
        <v>131428492769.10001</v>
      </c>
      <c r="M897" s="4">
        <f t="shared" si="41"/>
        <v>0.44516846793555942</v>
      </c>
    </row>
    <row r="898" spans="1:13" x14ac:dyDescent="0.45">
      <c r="A898" s="2">
        <v>44624</v>
      </c>
      <c r="B898" s="1">
        <v>3658.9</v>
      </c>
      <c r="D898" s="2">
        <v>44624</v>
      </c>
      <c r="E898" s="1">
        <v>555.04999999999995</v>
      </c>
      <c r="G898" s="3">
        <v>20240000</v>
      </c>
      <c r="H898" s="3">
        <f t="shared" si="39"/>
        <v>74056136000</v>
      </c>
      <c r="J898" s="3">
        <v>248282786</v>
      </c>
      <c r="K898" s="3">
        <f t="shared" si="40"/>
        <v>137809360369.29999</v>
      </c>
      <c r="M898" s="4">
        <f t="shared" si="41"/>
        <v>0.46261897013711406</v>
      </c>
    </row>
    <row r="899" spans="1:13" x14ac:dyDescent="0.45">
      <c r="A899" s="2">
        <v>44623</v>
      </c>
      <c r="B899" s="1">
        <v>3734.3</v>
      </c>
      <c r="D899" s="2">
        <v>44623</v>
      </c>
      <c r="E899" s="1">
        <v>585.4</v>
      </c>
      <c r="G899" s="3">
        <v>20240000</v>
      </c>
      <c r="H899" s="3">
        <f t="shared" si="39"/>
        <v>75582232000</v>
      </c>
      <c r="J899" s="3">
        <v>248282786</v>
      </c>
      <c r="K899" s="3">
        <f t="shared" si="40"/>
        <v>145344742924.39999</v>
      </c>
      <c r="M899" s="4">
        <f t="shared" si="41"/>
        <v>0.479979595551567</v>
      </c>
    </row>
    <row r="900" spans="1:13" x14ac:dyDescent="0.45">
      <c r="A900" s="2">
        <v>44622</v>
      </c>
      <c r="B900" s="1">
        <v>3844.25</v>
      </c>
      <c r="D900" s="2">
        <v>44622</v>
      </c>
      <c r="E900" s="1">
        <v>597.75</v>
      </c>
      <c r="G900" s="3">
        <v>20240000</v>
      </c>
      <c r="H900" s="3">
        <f t="shared" ref="H900:H963" si="42">+G900*B900</f>
        <v>77807620000</v>
      </c>
      <c r="J900" s="3">
        <v>248282786</v>
      </c>
      <c r="K900" s="3">
        <f t="shared" ref="K900:K963" si="43">+J900*E900</f>
        <v>148411035331.5</v>
      </c>
      <c r="M900" s="4">
        <f t="shared" ref="M900:M963" si="44">1- (H900/K900)</f>
        <v>0.47572887807025854</v>
      </c>
    </row>
    <row r="901" spans="1:13" x14ac:dyDescent="0.45">
      <c r="A901" s="2">
        <v>44620</v>
      </c>
      <c r="B901" s="1">
        <v>3904.25</v>
      </c>
      <c r="D901" s="2">
        <v>44620</v>
      </c>
      <c r="E901" s="1">
        <v>617.75</v>
      </c>
      <c r="G901" s="3">
        <v>20240000</v>
      </c>
      <c r="H901" s="3">
        <f t="shared" si="42"/>
        <v>79022020000</v>
      </c>
      <c r="J901" s="3">
        <v>248282786</v>
      </c>
      <c r="K901" s="3">
        <f t="shared" si="43"/>
        <v>153376691051.5</v>
      </c>
      <c r="M901" s="4">
        <f t="shared" si="44"/>
        <v>0.48478468626327054</v>
      </c>
    </row>
    <row r="902" spans="1:13" x14ac:dyDescent="0.45">
      <c r="A902" s="2">
        <v>44617</v>
      </c>
      <c r="B902" s="1">
        <v>3766.4</v>
      </c>
      <c r="D902" s="2">
        <v>44617</v>
      </c>
      <c r="E902" s="1">
        <v>631.79999999999995</v>
      </c>
      <c r="G902" s="3">
        <v>20240000</v>
      </c>
      <c r="H902" s="3">
        <f t="shared" si="42"/>
        <v>76231936000</v>
      </c>
      <c r="J902" s="3">
        <v>248282786</v>
      </c>
      <c r="K902" s="3">
        <f t="shared" si="43"/>
        <v>156865064194.79999</v>
      </c>
      <c r="M902" s="4">
        <f t="shared" si="44"/>
        <v>0.5140285927188174</v>
      </c>
    </row>
    <row r="903" spans="1:13" x14ac:dyDescent="0.45">
      <c r="A903" s="2">
        <v>44616</v>
      </c>
      <c r="B903" s="1">
        <v>3642.3</v>
      </c>
      <c r="D903" s="2">
        <v>44616</v>
      </c>
      <c r="E903" s="1">
        <v>619.4</v>
      </c>
      <c r="G903" s="3">
        <v>20240000</v>
      </c>
      <c r="H903" s="3">
        <f t="shared" si="42"/>
        <v>73720152000</v>
      </c>
      <c r="J903" s="3">
        <v>248282786</v>
      </c>
      <c r="K903" s="3">
        <f t="shared" si="43"/>
        <v>153786357648.39999</v>
      </c>
      <c r="M903" s="4">
        <f t="shared" si="44"/>
        <v>0.52063269377544175</v>
      </c>
    </row>
    <row r="904" spans="1:13" x14ac:dyDescent="0.45">
      <c r="A904" s="2">
        <v>44615</v>
      </c>
      <c r="B904" s="1">
        <v>3802.25</v>
      </c>
      <c r="D904" s="2">
        <v>44615</v>
      </c>
      <c r="E904" s="1">
        <v>651.35</v>
      </c>
      <c r="G904" s="3">
        <v>20240000</v>
      </c>
      <c r="H904" s="3">
        <f t="shared" si="42"/>
        <v>76957540000</v>
      </c>
      <c r="J904" s="3">
        <v>248282786</v>
      </c>
      <c r="K904" s="3">
        <f t="shared" si="43"/>
        <v>161718992661.10001</v>
      </c>
      <c r="M904" s="4">
        <f t="shared" si="44"/>
        <v>0.52412800294104589</v>
      </c>
    </row>
    <row r="905" spans="1:13" x14ac:dyDescent="0.45">
      <c r="A905" s="2">
        <v>44614</v>
      </c>
      <c r="B905" s="1">
        <v>3804.4</v>
      </c>
      <c r="D905" s="2">
        <v>44614</v>
      </c>
      <c r="E905" s="1">
        <v>662.25</v>
      </c>
      <c r="G905" s="3">
        <v>20240000</v>
      </c>
      <c r="H905" s="3">
        <f t="shared" si="42"/>
        <v>77001056000</v>
      </c>
      <c r="J905" s="3">
        <v>248282786</v>
      </c>
      <c r="K905" s="3">
        <f t="shared" si="43"/>
        <v>164425275028.5</v>
      </c>
      <c r="M905" s="4">
        <f t="shared" si="44"/>
        <v>0.53169574454624857</v>
      </c>
    </row>
    <row r="906" spans="1:13" x14ac:dyDescent="0.45">
      <c r="A906" s="2">
        <v>44613</v>
      </c>
      <c r="B906" s="1">
        <v>3826.25</v>
      </c>
      <c r="D906" s="2">
        <v>44613</v>
      </c>
      <c r="E906" s="1">
        <v>658.1</v>
      </c>
      <c r="G906" s="3">
        <v>20240000</v>
      </c>
      <c r="H906" s="3">
        <f t="shared" si="42"/>
        <v>77443300000</v>
      </c>
      <c r="J906" s="3">
        <v>248282786</v>
      </c>
      <c r="K906" s="3">
        <f t="shared" si="43"/>
        <v>163394901466.60001</v>
      </c>
      <c r="M906" s="4">
        <f t="shared" si="44"/>
        <v>0.52603600660189276</v>
      </c>
    </row>
    <row r="907" spans="1:13" x14ac:dyDescent="0.45">
      <c r="A907" s="2">
        <v>44610</v>
      </c>
      <c r="B907" s="1">
        <v>3998</v>
      </c>
      <c r="D907" s="2">
        <v>44610</v>
      </c>
      <c r="E907" s="1">
        <v>663.9</v>
      </c>
      <c r="G907" s="3">
        <v>20240000</v>
      </c>
      <c r="H907" s="3">
        <f t="shared" si="42"/>
        <v>80919520000</v>
      </c>
      <c r="J907" s="3">
        <v>248282786</v>
      </c>
      <c r="K907" s="3">
        <f t="shared" si="43"/>
        <v>164834941625.39999</v>
      </c>
      <c r="M907" s="4">
        <f t="shared" si="44"/>
        <v>0.50908758056956271</v>
      </c>
    </row>
    <row r="908" spans="1:13" x14ac:dyDescent="0.45">
      <c r="A908" s="2">
        <v>44609</v>
      </c>
      <c r="B908" s="1">
        <v>4013.6</v>
      </c>
      <c r="D908" s="2">
        <v>44609</v>
      </c>
      <c r="E908" s="1">
        <v>671.4</v>
      </c>
      <c r="G908" s="3">
        <v>20240000</v>
      </c>
      <c r="H908" s="3">
        <f t="shared" si="42"/>
        <v>81235264000</v>
      </c>
      <c r="J908" s="3">
        <v>248282786</v>
      </c>
      <c r="K908" s="3">
        <f t="shared" si="43"/>
        <v>166697062520.39999</v>
      </c>
      <c r="M908" s="4">
        <f t="shared" si="44"/>
        <v>0.51267729153860397</v>
      </c>
    </row>
    <row r="909" spans="1:13" x14ac:dyDescent="0.45">
      <c r="A909" s="2">
        <v>44608</v>
      </c>
      <c r="B909" s="1">
        <v>4100.05</v>
      </c>
      <c r="D909" s="2">
        <v>44608</v>
      </c>
      <c r="E909" s="1">
        <v>665.05</v>
      </c>
      <c r="G909" s="3">
        <v>20240000</v>
      </c>
      <c r="H909" s="3">
        <f t="shared" si="42"/>
        <v>82985012000</v>
      </c>
      <c r="J909" s="3">
        <v>248282786</v>
      </c>
      <c r="K909" s="3">
        <f t="shared" si="43"/>
        <v>165120466829.29999</v>
      </c>
      <c r="M909" s="4">
        <f t="shared" si="44"/>
        <v>0.4974274625459415</v>
      </c>
    </row>
    <row r="910" spans="1:13" x14ac:dyDescent="0.45">
      <c r="A910" s="2">
        <v>44607</v>
      </c>
      <c r="B910" s="1">
        <v>4188.8</v>
      </c>
      <c r="D910" s="2">
        <v>44607</v>
      </c>
      <c r="E910" s="1">
        <v>663</v>
      </c>
      <c r="G910" s="3">
        <v>20240000</v>
      </c>
      <c r="H910" s="3">
        <f t="shared" si="42"/>
        <v>84781312000</v>
      </c>
      <c r="J910" s="3">
        <v>248282786</v>
      </c>
      <c r="K910" s="3">
        <f t="shared" si="43"/>
        <v>164611487118</v>
      </c>
      <c r="M910" s="4">
        <f t="shared" si="44"/>
        <v>0.48496114405900836</v>
      </c>
    </row>
    <row r="911" spans="1:13" x14ac:dyDescent="0.45">
      <c r="A911" s="2">
        <v>44606</v>
      </c>
      <c r="B911" s="1">
        <v>4115.3</v>
      </c>
      <c r="D911" s="2">
        <v>44606</v>
      </c>
      <c r="E911" s="1">
        <v>642.35</v>
      </c>
      <c r="G911" s="3">
        <v>20240000</v>
      </c>
      <c r="H911" s="3">
        <f t="shared" si="42"/>
        <v>83293672000</v>
      </c>
      <c r="J911" s="3">
        <v>248282786</v>
      </c>
      <c r="K911" s="3">
        <f t="shared" si="43"/>
        <v>159484447587.10001</v>
      </c>
      <c r="M911" s="4">
        <f t="shared" si="44"/>
        <v>0.47773169572217733</v>
      </c>
    </row>
    <row r="912" spans="1:13" x14ac:dyDescent="0.45">
      <c r="A912" s="2">
        <v>44603</v>
      </c>
      <c r="B912" s="1">
        <v>4101.7</v>
      </c>
      <c r="D912" s="2">
        <v>44603</v>
      </c>
      <c r="E912" s="1">
        <v>659.65</v>
      </c>
      <c r="G912" s="3">
        <v>20240000</v>
      </c>
      <c r="H912" s="3">
        <f t="shared" si="42"/>
        <v>83018408000</v>
      </c>
      <c r="J912" s="3">
        <v>248282786</v>
      </c>
      <c r="K912" s="3">
        <f t="shared" si="43"/>
        <v>163779739784.89999</v>
      </c>
      <c r="M912" s="4">
        <f t="shared" si="44"/>
        <v>0.49310941567600386</v>
      </c>
    </row>
    <row r="913" spans="1:13" x14ac:dyDescent="0.45">
      <c r="A913" s="2">
        <v>44602</v>
      </c>
      <c r="B913" s="1">
        <v>4056.6</v>
      </c>
      <c r="D913" s="2">
        <v>44602</v>
      </c>
      <c r="E913" s="1">
        <v>668.35</v>
      </c>
      <c r="G913" s="3">
        <v>20240000</v>
      </c>
      <c r="H913" s="3">
        <f t="shared" si="42"/>
        <v>82105584000</v>
      </c>
      <c r="J913" s="3">
        <v>248282786</v>
      </c>
      <c r="K913" s="3">
        <f t="shared" si="43"/>
        <v>165939800023.10001</v>
      </c>
      <c r="M913" s="4">
        <f t="shared" si="44"/>
        <v>0.505208611866651</v>
      </c>
    </row>
    <row r="914" spans="1:13" x14ac:dyDescent="0.45">
      <c r="A914" s="2">
        <v>44601</v>
      </c>
      <c r="B914" s="1">
        <v>4185.1000000000004</v>
      </c>
      <c r="D914" s="2">
        <v>44601</v>
      </c>
      <c r="E914" s="1">
        <v>659</v>
      </c>
      <c r="G914" s="3">
        <v>20240000</v>
      </c>
      <c r="H914" s="3">
        <f t="shared" si="42"/>
        <v>84706424000</v>
      </c>
      <c r="J914" s="3">
        <v>248282786</v>
      </c>
      <c r="K914" s="3">
        <f t="shared" si="43"/>
        <v>163618355974</v>
      </c>
      <c r="M914" s="4">
        <f t="shared" si="44"/>
        <v>0.48229265906167407</v>
      </c>
    </row>
    <row r="915" spans="1:13" x14ac:dyDescent="0.45">
      <c r="A915" s="2">
        <v>44600</v>
      </c>
      <c r="B915" s="1">
        <v>3963.5</v>
      </c>
      <c r="D915" s="2">
        <v>44600</v>
      </c>
      <c r="E915" s="1">
        <v>656</v>
      </c>
      <c r="G915" s="3">
        <v>20240000</v>
      </c>
      <c r="H915" s="3">
        <f t="shared" si="42"/>
        <v>80221240000</v>
      </c>
      <c r="J915" s="3">
        <v>248282786</v>
      </c>
      <c r="K915" s="3">
        <f t="shared" si="43"/>
        <v>162873507616</v>
      </c>
      <c r="M915" s="4">
        <f t="shared" si="44"/>
        <v>0.50746293136183795</v>
      </c>
    </row>
    <row r="916" spans="1:13" x14ac:dyDescent="0.45">
      <c r="A916" s="2">
        <v>44599</v>
      </c>
      <c r="B916" s="1">
        <v>3939.55</v>
      </c>
      <c r="D916" s="2">
        <v>44599</v>
      </c>
      <c r="E916" s="1">
        <v>636.79999999999995</v>
      </c>
      <c r="G916" s="3">
        <v>20240000</v>
      </c>
      <c r="H916" s="3">
        <f t="shared" si="42"/>
        <v>79736492000</v>
      </c>
      <c r="J916" s="3">
        <v>248282786</v>
      </c>
      <c r="K916" s="3">
        <f t="shared" si="43"/>
        <v>158106478124.79999</v>
      </c>
      <c r="M916" s="4">
        <f t="shared" si="44"/>
        <v>0.49567852661254852</v>
      </c>
    </row>
    <row r="917" spans="1:13" x14ac:dyDescent="0.45">
      <c r="A917" s="2">
        <v>44596</v>
      </c>
      <c r="B917" s="1">
        <v>3845</v>
      </c>
      <c r="D917" s="2">
        <v>44596</v>
      </c>
      <c r="E917" s="1">
        <v>652.95000000000005</v>
      </c>
      <c r="G917" s="3">
        <v>20240000</v>
      </c>
      <c r="H917" s="3">
        <f t="shared" si="42"/>
        <v>77822800000</v>
      </c>
      <c r="J917" s="3">
        <v>248282786</v>
      </c>
      <c r="K917" s="3">
        <f t="shared" si="43"/>
        <v>162116245118.70001</v>
      </c>
      <c r="M917" s="4">
        <f t="shared" si="44"/>
        <v>0.51995680665426924</v>
      </c>
    </row>
    <row r="918" spans="1:13" x14ac:dyDescent="0.45">
      <c r="A918" s="2">
        <v>44595</v>
      </c>
      <c r="B918" s="1">
        <v>3853.4</v>
      </c>
      <c r="D918" s="2">
        <v>44595</v>
      </c>
      <c r="E918" s="1">
        <v>657.1</v>
      </c>
      <c r="G918" s="3">
        <v>20240000</v>
      </c>
      <c r="H918" s="3">
        <f t="shared" si="42"/>
        <v>77992816000</v>
      </c>
      <c r="J918" s="3">
        <v>248282786</v>
      </c>
      <c r="K918" s="3">
        <f t="shared" si="43"/>
        <v>163146618680.60001</v>
      </c>
      <c r="M918" s="4">
        <f t="shared" si="44"/>
        <v>0.5219464759322392</v>
      </c>
    </row>
    <row r="919" spans="1:13" x14ac:dyDescent="0.45">
      <c r="A919" s="2">
        <v>44594</v>
      </c>
      <c r="B919" s="1">
        <v>3782.5</v>
      </c>
      <c r="D919" s="2">
        <v>44594</v>
      </c>
      <c r="E919" s="1">
        <v>628.54999999999995</v>
      </c>
      <c r="G919" s="3">
        <v>20240000</v>
      </c>
      <c r="H919" s="3">
        <f t="shared" si="42"/>
        <v>76557800000</v>
      </c>
      <c r="J919" s="3">
        <v>248282786</v>
      </c>
      <c r="K919" s="3">
        <f t="shared" si="43"/>
        <v>156058145140.29999</v>
      </c>
      <c r="M919" s="4">
        <f t="shared" si="44"/>
        <v>0.50942772047448903</v>
      </c>
    </row>
    <row r="920" spans="1:13" x14ac:dyDescent="0.45">
      <c r="A920" s="2">
        <v>44593</v>
      </c>
      <c r="B920" s="1">
        <v>3777.15</v>
      </c>
      <c r="D920" s="2">
        <v>44593</v>
      </c>
      <c r="E920" s="1">
        <v>626.35</v>
      </c>
      <c r="G920" s="3">
        <v>20240000</v>
      </c>
      <c r="H920" s="3">
        <f t="shared" si="42"/>
        <v>76449516000</v>
      </c>
      <c r="J920" s="3">
        <v>248282786</v>
      </c>
      <c r="K920" s="3">
        <f t="shared" si="43"/>
        <v>155511923011.10001</v>
      </c>
      <c r="M920" s="4">
        <f t="shared" si="44"/>
        <v>0.50840093466953495</v>
      </c>
    </row>
    <row r="921" spans="1:13" x14ac:dyDescent="0.45">
      <c r="A921" s="2">
        <v>44592</v>
      </c>
      <c r="B921" s="1">
        <v>3796.95</v>
      </c>
      <c r="D921" s="2">
        <v>44592</v>
      </c>
      <c r="E921" s="1">
        <v>605.6</v>
      </c>
      <c r="G921" s="3">
        <v>20240000</v>
      </c>
      <c r="H921" s="3">
        <f t="shared" si="42"/>
        <v>76850268000</v>
      </c>
      <c r="J921" s="3">
        <v>248282786</v>
      </c>
      <c r="K921" s="3">
        <f t="shared" si="43"/>
        <v>150360055201.60001</v>
      </c>
      <c r="M921" s="4">
        <f t="shared" si="44"/>
        <v>0.48889172794622504</v>
      </c>
    </row>
    <row r="922" spans="1:13" x14ac:dyDescent="0.45">
      <c r="A922" s="2">
        <v>44589</v>
      </c>
      <c r="B922" s="1">
        <v>3821.2</v>
      </c>
      <c r="D922" s="2">
        <v>44589</v>
      </c>
      <c r="E922" s="1">
        <v>601.54999999999995</v>
      </c>
      <c r="G922" s="3">
        <v>20240000</v>
      </c>
      <c r="H922" s="3">
        <f t="shared" si="42"/>
        <v>77341088000</v>
      </c>
      <c r="J922" s="3">
        <v>248282786</v>
      </c>
      <c r="K922" s="3">
        <f t="shared" si="43"/>
        <v>149354509918.29999</v>
      </c>
      <c r="M922" s="4">
        <f t="shared" si="44"/>
        <v>0.48216436154283404</v>
      </c>
    </row>
    <row r="923" spans="1:13" x14ac:dyDescent="0.45">
      <c r="A923" s="2">
        <v>44588</v>
      </c>
      <c r="B923" s="1">
        <v>3899.8</v>
      </c>
      <c r="D923" s="2">
        <v>44588</v>
      </c>
      <c r="E923" s="1">
        <v>629.65</v>
      </c>
      <c r="G923" s="3">
        <v>20240000</v>
      </c>
      <c r="H923" s="3">
        <f t="shared" si="42"/>
        <v>78931952000</v>
      </c>
      <c r="J923" s="3">
        <v>248282786</v>
      </c>
      <c r="K923" s="3">
        <f t="shared" si="43"/>
        <v>156331256204.89999</v>
      </c>
      <c r="M923" s="4">
        <f t="shared" si="44"/>
        <v>0.49509807625069169</v>
      </c>
    </row>
    <row r="924" spans="1:13" x14ac:dyDescent="0.45">
      <c r="A924" s="2">
        <v>44586</v>
      </c>
      <c r="B924" s="1">
        <v>3876.1</v>
      </c>
      <c r="D924" s="2">
        <v>44586</v>
      </c>
      <c r="E924" s="1">
        <v>621.65</v>
      </c>
      <c r="G924" s="3">
        <v>20240000</v>
      </c>
      <c r="H924" s="3">
        <f t="shared" si="42"/>
        <v>78452264000</v>
      </c>
      <c r="J924" s="3">
        <v>248282786</v>
      </c>
      <c r="K924" s="3">
        <f t="shared" si="43"/>
        <v>154344993916.89999</v>
      </c>
      <c r="M924" s="4">
        <f t="shared" si="44"/>
        <v>0.49170839941696431</v>
      </c>
    </row>
    <row r="925" spans="1:13" x14ac:dyDescent="0.45">
      <c r="A925" s="2">
        <v>44585</v>
      </c>
      <c r="B925" s="1">
        <v>3800.25</v>
      </c>
      <c r="D925" s="2">
        <v>44585</v>
      </c>
      <c r="E925" s="1">
        <v>611.95000000000005</v>
      </c>
      <c r="G925" s="3">
        <v>20240000</v>
      </c>
      <c r="H925" s="3">
        <f t="shared" si="42"/>
        <v>76917060000</v>
      </c>
      <c r="J925" s="3">
        <v>248282786</v>
      </c>
      <c r="K925" s="3">
        <f t="shared" si="43"/>
        <v>151936650892.70001</v>
      </c>
      <c r="M925" s="4">
        <f t="shared" si="44"/>
        <v>0.49375572287479208</v>
      </c>
    </row>
    <row r="926" spans="1:13" x14ac:dyDescent="0.45">
      <c r="A926" s="2">
        <v>44582</v>
      </c>
      <c r="B926" s="1">
        <v>3748.25</v>
      </c>
      <c r="D926" s="2">
        <v>44582</v>
      </c>
      <c r="E926" s="1">
        <v>631.70000000000005</v>
      </c>
      <c r="G926" s="3">
        <v>20240000</v>
      </c>
      <c r="H926" s="3">
        <f t="shared" si="42"/>
        <v>75864580000</v>
      </c>
      <c r="J926" s="3">
        <v>248282786</v>
      </c>
      <c r="K926" s="3">
        <f t="shared" si="43"/>
        <v>156840235916.20001</v>
      </c>
      <c r="M926" s="4">
        <f t="shared" si="44"/>
        <v>0.51629389259185654</v>
      </c>
    </row>
    <row r="927" spans="1:13" x14ac:dyDescent="0.45">
      <c r="A927" s="2">
        <v>44581</v>
      </c>
      <c r="B927" s="1">
        <v>3743.25</v>
      </c>
      <c r="D927" s="2">
        <v>44581</v>
      </c>
      <c r="E927" s="1">
        <v>636.25</v>
      </c>
      <c r="G927" s="3">
        <v>20240000</v>
      </c>
      <c r="H927" s="3">
        <f t="shared" si="42"/>
        <v>75763380000</v>
      </c>
      <c r="J927" s="3">
        <v>248282786</v>
      </c>
      <c r="K927" s="3">
        <f t="shared" si="43"/>
        <v>157969922592.5</v>
      </c>
      <c r="M927" s="4">
        <f t="shared" si="44"/>
        <v>0.52039363724042842</v>
      </c>
    </row>
    <row r="928" spans="1:13" x14ac:dyDescent="0.45">
      <c r="A928" s="2">
        <v>44580</v>
      </c>
      <c r="B928" s="1">
        <v>3799.65</v>
      </c>
      <c r="D928" s="2">
        <v>44580</v>
      </c>
      <c r="E928" s="1">
        <v>642.79999999999995</v>
      </c>
      <c r="G928" s="3">
        <v>20240000</v>
      </c>
      <c r="H928" s="3">
        <f t="shared" si="42"/>
        <v>76904916000</v>
      </c>
      <c r="J928" s="3">
        <v>248282786</v>
      </c>
      <c r="K928" s="3">
        <f t="shared" si="43"/>
        <v>159596174840.79999</v>
      </c>
      <c r="M928" s="4">
        <f t="shared" si="44"/>
        <v>0.51812807495722235</v>
      </c>
    </row>
    <row r="929" spans="1:13" x14ac:dyDescent="0.45">
      <c r="A929" s="2">
        <v>44579</v>
      </c>
      <c r="B929" s="1">
        <v>3817.95</v>
      </c>
      <c r="D929" s="2">
        <v>44579</v>
      </c>
      <c r="E929" s="1">
        <v>643.29999999999995</v>
      </c>
      <c r="G929" s="3">
        <v>20240000</v>
      </c>
      <c r="H929" s="3">
        <f t="shared" si="42"/>
        <v>77275308000</v>
      </c>
      <c r="J929" s="3">
        <v>248282786</v>
      </c>
      <c r="K929" s="3">
        <f t="shared" si="43"/>
        <v>159720316233.79999</v>
      </c>
      <c r="M929" s="4">
        <f t="shared" si="44"/>
        <v>0.51618360254882201</v>
      </c>
    </row>
    <row r="930" spans="1:13" x14ac:dyDescent="0.45">
      <c r="A930" s="2">
        <v>44578</v>
      </c>
      <c r="B930" s="1">
        <v>3915.9</v>
      </c>
      <c r="D930" s="2">
        <v>44578</v>
      </c>
      <c r="E930" s="1">
        <v>657.15</v>
      </c>
      <c r="G930" s="3">
        <v>20240000</v>
      </c>
      <c r="H930" s="3">
        <f t="shared" si="42"/>
        <v>79257816000</v>
      </c>
      <c r="J930" s="3">
        <v>248282786</v>
      </c>
      <c r="K930" s="3">
        <f t="shared" si="43"/>
        <v>163159032819.89999</v>
      </c>
      <c r="M930" s="4">
        <f t="shared" si="44"/>
        <v>0.51422967744919623</v>
      </c>
    </row>
    <row r="931" spans="1:13" x14ac:dyDescent="0.45">
      <c r="A931" s="2">
        <v>44575</v>
      </c>
      <c r="B931" s="1">
        <v>3901.55</v>
      </c>
      <c r="D931" s="2">
        <v>44575</v>
      </c>
      <c r="E931" s="1">
        <v>658.95</v>
      </c>
      <c r="G931" s="3">
        <v>20240000</v>
      </c>
      <c r="H931" s="3">
        <f t="shared" si="42"/>
        <v>78967372000</v>
      </c>
      <c r="J931" s="3">
        <v>248282786</v>
      </c>
      <c r="K931" s="3">
        <f t="shared" si="43"/>
        <v>163605941834.70001</v>
      </c>
      <c r="M931" s="4">
        <f t="shared" si="44"/>
        <v>0.51733188223820725</v>
      </c>
    </row>
    <row r="932" spans="1:13" x14ac:dyDescent="0.45">
      <c r="A932" s="2">
        <v>44574</v>
      </c>
      <c r="B932" s="1">
        <v>3879.95</v>
      </c>
      <c r="D932" s="2">
        <v>44574</v>
      </c>
      <c r="E932" s="1">
        <v>660.25</v>
      </c>
      <c r="G932" s="3">
        <v>20240000</v>
      </c>
      <c r="H932" s="3">
        <f t="shared" si="42"/>
        <v>78530188000</v>
      </c>
      <c r="J932" s="3">
        <v>248282786</v>
      </c>
      <c r="K932" s="3">
        <f t="shared" si="43"/>
        <v>163928709456.5</v>
      </c>
      <c r="M932" s="4">
        <f t="shared" si="44"/>
        <v>0.52094914758760602</v>
      </c>
    </row>
    <row r="933" spans="1:13" x14ac:dyDescent="0.45">
      <c r="A933" s="2">
        <v>44573</v>
      </c>
      <c r="B933" s="1">
        <v>3880.5</v>
      </c>
      <c r="D933" s="2">
        <v>44573</v>
      </c>
      <c r="E933" s="1">
        <v>654.65</v>
      </c>
      <c r="G933" s="3">
        <v>20240000</v>
      </c>
      <c r="H933" s="3">
        <f t="shared" si="42"/>
        <v>78541320000</v>
      </c>
      <c r="J933" s="3">
        <v>248282786</v>
      </c>
      <c r="K933" s="3">
        <f t="shared" si="43"/>
        <v>162538325854.89999</v>
      </c>
      <c r="M933" s="4">
        <f t="shared" si="44"/>
        <v>0.5167827674679335</v>
      </c>
    </row>
    <row r="934" spans="1:13" x14ac:dyDescent="0.45">
      <c r="A934" s="2">
        <v>44572</v>
      </c>
      <c r="B934" s="1">
        <v>3819.15</v>
      </c>
      <c r="D934" s="2">
        <v>44572</v>
      </c>
      <c r="E934" s="1">
        <v>643.6</v>
      </c>
      <c r="G934" s="3">
        <v>20240000</v>
      </c>
      <c r="H934" s="3">
        <f t="shared" si="42"/>
        <v>77299596000</v>
      </c>
      <c r="J934" s="3">
        <v>248282786</v>
      </c>
      <c r="K934" s="3">
        <f t="shared" si="43"/>
        <v>159794801069.60001</v>
      </c>
      <c r="M934" s="4">
        <f t="shared" si="44"/>
        <v>0.51625712800048174</v>
      </c>
    </row>
    <row r="935" spans="1:13" x14ac:dyDescent="0.45">
      <c r="A935" s="2">
        <v>44571</v>
      </c>
      <c r="B935" s="1">
        <v>3812.1</v>
      </c>
      <c r="D935" s="2">
        <v>44571</v>
      </c>
      <c r="E935" s="1">
        <v>649.65</v>
      </c>
      <c r="G935" s="3">
        <v>20240000</v>
      </c>
      <c r="H935" s="3">
        <f t="shared" si="42"/>
        <v>77156904000</v>
      </c>
      <c r="J935" s="3">
        <v>248282786</v>
      </c>
      <c r="K935" s="3">
        <f t="shared" si="43"/>
        <v>161296911924.89999</v>
      </c>
      <c r="M935" s="4">
        <f t="shared" si="44"/>
        <v>0.52164673781278381</v>
      </c>
    </row>
    <row r="936" spans="1:13" x14ac:dyDescent="0.45">
      <c r="A936" s="2">
        <v>44568</v>
      </c>
      <c r="B936" s="1">
        <v>3792.9</v>
      </c>
      <c r="D936" s="2">
        <v>44568</v>
      </c>
      <c r="E936" s="1">
        <v>641.25</v>
      </c>
      <c r="G936" s="3">
        <v>20240000</v>
      </c>
      <c r="H936" s="3">
        <f t="shared" si="42"/>
        <v>76768296000</v>
      </c>
      <c r="J936" s="3">
        <v>248282786</v>
      </c>
      <c r="K936" s="3">
        <f t="shared" si="43"/>
        <v>159211336522.5</v>
      </c>
      <c r="M936" s="4">
        <f t="shared" si="44"/>
        <v>0.51782142103209483</v>
      </c>
    </row>
    <row r="937" spans="1:13" x14ac:dyDescent="0.45">
      <c r="A937" s="2">
        <v>44567</v>
      </c>
      <c r="B937" s="1">
        <v>3822.7</v>
      </c>
      <c r="D937" s="2">
        <v>44567</v>
      </c>
      <c r="E937" s="1">
        <v>648.29999999999995</v>
      </c>
      <c r="G937" s="3">
        <v>20240000</v>
      </c>
      <c r="H937" s="3">
        <f t="shared" si="42"/>
        <v>77371448000</v>
      </c>
      <c r="J937" s="3">
        <v>248282786</v>
      </c>
      <c r="K937" s="3">
        <f t="shared" si="43"/>
        <v>160961730163.79999</v>
      </c>
      <c r="M937" s="4">
        <f t="shared" si="44"/>
        <v>0.51931774142049636</v>
      </c>
    </row>
    <row r="938" spans="1:13" x14ac:dyDescent="0.45">
      <c r="A938" s="2">
        <v>44566</v>
      </c>
      <c r="B938" s="1">
        <v>3816.5</v>
      </c>
      <c r="D938" s="2">
        <v>44566</v>
      </c>
      <c r="E938" s="1">
        <v>638.25</v>
      </c>
      <c r="G938" s="3">
        <v>20240000</v>
      </c>
      <c r="H938" s="3">
        <f t="shared" si="42"/>
        <v>77245960000</v>
      </c>
      <c r="J938" s="3">
        <v>248282786</v>
      </c>
      <c r="K938" s="3">
        <f t="shared" si="43"/>
        <v>158466488164.5</v>
      </c>
      <c r="M938" s="4">
        <f t="shared" si="44"/>
        <v>0.51254072141856932</v>
      </c>
    </row>
    <row r="939" spans="1:13" x14ac:dyDescent="0.45">
      <c r="A939" s="2">
        <v>44565</v>
      </c>
      <c r="B939" s="1">
        <v>3858.1</v>
      </c>
      <c r="D939" s="2">
        <v>44565</v>
      </c>
      <c r="E939" s="1">
        <v>630.70000000000005</v>
      </c>
      <c r="G939" s="3">
        <v>20240000</v>
      </c>
      <c r="H939" s="3">
        <f t="shared" si="42"/>
        <v>78087944000</v>
      </c>
      <c r="J939" s="3">
        <v>248282786</v>
      </c>
      <c r="K939" s="3">
        <f t="shared" si="43"/>
        <v>156591953130.20001</v>
      </c>
      <c r="M939" s="4">
        <f t="shared" si="44"/>
        <v>0.50132850099217441</v>
      </c>
    </row>
    <row r="940" spans="1:13" x14ac:dyDescent="0.45">
      <c r="A940" s="2">
        <v>44564</v>
      </c>
      <c r="B940" s="1">
        <v>3846.4</v>
      </c>
      <c r="D940" s="2">
        <v>44564</v>
      </c>
      <c r="E940" s="1">
        <v>629</v>
      </c>
      <c r="G940" s="3">
        <v>20240000</v>
      </c>
      <c r="H940" s="3">
        <f t="shared" si="42"/>
        <v>77851136000</v>
      </c>
      <c r="J940" s="3">
        <v>248282786</v>
      </c>
      <c r="K940" s="3">
        <f t="shared" si="43"/>
        <v>156169872394</v>
      </c>
      <c r="M940" s="4">
        <f t="shared" si="44"/>
        <v>0.5014970889930046</v>
      </c>
    </row>
    <row r="941" spans="1:13" x14ac:dyDescent="0.45">
      <c r="A941" s="2">
        <v>44561</v>
      </c>
      <c r="B941" s="1">
        <v>3792.55</v>
      </c>
      <c r="D941" s="2">
        <v>44561</v>
      </c>
      <c r="E941" s="1">
        <v>627.04999999999995</v>
      </c>
      <c r="G941" s="3">
        <v>20240000</v>
      </c>
      <c r="H941" s="3">
        <f t="shared" si="42"/>
        <v>76761212000</v>
      </c>
      <c r="J941" s="3">
        <v>248282786</v>
      </c>
      <c r="K941" s="3">
        <f t="shared" si="43"/>
        <v>155685720961.29999</v>
      </c>
      <c r="M941" s="4">
        <f t="shared" si="44"/>
        <v>0.50694764088813815</v>
      </c>
    </row>
    <row r="942" spans="1:13" x14ac:dyDescent="0.45">
      <c r="A942" s="2">
        <v>44560</v>
      </c>
      <c r="B942" s="1">
        <v>3801.95</v>
      </c>
      <c r="D942" s="2">
        <v>44560</v>
      </c>
      <c r="E942" s="1">
        <v>615.79999999999995</v>
      </c>
      <c r="G942" s="3">
        <v>20240000</v>
      </c>
      <c r="H942" s="3">
        <f t="shared" si="42"/>
        <v>76951468000</v>
      </c>
      <c r="J942" s="3">
        <v>248282786</v>
      </c>
      <c r="K942" s="3">
        <f t="shared" si="43"/>
        <v>152892539618.79999</v>
      </c>
      <c r="M942" s="4">
        <f t="shared" si="44"/>
        <v>0.49669573027003411</v>
      </c>
    </row>
    <row r="943" spans="1:13" x14ac:dyDescent="0.45">
      <c r="A943" s="2">
        <v>44559</v>
      </c>
      <c r="B943" s="1">
        <v>3811.1</v>
      </c>
      <c r="D943" s="2">
        <v>44559</v>
      </c>
      <c r="E943" s="1">
        <v>622.4</v>
      </c>
      <c r="G943" s="3">
        <v>20240000</v>
      </c>
      <c r="H943" s="3">
        <f t="shared" si="42"/>
        <v>77136664000</v>
      </c>
      <c r="J943" s="3">
        <v>248282786</v>
      </c>
      <c r="K943" s="3">
        <f t="shared" si="43"/>
        <v>154531206006.39999</v>
      </c>
      <c r="M943" s="4">
        <f t="shared" si="44"/>
        <v>0.50083438812478209</v>
      </c>
    </row>
    <row r="944" spans="1:13" x14ac:dyDescent="0.45">
      <c r="A944" s="2">
        <v>44558</v>
      </c>
      <c r="B944" s="1">
        <v>3843.1</v>
      </c>
      <c r="D944" s="2">
        <v>44558</v>
      </c>
      <c r="E944" s="1">
        <v>610.54999999999995</v>
      </c>
      <c r="G944" s="3">
        <v>20240000</v>
      </c>
      <c r="H944" s="3">
        <f t="shared" si="42"/>
        <v>77784344000</v>
      </c>
      <c r="J944" s="3">
        <v>248282786</v>
      </c>
      <c r="K944" s="3">
        <f t="shared" si="43"/>
        <v>151589054992.29999</v>
      </c>
      <c r="M944" s="4">
        <f t="shared" si="44"/>
        <v>0.4868736136395132</v>
      </c>
    </row>
    <row r="945" spans="1:13" x14ac:dyDescent="0.45">
      <c r="A945" s="2">
        <v>44557</v>
      </c>
      <c r="B945" s="1">
        <v>3914.2</v>
      </c>
      <c r="D945" s="2">
        <v>44557</v>
      </c>
      <c r="E945" s="1">
        <v>605.54999999999995</v>
      </c>
      <c r="G945" s="3">
        <v>20240000</v>
      </c>
      <c r="H945" s="3">
        <f t="shared" si="42"/>
        <v>79223408000</v>
      </c>
      <c r="J945" s="3">
        <v>248282786</v>
      </c>
      <c r="K945" s="3">
        <f t="shared" si="43"/>
        <v>150347641062.29999</v>
      </c>
      <c r="M945" s="4">
        <f t="shared" si="44"/>
        <v>0.47306517454988228</v>
      </c>
    </row>
    <row r="946" spans="1:13" x14ac:dyDescent="0.45">
      <c r="A946" s="2">
        <v>44554</v>
      </c>
      <c r="B946" s="1">
        <v>3861.1</v>
      </c>
      <c r="D946" s="2">
        <v>44554</v>
      </c>
      <c r="E946" s="1">
        <v>610.4</v>
      </c>
      <c r="G946" s="3">
        <v>20240000</v>
      </c>
      <c r="H946" s="3">
        <f t="shared" si="42"/>
        <v>78148664000</v>
      </c>
      <c r="J946" s="3">
        <v>248282786</v>
      </c>
      <c r="K946" s="3">
        <f t="shared" si="43"/>
        <v>151551812574.39999</v>
      </c>
      <c r="M946" s="4">
        <f t="shared" si="44"/>
        <v>0.48434358736794936</v>
      </c>
    </row>
    <row r="947" spans="1:13" x14ac:dyDescent="0.45">
      <c r="A947" s="2">
        <v>44553</v>
      </c>
      <c r="B947" s="1">
        <v>3906.75</v>
      </c>
      <c r="D947" s="2">
        <v>44553</v>
      </c>
      <c r="E947" s="1">
        <v>620.35</v>
      </c>
      <c r="G947" s="3">
        <v>20240000</v>
      </c>
      <c r="H947" s="3">
        <f t="shared" si="42"/>
        <v>79072620000</v>
      </c>
      <c r="J947" s="3">
        <v>248282786</v>
      </c>
      <c r="K947" s="3">
        <f t="shared" si="43"/>
        <v>154022226295.10001</v>
      </c>
      <c r="M947" s="4">
        <f t="shared" si="44"/>
        <v>0.48661552360306592</v>
      </c>
    </row>
    <row r="948" spans="1:13" x14ac:dyDescent="0.45">
      <c r="A948" s="2">
        <v>44552</v>
      </c>
      <c r="B948" s="1">
        <v>3744.05</v>
      </c>
      <c r="D948" s="2">
        <v>44552</v>
      </c>
      <c r="E948" s="1">
        <v>617.54999999999995</v>
      </c>
      <c r="G948" s="3">
        <v>20240000</v>
      </c>
      <c r="H948" s="3">
        <f t="shared" si="42"/>
        <v>75779572000</v>
      </c>
      <c r="J948" s="3">
        <v>248282786</v>
      </c>
      <c r="K948" s="3">
        <f t="shared" si="43"/>
        <v>153327034494.29999</v>
      </c>
      <c r="M948" s="4">
        <f t="shared" si="44"/>
        <v>0.50576509713414475</v>
      </c>
    </row>
    <row r="949" spans="1:13" x14ac:dyDescent="0.45">
      <c r="A949" s="2">
        <v>44551</v>
      </c>
      <c r="B949" s="1">
        <v>3776.75</v>
      </c>
      <c r="D949" s="2">
        <v>44551</v>
      </c>
      <c r="E949" s="1">
        <v>614.70000000000005</v>
      </c>
      <c r="G949" s="3">
        <v>20240000</v>
      </c>
      <c r="H949" s="3">
        <f t="shared" si="42"/>
        <v>76441420000</v>
      </c>
      <c r="J949" s="3">
        <v>248282786</v>
      </c>
      <c r="K949" s="3">
        <f t="shared" si="43"/>
        <v>152619428554.20001</v>
      </c>
      <c r="M949" s="4">
        <f t="shared" si="44"/>
        <v>0.49913703173870017</v>
      </c>
    </row>
    <row r="950" spans="1:13" x14ac:dyDescent="0.45">
      <c r="A950" s="2">
        <v>44550</v>
      </c>
      <c r="B950" s="1">
        <v>3822.1</v>
      </c>
      <c r="D950" s="2">
        <v>44550</v>
      </c>
      <c r="E950" s="1">
        <v>606.75</v>
      </c>
      <c r="G950" s="3">
        <v>20240000</v>
      </c>
      <c r="H950" s="3">
        <f t="shared" si="42"/>
        <v>77359304000</v>
      </c>
      <c r="J950" s="3">
        <v>248282786</v>
      </c>
      <c r="K950" s="3">
        <f t="shared" si="43"/>
        <v>150645580405.5</v>
      </c>
      <c r="M950" s="4">
        <f t="shared" si="44"/>
        <v>0.48648142353882395</v>
      </c>
    </row>
    <row r="951" spans="1:13" x14ac:dyDescent="0.45">
      <c r="A951" s="2">
        <v>44547</v>
      </c>
      <c r="B951" s="1">
        <v>4069.15</v>
      </c>
      <c r="D951" s="2">
        <v>44547</v>
      </c>
      <c r="E951" s="1">
        <v>615.9</v>
      </c>
      <c r="G951" s="3">
        <v>20240000</v>
      </c>
      <c r="H951" s="3">
        <f t="shared" si="42"/>
        <v>82359596000</v>
      </c>
      <c r="J951" s="3">
        <v>248282786</v>
      </c>
      <c r="K951" s="3">
        <f t="shared" si="43"/>
        <v>152917367897.39999</v>
      </c>
      <c r="M951" s="4">
        <f t="shared" si="44"/>
        <v>0.46141110632208093</v>
      </c>
    </row>
    <row r="952" spans="1:13" x14ac:dyDescent="0.45">
      <c r="A952" s="2">
        <v>44546</v>
      </c>
      <c r="B952" s="1">
        <v>4046.85</v>
      </c>
      <c r="D952" s="2">
        <v>44546</v>
      </c>
      <c r="E952" s="1">
        <v>636.54999999999995</v>
      </c>
      <c r="G952" s="3">
        <v>20240000</v>
      </c>
      <c r="H952" s="3">
        <f t="shared" si="42"/>
        <v>81908244000</v>
      </c>
      <c r="J952" s="3">
        <v>248282786</v>
      </c>
      <c r="K952" s="3">
        <f t="shared" si="43"/>
        <v>158044407428.29999</v>
      </c>
      <c r="M952" s="4">
        <f t="shared" si="44"/>
        <v>0.48173905465677858</v>
      </c>
    </row>
    <row r="953" spans="1:13" x14ac:dyDescent="0.45">
      <c r="A953" s="2">
        <v>44545</v>
      </c>
      <c r="B953" s="1">
        <v>4028.85</v>
      </c>
      <c r="D953" s="2">
        <v>44545</v>
      </c>
      <c r="E953" s="1">
        <v>673.1</v>
      </c>
      <c r="G953" s="3">
        <v>20240000</v>
      </c>
      <c r="H953" s="3">
        <f t="shared" si="42"/>
        <v>81543924000</v>
      </c>
      <c r="J953" s="3">
        <v>248282786</v>
      </c>
      <c r="K953" s="3">
        <f t="shared" si="43"/>
        <v>167119143256.60001</v>
      </c>
      <c r="M953" s="4">
        <f t="shared" si="44"/>
        <v>0.51206114146483572</v>
      </c>
    </row>
    <row r="954" spans="1:13" x14ac:dyDescent="0.45">
      <c r="A954" s="2">
        <v>44544</v>
      </c>
      <c r="B954" s="1">
        <v>3942.85</v>
      </c>
      <c r="D954" s="2">
        <v>44544</v>
      </c>
      <c r="E954" s="1">
        <v>660.25</v>
      </c>
      <c r="G954" s="3">
        <v>20240000</v>
      </c>
      <c r="H954" s="3">
        <f t="shared" si="42"/>
        <v>79803284000</v>
      </c>
      <c r="J954" s="3">
        <v>248282786</v>
      </c>
      <c r="K954" s="3">
        <f t="shared" si="43"/>
        <v>163928709456.5</v>
      </c>
      <c r="M954" s="4">
        <f t="shared" si="44"/>
        <v>0.5131829911637501</v>
      </c>
    </row>
    <row r="955" spans="1:13" x14ac:dyDescent="0.45">
      <c r="A955" s="2">
        <v>44543</v>
      </c>
      <c r="B955" s="1">
        <v>3984.85</v>
      </c>
      <c r="D955" s="2">
        <v>44543</v>
      </c>
      <c r="E955" s="1">
        <v>676.2</v>
      </c>
      <c r="G955" s="3">
        <v>20240000</v>
      </c>
      <c r="H955" s="3">
        <f t="shared" si="42"/>
        <v>80653364000</v>
      </c>
      <c r="J955" s="3">
        <v>248282786</v>
      </c>
      <c r="K955" s="3">
        <f t="shared" si="43"/>
        <v>167888819893.20001</v>
      </c>
      <c r="M955" s="4">
        <f t="shared" si="44"/>
        <v>0.51960253189398531</v>
      </c>
    </row>
    <row r="956" spans="1:13" x14ac:dyDescent="0.45">
      <c r="A956" s="2">
        <v>44540</v>
      </c>
      <c r="B956" s="1">
        <v>4013.35</v>
      </c>
      <c r="D956" s="2">
        <v>44540</v>
      </c>
      <c r="E956" s="1">
        <v>682</v>
      </c>
      <c r="G956" s="3">
        <v>20240000</v>
      </c>
      <c r="H956" s="3">
        <f t="shared" si="42"/>
        <v>81230204000</v>
      </c>
      <c r="J956" s="3">
        <v>248282786</v>
      </c>
      <c r="K956" s="3">
        <f t="shared" si="43"/>
        <v>169328860052</v>
      </c>
      <c r="M956" s="4">
        <f t="shared" si="44"/>
        <v>0.52028139813228158</v>
      </c>
    </row>
    <row r="957" spans="1:13" x14ac:dyDescent="0.45">
      <c r="A957" s="2">
        <v>44539</v>
      </c>
      <c r="B957" s="1">
        <v>4031.05</v>
      </c>
      <c r="D957" s="2">
        <v>44539</v>
      </c>
      <c r="E957" s="1">
        <v>684.4</v>
      </c>
      <c r="G957" s="3">
        <v>20240000</v>
      </c>
      <c r="H957" s="3">
        <f t="shared" si="42"/>
        <v>81588452000</v>
      </c>
      <c r="J957" s="3">
        <v>248282786</v>
      </c>
      <c r="K957" s="3">
        <f t="shared" si="43"/>
        <v>169924738738.39999</v>
      </c>
      <c r="M957" s="4">
        <f t="shared" si="44"/>
        <v>0.51985536299334356</v>
      </c>
    </row>
    <row r="958" spans="1:13" x14ac:dyDescent="0.45">
      <c r="A958" s="2">
        <v>44538</v>
      </c>
      <c r="B958" s="1">
        <v>4119.3500000000004</v>
      </c>
      <c r="D958" s="2">
        <v>44538</v>
      </c>
      <c r="E958" s="1">
        <v>682.7</v>
      </c>
      <c r="G958" s="3">
        <v>20240000</v>
      </c>
      <c r="H958" s="3">
        <f t="shared" si="42"/>
        <v>83375644000</v>
      </c>
      <c r="J958" s="3">
        <v>248282786</v>
      </c>
      <c r="K958" s="3">
        <f t="shared" si="43"/>
        <v>169502658002.20001</v>
      </c>
      <c r="M958" s="4">
        <f t="shared" si="44"/>
        <v>0.50811600842909588</v>
      </c>
    </row>
    <row r="959" spans="1:13" x14ac:dyDescent="0.45">
      <c r="A959" s="2">
        <v>44537</v>
      </c>
      <c r="B959" s="1">
        <v>4180.7</v>
      </c>
      <c r="D959" s="2">
        <v>44537</v>
      </c>
      <c r="E959" s="1">
        <v>666.05</v>
      </c>
      <c r="G959" s="3">
        <v>20240000</v>
      </c>
      <c r="H959" s="3">
        <f t="shared" si="42"/>
        <v>84617368000</v>
      </c>
      <c r="J959" s="3">
        <v>248282786</v>
      </c>
      <c r="K959" s="3">
        <f t="shared" si="43"/>
        <v>165368749615.29999</v>
      </c>
      <c r="M959" s="4">
        <f t="shared" si="44"/>
        <v>0.48831101283134348</v>
      </c>
    </row>
    <row r="960" spans="1:13" x14ac:dyDescent="0.45">
      <c r="A960" s="2">
        <v>44536</v>
      </c>
      <c r="B960" s="1">
        <v>4270.3</v>
      </c>
      <c r="D960" s="2">
        <v>44536</v>
      </c>
      <c r="E960" s="1">
        <v>661.75</v>
      </c>
      <c r="G960" s="3">
        <v>20240000</v>
      </c>
      <c r="H960" s="3">
        <f t="shared" si="42"/>
        <v>86430872000</v>
      </c>
      <c r="J960" s="3">
        <v>248282786</v>
      </c>
      <c r="K960" s="3">
        <f t="shared" si="43"/>
        <v>164301133635.5</v>
      </c>
      <c r="M960" s="4">
        <f t="shared" si="44"/>
        <v>0.4739484135773171</v>
      </c>
    </row>
    <row r="961" spans="1:13" x14ac:dyDescent="0.45">
      <c r="A961" s="2">
        <v>44533</v>
      </c>
      <c r="B961" s="1">
        <v>4292.75</v>
      </c>
      <c r="D961" s="2">
        <v>44533</v>
      </c>
      <c r="E961" s="1">
        <v>672.1</v>
      </c>
      <c r="G961" s="3">
        <v>20240000</v>
      </c>
      <c r="H961" s="3">
        <f t="shared" si="42"/>
        <v>86885260000</v>
      </c>
      <c r="J961" s="3">
        <v>248282786</v>
      </c>
      <c r="K961" s="3">
        <f t="shared" si="43"/>
        <v>166870860470.60001</v>
      </c>
      <c r="M961" s="4">
        <f t="shared" si="44"/>
        <v>0.47932634999920909</v>
      </c>
    </row>
    <row r="962" spans="1:13" x14ac:dyDescent="0.45">
      <c r="A962" s="2">
        <v>44532</v>
      </c>
      <c r="B962" s="1">
        <v>4300.1499999999996</v>
      </c>
      <c r="D962" s="2">
        <v>44532</v>
      </c>
      <c r="E962" s="1">
        <v>680.6</v>
      </c>
      <c r="G962" s="3">
        <v>20240000</v>
      </c>
      <c r="H962" s="3">
        <f t="shared" si="42"/>
        <v>87035036000</v>
      </c>
      <c r="J962" s="3">
        <v>248282786</v>
      </c>
      <c r="K962" s="3">
        <f t="shared" si="43"/>
        <v>168981264151.60001</v>
      </c>
      <c r="M962" s="4">
        <f t="shared" si="44"/>
        <v>0.4849426861789996</v>
      </c>
    </row>
    <row r="963" spans="1:13" x14ac:dyDescent="0.45">
      <c r="A963" s="2">
        <v>44531</v>
      </c>
      <c r="B963" s="1">
        <v>4409.8500000000004</v>
      </c>
      <c r="D963" s="2">
        <v>44531</v>
      </c>
      <c r="E963" s="1">
        <v>678.45</v>
      </c>
      <c r="G963" s="3">
        <v>20240000</v>
      </c>
      <c r="H963" s="3">
        <f t="shared" si="42"/>
        <v>89255364000</v>
      </c>
      <c r="J963" s="3">
        <v>248282786</v>
      </c>
      <c r="K963" s="3">
        <f t="shared" si="43"/>
        <v>168447456161.70001</v>
      </c>
      <c r="M963" s="4">
        <f t="shared" si="44"/>
        <v>0.47012934458137556</v>
      </c>
    </row>
    <row r="964" spans="1:13" x14ac:dyDescent="0.45">
      <c r="A964" s="2">
        <v>44530</v>
      </c>
      <c r="B964" s="1">
        <v>4465.3999999999996</v>
      </c>
      <c r="D964" s="2">
        <v>44530</v>
      </c>
      <c r="E964" s="1">
        <v>687.6</v>
      </c>
      <c r="G964" s="3">
        <v>20240000</v>
      </c>
      <c r="H964" s="3">
        <f t="shared" ref="H964:H1027" si="45">+G964*B964</f>
        <v>90379696000</v>
      </c>
      <c r="J964" s="3">
        <v>248282786</v>
      </c>
      <c r="K964" s="3">
        <f t="shared" ref="K964:K1027" si="46">+J964*E964</f>
        <v>170719243653.60001</v>
      </c>
      <c r="M964" s="4">
        <f t="shared" ref="M964:M1027" si="47">1- (H964/K964)</f>
        <v>0.47059456177426584</v>
      </c>
    </row>
    <row r="965" spans="1:13" x14ac:dyDescent="0.45">
      <c r="A965" s="2">
        <v>44529</v>
      </c>
      <c r="B965" s="1">
        <v>4569.7</v>
      </c>
      <c r="D965" s="2">
        <v>44529</v>
      </c>
      <c r="E965" s="1">
        <v>684.15</v>
      </c>
      <c r="G965" s="3">
        <v>20240000</v>
      </c>
      <c r="H965" s="3">
        <f t="shared" si="45"/>
        <v>92490728000</v>
      </c>
      <c r="J965" s="3">
        <v>248282786</v>
      </c>
      <c r="K965" s="3">
        <f t="shared" si="46"/>
        <v>169862668041.89999</v>
      </c>
      <c r="M965" s="4">
        <f t="shared" si="47"/>
        <v>0.45549702553132321</v>
      </c>
    </row>
    <row r="966" spans="1:13" x14ac:dyDescent="0.45">
      <c r="A966" s="2">
        <v>44526</v>
      </c>
      <c r="B966" s="1">
        <v>4595.3999999999996</v>
      </c>
      <c r="D966" s="2">
        <v>44526</v>
      </c>
      <c r="E966" s="1">
        <v>677.05</v>
      </c>
      <c r="G966" s="3">
        <v>20240000</v>
      </c>
      <c r="H966" s="3">
        <f t="shared" si="45"/>
        <v>93010896000</v>
      </c>
      <c r="J966" s="3">
        <v>248282786</v>
      </c>
      <c r="K966" s="3">
        <f t="shared" si="46"/>
        <v>168099860261.29999</v>
      </c>
      <c r="M966" s="4">
        <f t="shared" si="47"/>
        <v>0.44669260369746422</v>
      </c>
    </row>
    <row r="967" spans="1:13" x14ac:dyDescent="0.45">
      <c r="A967" s="2">
        <v>44525</v>
      </c>
      <c r="B967" s="1">
        <v>4774.25</v>
      </c>
      <c r="D967" s="2">
        <v>44525</v>
      </c>
      <c r="E967" s="1">
        <v>702.5</v>
      </c>
      <c r="G967" s="3">
        <v>20240000</v>
      </c>
      <c r="H967" s="3">
        <f t="shared" si="45"/>
        <v>96630820000</v>
      </c>
      <c r="J967" s="3">
        <v>248282786</v>
      </c>
      <c r="K967" s="3">
        <f t="shared" si="46"/>
        <v>174418657165</v>
      </c>
      <c r="M967" s="4">
        <f t="shared" si="47"/>
        <v>0.44598346546959555</v>
      </c>
    </row>
    <row r="968" spans="1:13" x14ac:dyDescent="0.45">
      <c r="A968" s="2">
        <v>44524</v>
      </c>
      <c r="B968" s="1">
        <v>4856</v>
      </c>
      <c r="D968" s="2">
        <v>44524</v>
      </c>
      <c r="E968" s="1">
        <v>701.65</v>
      </c>
      <c r="G968" s="3">
        <v>20240000</v>
      </c>
      <c r="H968" s="3">
        <f t="shared" si="45"/>
        <v>98285440000</v>
      </c>
      <c r="J968" s="3">
        <v>248282786</v>
      </c>
      <c r="K968" s="3">
        <f t="shared" si="46"/>
        <v>174207616796.89999</v>
      </c>
      <c r="M968" s="4">
        <f t="shared" si="47"/>
        <v>0.43581433574981909</v>
      </c>
    </row>
    <row r="969" spans="1:13" x14ac:dyDescent="0.45">
      <c r="A969" s="2">
        <v>44523</v>
      </c>
      <c r="B969" s="1">
        <v>4895.45</v>
      </c>
      <c r="D969" s="2">
        <v>44523</v>
      </c>
      <c r="E969" s="1">
        <v>712.2</v>
      </c>
      <c r="G969" s="3">
        <v>20240000</v>
      </c>
      <c r="H969" s="3">
        <f t="shared" si="45"/>
        <v>99083908000</v>
      </c>
      <c r="J969" s="3">
        <v>248282786</v>
      </c>
      <c r="K969" s="3">
        <f t="shared" si="46"/>
        <v>176827000189.20001</v>
      </c>
      <c r="M969" s="4">
        <f t="shared" si="47"/>
        <v>0.43965622956911021</v>
      </c>
    </row>
    <row r="970" spans="1:13" x14ac:dyDescent="0.45">
      <c r="A970" s="2">
        <v>44522</v>
      </c>
      <c r="B970" s="1">
        <v>4744.8500000000004</v>
      </c>
      <c r="D970" s="2">
        <v>44522</v>
      </c>
      <c r="E970" s="1">
        <v>709.95</v>
      </c>
      <c r="G970" s="3">
        <v>20240000</v>
      </c>
      <c r="H970" s="3">
        <f t="shared" si="45"/>
        <v>96035764000</v>
      </c>
      <c r="J970" s="3">
        <v>248282786</v>
      </c>
      <c r="K970" s="3">
        <f t="shared" si="46"/>
        <v>176268363920.70001</v>
      </c>
      <c r="M970" s="4">
        <f t="shared" si="47"/>
        <v>0.45517299948841206</v>
      </c>
    </row>
    <row r="971" spans="1:13" x14ac:dyDescent="0.45">
      <c r="A971" s="2">
        <v>44518</v>
      </c>
      <c r="B971" s="1">
        <v>4768.45</v>
      </c>
      <c r="D971" s="2">
        <v>44518</v>
      </c>
      <c r="E971" s="1">
        <v>723.55</v>
      </c>
      <c r="G971" s="3">
        <v>20240000</v>
      </c>
      <c r="H971" s="3">
        <f t="shared" si="45"/>
        <v>96513428000</v>
      </c>
      <c r="J971" s="3">
        <v>248282786</v>
      </c>
      <c r="K971" s="3">
        <f t="shared" si="46"/>
        <v>179645009810.29999</v>
      </c>
      <c r="M971" s="4">
        <f t="shared" si="47"/>
        <v>0.46275475115108722</v>
      </c>
    </row>
    <row r="972" spans="1:13" x14ac:dyDescent="0.45">
      <c r="A972" s="2">
        <v>44517</v>
      </c>
      <c r="B972" s="1">
        <v>4826.1000000000004</v>
      </c>
      <c r="D972" s="2">
        <v>44517</v>
      </c>
      <c r="E972" s="1">
        <v>740</v>
      </c>
      <c r="G972" s="3">
        <v>20240000</v>
      </c>
      <c r="H972" s="3">
        <f t="shared" si="45"/>
        <v>97680264000</v>
      </c>
      <c r="J972" s="3">
        <v>248282786</v>
      </c>
      <c r="K972" s="3">
        <f t="shared" si="46"/>
        <v>183729261640</v>
      </c>
      <c r="M972" s="4">
        <f t="shared" si="47"/>
        <v>0.4683467231725168</v>
      </c>
    </row>
    <row r="973" spans="1:13" x14ac:dyDescent="0.45">
      <c r="A973" s="2">
        <v>44516</v>
      </c>
      <c r="B973" s="1">
        <v>4624.3</v>
      </c>
      <c r="D973" s="2">
        <v>44516</v>
      </c>
      <c r="E973" s="1">
        <v>737.4</v>
      </c>
      <c r="G973" s="3">
        <v>20240000</v>
      </c>
      <c r="H973" s="3">
        <f t="shared" si="45"/>
        <v>93595832000</v>
      </c>
      <c r="J973" s="3">
        <v>248282786</v>
      </c>
      <c r="K973" s="3">
        <f t="shared" si="46"/>
        <v>183083726396.39999</v>
      </c>
      <c r="M973" s="4">
        <f t="shared" si="47"/>
        <v>0.4887812595787302</v>
      </c>
    </row>
    <row r="974" spans="1:13" x14ac:dyDescent="0.45">
      <c r="A974" s="2">
        <v>44515</v>
      </c>
      <c r="B974" s="1">
        <v>4629.8999999999996</v>
      </c>
      <c r="D974" s="2">
        <v>44515</v>
      </c>
      <c r="E974" s="1">
        <v>736.05</v>
      </c>
      <c r="G974" s="3">
        <v>20240000</v>
      </c>
      <c r="H974" s="3">
        <f t="shared" si="45"/>
        <v>93709176000</v>
      </c>
      <c r="J974" s="3">
        <v>248282786</v>
      </c>
      <c r="K974" s="3">
        <f t="shared" si="46"/>
        <v>182748544635.29999</v>
      </c>
      <c r="M974" s="4">
        <f t="shared" si="47"/>
        <v>0.48722340751326021</v>
      </c>
    </row>
    <row r="975" spans="1:13" x14ac:dyDescent="0.45">
      <c r="A975" s="2">
        <v>44512</v>
      </c>
      <c r="B975" s="1">
        <v>4399.3</v>
      </c>
      <c r="D975" s="2">
        <v>44512</v>
      </c>
      <c r="E975" s="1">
        <v>729.3</v>
      </c>
      <c r="G975" s="3">
        <v>20240000</v>
      </c>
      <c r="H975" s="3">
        <f t="shared" si="45"/>
        <v>89041832000</v>
      </c>
      <c r="J975" s="3">
        <v>248282786</v>
      </c>
      <c r="K975" s="3">
        <f t="shared" si="46"/>
        <v>181072635829.79999</v>
      </c>
      <c r="M975" s="4">
        <f t="shared" si="47"/>
        <v>0.50825351609894687</v>
      </c>
    </row>
    <row r="976" spans="1:13" x14ac:dyDescent="0.45">
      <c r="A976" s="2">
        <v>44511</v>
      </c>
      <c r="B976" s="1">
        <v>4269.3500000000004</v>
      </c>
      <c r="D976" s="2">
        <v>44511</v>
      </c>
      <c r="E976" s="1">
        <v>747.15</v>
      </c>
      <c r="G976" s="3">
        <v>20240000</v>
      </c>
      <c r="H976" s="3">
        <f t="shared" si="45"/>
        <v>86411644000</v>
      </c>
      <c r="J976" s="3">
        <v>248282786</v>
      </c>
      <c r="K976" s="3">
        <f t="shared" si="46"/>
        <v>185504483559.89999</v>
      </c>
      <c r="M976" s="4">
        <f t="shared" si="47"/>
        <v>0.53418029396525391</v>
      </c>
    </row>
    <row r="977" spans="1:13" x14ac:dyDescent="0.45">
      <c r="A977" s="2">
        <v>44510</v>
      </c>
      <c r="B977" s="1">
        <v>4195.55</v>
      </c>
      <c r="D977" s="2">
        <v>44510</v>
      </c>
      <c r="E977" s="1">
        <v>753.3</v>
      </c>
      <c r="G977" s="3">
        <v>20240000</v>
      </c>
      <c r="H977" s="3">
        <f t="shared" si="45"/>
        <v>84917932000</v>
      </c>
      <c r="J977" s="3">
        <v>248282786</v>
      </c>
      <c r="K977" s="3">
        <f t="shared" si="46"/>
        <v>187031422693.79999</v>
      </c>
      <c r="M977" s="4">
        <f t="shared" si="47"/>
        <v>0.54596970510659015</v>
      </c>
    </row>
    <row r="978" spans="1:13" x14ac:dyDescent="0.45">
      <c r="A978" s="2">
        <v>44509</v>
      </c>
      <c r="B978" s="1">
        <v>4121.55</v>
      </c>
      <c r="D978" s="2">
        <v>44509</v>
      </c>
      <c r="E978" s="1">
        <v>731.45</v>
      </c>
      <c r="G978" s="3">
        <v>20240000</v>
      </c>
      <c r="H978" s="3">
        <f t="shared" si="45"/>
        <v>83420172000</v>
      </c>
      <c r="J978" s="3">
        <v>248282786</v>
      </c>
      <c r="K978" s="3">
        <f t="shared" si="46"/>
        <v>181606443819.70001</v>
      </c>
      <c r="M978" s="4">
        <f t="shared" si="47"/>
        <v>0.54065411862356572</v>
      </c>
    </row>
    <row r="979" spans="1:13" x14ac:dyDescent="0.45">
      <c r="A979" s="2">
        <v>44508</v>
      </c>
      <c r="B979" s="1">
        <v>3934.35</v>
      </c>
      <c r="D979" s="2">
        <v>44508</v>
      </c>
      <c r="E979" s="1">
        <v>712.2</v>
      </c>
      <c r="G979" s="3">
        <v>20240000</v>
      </c>
      <c r="H979" s="3">
        <f t="shared" si="45"/>
        <v>79631244000</v>
      </c>
      <c r="J979" s="3">
        <v>248282786</v>
      </c>
      <c r="K979" s="3">
        <f t="shared" si="46"/>
        <v>176827000189.20001</v>
      </c>
      <c r="M979" s="4">
        <f t="shared" si="47"/>
        <v>0.54966580943636001</v>
      </c>
    </row>
    <row r="980" spans="1:13" x14ac:dyDescent="0.45">
      <c r="A980" s="2">
        <v>44504</v>
      </c>
      <c r="B980" s="1">
        <v>3863.45</v>
      </c>
      <c r="D980" s="2">
        <v>44504</v>
      </c>
      <c r="E980" s="1">
        <v>708.7</v>
      </c>
      <c r="G980" s="3">
        <v>20240000</v>
      </c>
      <c r="H980" s="3">
        <f t="shared" si="45"/>
        <v>78196228000</v>
      </c>
      <c r="J980" s="3">
        <v>248282786</v>
      </c>
      <c r="K980" s="3">
        <f t="shared" si="46"/>
        <v>175958010438.20001</v>
      </c>
      <c r="M980" s="4">
        <f t="shared" si="47"/>
        <v>0.55559722569456937</v>
      </c>
    </row>
    <row r="981" spans="1:13" x14ac:dyDescent="0.45">
      <c r="A981" s="2">
        <v>44503</v>
      </c>
      <c r="B981" s="1">
        <v>3884.4</v>
      </c>
      <c r="D981" s="2">
        <v>44503</v>
      </c>
      <c r="E981" s="1">
        <v>706.65</v>
      </c>
      <c r="G981" s="3">
        <v>20240000</v>
      </c>
      <c r="H981" s="3">
        <f t="shared" si="45"/>
        <v>78620256000</v>
      </c>
      <c r="J981" s="3">
        <v>248282786</v>
      </c>
      <c r="K981" s="3">
        <f t="shared" si="46"/>
        <v>175449030726.89999</v>
      </c>
      <c r="M981" s="4">
        <f t="shared" si="47"/>
        <v>0.55189119213557514</v>
      </c>
    </row>
    <row r="982" spans="1:13" x14ac:dyDescent="0.45">
      <c r="A982" s="2">
        <v>44502</v>
      </c>
      <c r="B982" s="1">
        <v>3963.65</v>
      </c>
      <c r="D982" s="2">
        <v>44502</v>
      </c>
      <c r="E982" s="1">
        <v>698.05</v>
      </c>
      <c r="G982" s="3">
        <v>20240000</v>
      </c>
      <c r="H982" s="3">
        <f t="shared" si="45"/>
        <v>80224276000</v>
      </c>
      <c r="J982" s="3">
        <v>248282786</v>
      </c>
      <c r="K982" s="3">
        <f t="shared" si="46"/>
        <v>173313798767.29999</v>
      </c>
      <c r="M982" s="4">
        <f t="shared" si="47"/>
        <v>0.53711547164393281</v>
      </c>
    </row>
    <row r="983" spans="1:13" x14ac:dyDescent="0.45">
      <c r="A983" s="2">
        <v>44501</v>
      </c>
      <c r="B983" s="1">
        <v>3882.95</v>
      </c>
      <c r="D983" s="2">
        <v>44501</v>
      </c>
      <c r="E983" s="1">
        <v>670.3</v>
      </c>
      <c r="G983" s="3">
        <v>20240000</v>
      </c>
      <c r="H983" s="3">
        <f t="shared" si="45"/>
        <v>78590908000</v>
      </c>
      <c r="J983" s="3">
        <v>248282786</v>
      </c>
      <c r="K983" s="3">
        <f t="shared" si="46"/>
        <v>166423951455.79999</v>
      </c>
      <c r="M983" s="4">
        <f t="shared" si="47"/>
        <v>0.52776684297829135</v>
      </c>
    </row>
    <row r="984" spans="1:13" x14ac:dyDescent="0.45">
      <c r="A984" s="2">
        <v>44498</v>
      </c>
      <c r="B984" s="1">
        <v>3798.7</v>
      </c>
      <c r="D984" s="2">
        <v>44498</v>
      </c>
      <c r="E984" s="1">
        <v>665.95</v>
      </c>
      <c r="G984" s="3">
        <v>20240000</v>
      </c>
      <c r="H984" s="3">
        <f t="shared" si="45"/>
        <v>76885688000</v>
      </c>
      <c r="J984" s="3">
        <v>248282786</v>
      </c>
      <c r="K984" s="3">
        <f t="shared" si="46"/>
        <v>165343921336.70001</v>
      </c>
      <c r="M984" s="4">
        <f t="shared" si="47"/>
        <v>0.53499537582979584</v>
      </c>
    </row>
    <row r="985" spans="1:13" x14ac:dyDescent="0.45">
      <c r="A985" s="2">
        <v>44497</v>
      </c>
      <c r="B985" s="1">
        <v>3752.75</v>
      </c>
      <c r="D985" s="2">
        <v>44497</v>
      </c>
      <c r="E985" s="1">
        <v>651.9</v>
      </c>
      <c r="G985" s="3">
        <v>20240000</v>
      </c>
      <c r="H985" s="3">
        <f t="shared" si="45"/>
        <v>75955660000</v>
      </c>
      <c r="J985" s="3">
        <v>248282786</v>
      </c>
      <c r="K985" s="3">
        <f t="shared" si="46"/>
        <v>161855548193.39999</v>
      </c>
      <c r="M985" s="4">
        <f t="shared" si="47"/>
        <v>0.53071945418119904</v>
      </c>
    </row>
    <row r="986" spans="1:13" x14ac:dyDescent="0.45">
      <c r="A986" s="2">
        <v>44496</v>
      </c>
      <c r="B986" s="1">
        <v>3746.95</v>
      </c>
      <c r="D986" s="2">
        <v>44496</v>
      </c>
      <c r="E986" s="1">
        <v>625.20000000000005</v>
      </c>
      <c r="G986" s="3">
        <v>20240000</v>
      </c>
      <c r="H986" s="3">
        <f t="shared" si="45"/>
        <v>75838268000</v>
      </c>
      <c r="J986" s="3">
        <v>248282786</v>
      </c>
      <c r="K986" s="3">
        <f t="shared" si="46"/>
        <v>155226397807.20001</v>
      </c>
      <c r="M986" s="4">
        <f t="shared" si="47"/>
        <v>0.51143446558493588</v>
      </c>
    </row>
    <row r="987" spans="1:13" x14ac:dyDescent="0.45">
      <c r="A987" s="2">
        <v>44495</v>
      </c>
      <c r="B987" s="1">
        <v>3738</v>
      </c>
      <c r="D987" s="2">
        <v>44495</v>
      </c>
      <c r="E987" s="1">
        <v>626.15</v>
      </c>
      <c r="G987" s="3">
        <v>20240000</v>
      </c>
      <c r="H987" s="3">
        <f t="shared" si="45"/>
        <v>75657120000</v>
      </c>
      <c r="J987" s="3">
        <v>248282786</v>
      </c>
      <c r="K987" s="3">
        <f t="shared" si="46"/>
        <v>155462266453.89999</v>
      </c>
      <c r="M987" s="4">
        <f t="shared" si="47"/>
        <v>0.51334094294556687</v>
      </c>
    </row>
    <row r="988" spans="1:13" x14ac:dyDescent="0.45">
      <c r="A988" s="2">
        <v>44494</v>
      </c>
      <c r="B988" s="1">
        <v>3726.8</v>
      </c>
      <c r="D988" s="2">
        <v>44494</v>
      </c>
      <c r="E988" s="1">
        <v>599.04999999999995</v>
      </c>
      <c r="G988" s="3">
        <v>20240000</v>
      </c>
      <c r="H988" s="3">
        <f t="shared" si="45"/>
        <v>75430432000</v>
      </c>
      <c r="J988" s="3">
        <v>248282786</v>
      </c>
      <c r="K988" s="3">
        <f t="shared" si="46"/>
        <v>148733802953.29999</v>
      </c>
      <c r="M988" s="4">
        <f t="shared" si="47"/>
        <v>0.49284943636058354</v>
      </c>
    </row>
    <row r="989" spans="1:13" x14ac:dyDescent="0.45">
      <c r="A989" s="2">
        <v>44491</v>
      </c>
      <c r="B989" s="1">
        <v>3740</v>
      </c>
      <c r="D989" s="2">
        <v>44491</v>
      </c>
      <c r="E989" s="1">
        <v>620</v>
      </c>
      <c r="G989" s="3">
        <v>20240000</v>
      </c>
      <c r="H989" s="3">
        <f t="shared" si="45"/>
        <v>75697600000</v>
      </c>
      <c r="J989" s="3">
        <v>248282786</v>
      </c>
      <c r="K989" s="3">
        <f t="shared" si="46"/>
        <v>153935327320</v>
      </c>
      <c r="M989" s="4">
        <f t="shared" si="47"/>
        <v>0.50825063149643224</v>
      </c>
    </row>
    <row r="990" spans="1:13" x14ac:dyDescent="0.45">
      <c r="A990" s="2">
        <v>44490</v>
      </c>
      <c r="B990" s="1">
        <v>3611.2</v>
      </c>
      <c r="D990" s="2">
        <v>44490</v>
      </c>
      <c r="E990" s="1">
        <v>576.54999999999995</v>
      </c>
      <c r="G990" s="3">
        <v>20240000</v>
      </c>
      <c r="H990" s="3">
        <f t="shared" si="45"/>
        <v>73090688000</v>
      </c>
      <c r="J990" s="3">
        <v>248282786</v>
      </c>
      <c r="K990" s="3">
        <f t="shared" si="46"/>
        <v>143147440268.29999</v>
      </c>
      <c r="M990" s="4">
        <f t="shared" si="47"/>
        <v>0.48940275939963185</v>
      </c>
    </row>
    <row r="991" spans="1:13" x14ac:dyDescent="0.45">
      <c r="A991" s="2">
        <v>44489</v>
      </c>
      <c r="B991" s="1">
        <v>3690.9</v>
      </c>
      <c r="D991" s="2">
        <v>44489</v>
      </c>
      <c r="E991" s="1">
        <v>579.1</v>
      </c>
      <c r="G991" s="3">
        <v>20240000</v>
      </c>
      <c r="H991" s="3">
        <f t="shared" si="45"/>
        <v>74703816000</v>
      </c>
      <c r="J991" s="3">
        <v>248282786</v>
      </c>
      <c r="K991" s="3">
        <f t="shared" si="46"/>
        <v>143780561372.60001</v>
      </c>
      <c r="M991" s="4">
        <f t="shared" si="47"/>
        <v>0.48043174065506067</v>
      </c>
    </row>
    <row r="992" spans="1:13" x14ac:dyDescent="0.45">
      <c r="A992" s="2">
        <v>44488</v>
      </c>
      <c r="B992" s="1">
        <v>3681.5</v>
      </c>
      <c r="D992" s="2">
        <v>44488</v>
      </c>
      <c r="E992" s="1">
        <v>583</v>
      </c>
      <c r="G992" s="3">
        <v>20240000</v>
      </c>
      <c r="H992" s="3">
        <f t="shared" si="45"/>
        <v>74513560000</v>
      </c>
      <c r="J992" s="3">
        <v>248282786</v>
      </c>
      <c r="K992" s="3">
        <f t="shared" si="46"/>
        <v>144748864238</v>
      </c>
      <c r="M992" s="4">
        <f t="shared" si="47"/>
        <v>0.48522179851109026</v>
      </c>
    </row>
    <row r="993" spans="1:13" x14ac:dyDescent="0.45">
      <c r="A993" s="2">
        <v>44487</v>
      </c>
      <c r="B993" s="1">
        <v>3724.75</v>
      </c>
      <c r="D993" s="2">
        <v>44487</v>
      </c>
      <c r="E993" s="1">
        <v>586.79999999999995</v>
      </c>
      <c r="G993" s="3">
        <v>20240000</v>
      </c>
      <c r="H993" s="3">
        <f t="shared" si="45"/>
        <v>75388940000</v>
      </c>
      <c r="J993" s="3">
        <v>248282786</v>
      </c>
      <c r="K993" s="3">
        <f t="shared" si="46"/>
        <v>145692338824.79999</v>
      </c>
      <c r="M993" s="4">
        <f t="shared" si="47"/>
        <v>0.48254698491279091</v>
      </c>
    </row>
    <row r="994" spans="1:13" x14ac:dyDescent="0.45">
      <c r="A994" s="2">
        <v>44483</v>
      </c>
      <c r="B994" s="1">
        <v>3664.9</v>
      </c>
      <c r="D994" s="2">
        <v>44483</v>
      </c>
      <c r="E994" s="1">
        <v>583.5</v>
      </c>
      <c r="G994" s="3">
        <v>20240000</v>
      </c>
      <c r="H994" s="3">
        <f t="shared" si="45"/>
        <v>74177576000</v>
      </c>
      <c r="J994" s="3">
        <v>248282786</v>
      </c>
      <c r="K994" s="3">
        <f t="shared" si="46"/>
        <v>144873005631</v>
      </c>
      <c r="M994" s="4">
        <f t="shared" si="47"/>
        <v>0.48798207314801889</v>
      </c>
    </row>
    <row r="995" spans="1:13" x14ac:dyDescent="0.45">
      <c r="A995" s="2">
        <v>44482</v>
      </c>
      <c r="B995" s="1">
        <v>3670.85</v>
      </c>
      <c r="D995" s="2">
        <v>44482</v>
      </c>
      <c r="E995" s="1">
        <v>576.95000000000005</v>
      </c>
      <c r="G995" s="3">
        <v>20240000</v>
      </c>
      <c r="H995" s="3">
        <f t="shared" si="45"/>
        <v>74298004000</v>
      </c>
      <c r="J995" s="3">
        <v>248282786</v>
      </c>
      <c r="K995" s="3">
        <f t="shared" si="46"/>
        <v>143246753382.70001</v>
      </c>
      <c r="M995" s="4">
        <f t="shared" si="47"/>
        <v>0.48132853104527662</v>
      </c>
    </row>
    <row r="996" spans="1:13" x14ac:dyDescent="0.45">
      <c r="A996" s="2">
        <v>44481</v>
      </c>
      <c r="B996" s="1">
        <v>3647.8</v>
      </c>
      <c r="D996" s="2">
        <v>44481</v>
      </c>
      <c r="E996" s="1">
        <v>573.65</v>
      </c>
      <c r="G996" s="3">
        <v>20240000</v>
      </c>
      <c r="H996" s="3">
        <f t="shared" si="45"/>
        <v>73831472000</v>
      </c>
      <c r="J996" s="3">
        <v>248282786</v>
      </c>
      <c r="K996" s="3">
        <f t="shared" si="46"/>
        <v>142427420188.89999</v>
      </c>
      <c r="M996" s="4">
        <f t="shared" si="47"/>
        <v>0.4816203796847679</v>
      </c>
    </row>
    <row r="997" spans="1:13" x14ac:dyDescent="0.45">
      <c r="A997" s="2">
        <v>44480</v>
      </c>
      <c r="B997" s="1">
        <v>3551.25</v>
      </c>
      <c r="D997" s="2">
        <v>44480</v>
      </c>
      <c r="E997" s="1">
        <v>559.1</v>
      </c>
      <c r="G997" s="3">
        <v>20240000</v>
      </c>
      <c r="H997" s="3">
        <f t="shared" si="45"/>
        <v>71877300000</v>
      </c>
      <c r="J997" s="3">
        <v>248282786</v>
      </c>
      <c r="K997" s="3">
        <f t="shared" si="46"/>
        <v>138814905652.60001</v>
      </c>
      <c r="M997" s="4">
        <f t="shared" si="47"/>
        <v>0.48220762271826145</v>
      </c>
    </row>
    <row r="998" spans="1:13" x14ac:dyDescent="0.45">
      <c r="A998" s="2">
        <v>44477</v>
      </c>
      <c r="B998" s="1">
        <v>3499</v>
      </c>
      <c r="D998" s="2">
        <v>44477</v>
      </c>
      <c r="E998" s="1">
        <v>559.65</v>
      </c>
      <c r="G998" s="3">
        <v>20240000</v>
      </c>
      <c r="H998" s="3">
        <f t="shared" si="45"/>
        <v>70819760000</v>
      </c>
      <c r="J998" s="3">
        <v>248282786</v>
      </c>
      <c r="K998" s="3">
        <f t="shared" si="46"/>
        <v>138951461184.89999</v>
      </c>
      <c r="M998" s="4">
        <f t="shared" si="47"/>
        <v>0.49032734599486127</v>
      </c>
    </row>
    <row r="999" spans="1:13" x14ac:dyDescent="0.45">
      <c r="A999" s="2">
        <v>44476</v>
      </c>
      <c r="B999" s="1">
        <v>3491.45</v>
      </c>
      <c r="D999" s="2">
        <v>44476</v>
      </c>
      <c r="E999" s="1">
        <v>557.9</v>
      </c>
      <c r="G999" s="3">
        <v>20240000</v>
      </c>
      <c r="H999" s="3">
        <f t="shared" si="45"/>
        <v>70666948000</v>
      </c>
      <c r="J999" s="3">
        <v>248282786</v>
      </c>
      <c r="K999" s="3">
        <f t="shared" si="46"/>
        <v>138516966309.39999</v>
      </c>
      <c r="M999" s="4">
        <f t="shared" si="47"/>
        <v>0.48983182434017525</v>
      </c>
    </row>
    <row r="1000" spans="1:13" x14ac:dyDescent="0.45">
      <c r="A1000" s="2">
        <v>44475</v>
      </c>
      <c r="B1000" s="1">
        <v>3436.9</v>
      </c>
      <c r="D1000" s="2">
        <v>44475</v>
      </c>
      <c r="E1000" s="1">
        <v>545.29999999999995</v>
      </c>
      <c r="G1000" s="3">
        <v>20240000</v>
      </c>
      <c r="H1000" s="3">
        <f t="shared" si="45"/>
        <v>69562856000</v>
      </c>
      <c r="J1000" s="3">
        <v>248282786</v>
      </c>
      <c r="K1000" s="3">
        <f t="shared" si="46"/>
        <v>135388603205.79999</v>
      </c>
      <c r="M1000" s="4">
        <f t="shared" si="47"/>
        <v>0.48619858427625795</v>
      </c>
    </row>
    <row r="1001" spans="1:13" x14ac:dyDescent="0.45">
      <c r="A1001" s="2">
        <v>44474</v>
      </c>
      <c r="B1001" s="1">
        <v>3442.65</v>
      </c>
      <c r="D1001" s="2">
        <v>44474</v>
      </c>
      <c r="E1001" s="1">
        <v>561.79999999999995</v>
      </c>
      <c r="G1001" s="3">
        <v>20240000</v>
      </c>
      <c r="H1001" s="3">
        <f t="shared" si="45"/>
        <v>69679236000</v>
      </c>
      <c r="J1001" s="3">
        <v>248282786</v>
      </c>
      <c r="K1001" s="3">
        <f t="shared" si="46"/>
        <v>139485269174.79999</v>
      </c>
      <c r="M1001" s="4">
        <f t="shared" si="47"/>
        <v>0.50045451815646957</v>
      </c>
    </row>
    <row r="1002" spans="1:13" x14ac:dyDescent="0.45">
      <c r="A1002" s="2">
        <v>44473</v>
      </c>
      <c r="B1002" s="1">
        <v>3428.25</v>
      </c>
      <c r="D1002" s="2">
        <v>44473</v>
      </c>
      <c r="E1002" s="1">
        <v>560.85</v>
      </c>
      <c r="G1002" s="3">
        <v>20240000</v>
      </c>
      <c r="H1002" s="3">
        <f t="shared" si="45"/>
        <v>69387780000</v>
      </c>
      <c r="J1002" s="3">
        <v>248282786</v>
      </c>
      <c r="K1002" s="3">
        <f t="shared" si="46"/>
        <v>139249400528.10001</v>
      </c>
      <c r="M1002" s="4">
        <f t="shared" si="47"/>
        <v>0.50170140957987241</v>
      </c>
    </row>
    <row r="1003" spans="1:13" x14ac:dyDescent="0.45">
      <c r="A1003" s="2">
        <v>44470</v>
      </c>
      <c r="B1003" s="1">
        <v>3421.9</v>
      </c>
      <c r="D1003" s="2">
        <v>44470</v>
      </c>
      <c r="E1003" s="1">
        <v>565.1</v>
      </c>
      <c r="G1003" s="3">
        <v>20240000</v>
      </c>
      <c r="H1003" s="3">
        <f t="shared" si="45"/>
        <v>69259256000</v>
      </c>
      <c r="J1003" s="3">
        <v>248282786</v>
      </c>
      <c r="K1003" s="3">
        <f t="shared" si="46"/>
        <v>140304602368.60001</v>
      </c>
      <c r="M1003" s="4">
        <f t="shared" si="47"/>
        <v>0.50636504554536166</v>
      </c>
    </row>
    <row r="1004" spans="1:13" x14ac:dyDescent="0.45">
      <c r="A1004" s="2">
        <v>44469</v>
      </c>
      <c r="B1004" s="1">
        <v>3425</v>
      </c>
      <c r="D1004" s="2">
        <v>44469</v>
      </c>
      <c r="E1004" s="1">
        <v>549.54999999999995</v>
      </c>
      <c r="G1004" s="3">
        <v>20240000</v>
      </c>
      <c r="H1004" s="3">
        <f t="shared" si="45"/>
        <v>69322000000</v>
      </c>
      <c r="J1004" s="3">
        <v>248282786</v>
      </c>
      <c r="K1004" s="3">
        <f t="shared" si="46"/>
        <v>136443805046.29999</v>
      </c>
      <c r="M1004" s="4">
        <f t="shared" si="47"/>
        <v>0.49193735855961573</v>
      </c>
    </row>
    <row r="1005" spans="1:13" x14ac:dyDescent="0.45">
      <c r="A1005" s="2">
        <v>44468</v>
      </c>
      <c r="B1005" s="1">
        <v>3342.95</v>
      </c>
      <c r="D1005" s="2">
        <v>44468</v>
      </c>
      <c r="E1005" s="1">
        <v>551.29999999999995</v>
      </c>
      <c r="G1005" s="3">
        <v>20240000</v>
      </c>
      <c r="H1005" s="3">
        <f t="shared" si="45"/>
        <v>67661308000</v>
      </c>
      <c r="J1005" s="3">
        <v>248282786</v>
      </c>
      <c r="K1005" s="3">
        <f t="shared" si="46"/>
        <v>136878299921.79999</v>
      </c>
      <c r="M1005" s="4">
        <f t="shared" si="47"/>
        <v>0.5056827266363213</v>
      </c>
    </row>
    <row r="1006" spans="1:13" x14ac:dyDescent="0.45">
      <c r="A1006" s="2">
        <v>44467</v>
      </c>
      <c r="B1006" s="1">
        <v>3425.8</v>
      </c>
      <c r="D1006" s="2">
        <v>44467</v>
      </c>
      <c r="E1006" s="1">
        <v>555.65</v>
      </c>
      <c r="G1006" s="3">
        <v>20240000</v>
      </c>
      <c r="H1006" s="3">
        <f t="shared" si="45"/>
        <v>69338192000</v>
      </c>
      <c r="J1006" s="3">
        <v>248282786</v>
      </c>
      <c r="K1006" s="3">
        <f t="shared" si="46"/>
        <v>137958330040.89999</v>
      </c>
      <c r="M1006" s="4">
        <f t="shared" si="47"/>
        <v>0.49739756940053159</v>
      </c>
    </row>
    <row r="1007" spans="1:13" x14ac:dyDescent="0.45">
      <c r="A1007" s="2">
        <v>44466</v>
      </c>
      <c r="B1007" s="1">
        <v>3435.75</v>
      </c>
      <c r="D1007" s="2">
        <v>44466</v>
      </c>
      <c r="E1007" s="1">
        <v>555.1</v>
      </c>
      <c r="G1007" s="3">
        <v>20240000</v>
      </c>
      <c r="H1007" s="3">
        <f t="shared" si="45"/>
        <v>69539580000</v>
      </c>
      <c r="J1007" s="3">
        <v>248282786</v>
      </c>
      <c r="K1007" s="3">
        <f t="shared" si="46"/>
        <v>137821774508.60001</v>
      </c>
      <c r="M1007" s="4">
        <f t="shared" si="47"/>
        <v>0.49543836416312603</v>
      </c>
    </row>
    <row r="1008" spans="1:13" x14ac:dyDescent="0.45">
      <c r="A1008" s="2">
        <v>44463</v>
      </c>
      <c r="B1008" s="1">
        <v>3406.4</v>
      </c>
      <c r="D1008" s="2">
        <v>44463</v>
      </c>
      <c r="E1008" s="1">
        <v>536.4</v>
      </c>
      <c r="G1008" s="3">
        <v>20240000</v>
      </c>
      <c r="H1008" s="3">
        <f t="shared" si="45"/>
        <v>68945536000</v>
      </c>
      <c r="J1008" s="3">
        <v>248282786</v>
      </c>
      <c r="K1008" s="3">
        <f t="shared" si="46"/>
        <v>133178886410.39999</v>
      </c>
      <c r="M1008" s="4">
        <f t="shared" si="47"/>
        <v>0.48230881141670201</v>
      </c>
    </row>
    <row r="1009" spans="1:13" x14ac:dyDescent="0.45">
      <c r="A1009" s="2">
        <v>44462</v>
      </c>
      <c r="B1009" s="1">
        <v>3401.1</v>
      </c>
      <c r="D1009" s="2">
        <v>44462</v>
      </c>
      <c r="E1009" s="1">
        <v>541.04999999999995</v>
      </c>
      <c r="G1009" s="3">
        <v>20240000</v>
      </c>
      <c r="H1009" s="3">
        <f t="shared" si="45"/>
        <v>68838264000</v>
      </c>
      <c r="J1009" s="3">
        <v>248282786</v>
      </c>
      <c r="K1009" s="3">
        <f t="shared" si="46"/>
        <v>134333401365.29999</v>
      </c>
      <c r="M1009" s="4">
        <f t="shared" si="47"/>
        <v>0.48755660691711045</v>
      </c>
    </row>
    <row r="1010" spans="1:13" x14ac:dyDescent="0.45">
      <c r="A1010" s="2">
        <v>44461</v>
      </c>
      <c r="B1010" s="1">
        <v>3428.8</v>
      </c>
      <c r="D1010" s="2">
        <v>44461</v>
      </c>
      <c r="E1010" s="1">
        <v>539.85</v>
      </c>
      <c r="G1010" s="3">
        <v>20240000</v>
      </c>
      <c r="H1010" s="3">
        <f t="shared" si="45"/>
        <v>69398912000</v>
      </c>
      <c r="J1010" s="3">
        <v>248282786</v>
      </c>
      <c r="K1010" s="3">
        <f t="shared" si="46"/>
        <v>134035462022.10001</v>
      </c>
      <c r="M1010" s="4">
        <f t="shared" si="47"/>
        <v>0.48223469406508712</v>
      </c>
    </row>
    <row r="1011" spans="1:13" x14ac:dyDescent="0.45">
      <c r="A1011" s="2">
        <v>44460</v>
      </c>
      <c r="B1011" s="1">
        <v>3435.55</v>
      </c>
      <c r="D1011" s="2">
        <v>44460</v>
      </c>
      <c r="E1011" s="1">
        <v>534.04999999999995</v>
      </c>
      <c r="G1011" s="3">
        <v>20240000</v>
      </c>
      <c r="H1011" s="3">
        <f t="shared" si="45"/>
        <v>69535532000</v>
      </c>
      <c r="J1011" s="3">
        <v>248282786</v>
      </c>
      <c r="K1011" s="3">
        <f t="shared" si="46"/>
        <v>132595421863.29999</v>
      </c>
      <c r="M1011" s="4">
        <f t="shared" si="47"/>
        <v>0.47558120014363647</v>
      </c>
    </row>
    <row r="1012" spans="1:13" x14ac:dyDescent="0.45">
      <c r="A1012" s="2">
        <v>44459</v>
      </c>
      <c r="B1012" s="1">
        <v>3455.45</v>
      </c>
      <c r="D1012" s="2">
        <v>44459</v>
      </c>
      <c r="E1012" s="1">
        <v>546.70000000000005</v>
      </c>
      <c r="G1012" s="3">
        <v>20240000</v>
      </c>
      <c r="H1012" s="3">
        <f t="shared" si="45"/>
        <v>69938308000</v>
      </c>
      <c r="J1012" s="3">
        <v>248282786</v>
      </c>
      <c r="K1012" s="3">
        <f t="shared" si="46"/>
        <v>135736199106.20001</v>
      </c>
      <c r="M1012" s="4">
        <f t="shared" si="47"/>
        <v>0.48474829514505369</v>
      </c>
    </row>
    <row r="1013" spans="1:13" x14ac:dyDescent="0.45">
      <c r="A1013" s="2">
        <v>44456</v>
      </c>
      <c r="B1013" s="1">
        <v>3467.7</v>
      </c>
      <c r="D1013" s="2">
        <v>44456</v>
      </c>
      <c r="E1013" s="1">
        <v>546.75</v>
      </c>
      <c r="G1013" s="3">
        <v>20240000</v>
      </c>
      <c r="H1013" s="3">
        <f t="shared" si="45"/>
        <v>70186248000</v>
      </c>
      <c r="J1013" s="3">
        <v>248282786</v>
      </c>
      <c r="K1013" s="3">
        <f t="shared" si="46"/>
        <v>135748613245.5</v>
      </c>
      <c r="M1013" s="4">
        <f t="shared" si="47"/>
        <v>0.48296895031208253</v>
      </c>
    </row>
    <row r="1014" spans="1:13" x14ac:dyDescent="0.45">
      <c r="A1014" s="2">
        <v>44455</v>
      </c>
      <c r="B1014" s="1">
        <v>3487</v>
      </c>
      <c r="D1014" s="2">
        <v>44455</v>
      </c>
      <c r="E1014" s="1">
        <v>545.04999999999995</v>
      </c>
      <c r="G1014" s="3">
        <v>20240000</v>
      </c>
      <c r="H1014" s="3">
        <f t="shared" si="45"/>
        <v>70576880000</v>
      </c>
      <c r="J1014" s="3">
        <v>248282786</v>
      </c>
      <c r="K1014" s="3">
        <f t="shared" si="46"/>
        <v>135326532509.29999</v>
      </c>
      <c r="M1014" s="4">
        <f t="shared" si="47"/>
        <v>0.47846975244747536</v>
      </c>
    </row>
    <row r="1015" spans="1:13" x14ac:dyDescent="0.45">
      <c r="A1015" s="2">
        <v>44454</v>
      </c>
      <c r="B1015" s="1">
        <v>3482.8</v>
      </c>
      <c r="D1015" s="2">
        <v>44454</v>
      </c>
      <c r="E1015" s="1">
        <v>547.75</v>
      </c>
      <c r="G1015" s="3">
        <v>20240000</v>
      </c>
      <c r="H1015" s="3">
        <f t="shared" si="45"/>
        <v>70491872000</v>
      </c>
      <c r="J1015" s="3">
        <v>248282786</v>
      </c>
      <c r="K1015" s="3">
        <f t="shared" si="46"/>
        <v>135996896031.5</v>
      </c>
      <c r="M1015" s="4">
        <f t="shared" si="47"/>
        <v>0.48166558166391926</v>
      </c>
    </row>
    <row r="1016" spans="1:13" x14ac:dyDescent="0.45">
      <c r="A1016" s="2">
        <v>44453</v>
      </c>
      <c r="B1016" s="1">
        <v>3513.95</v>
      </c>
      <c r="D1016" s="2">
        <v>44453</v>
      </c>
      <c r="E1016" s="1">
        <v>550</v>
      </c>
      <c r="G1016" s="3">
        <v>20240000</v>
      </c>
      <c r="H1016" s="3">
        <f t="shared" si="45"/>
        <v>71122348000</v>
      </c>
      <c r="J1016" s="3">
        <v>248282786</v>
      </c>
      <c r="K1016" s="3">
        <f t="shared" si="46"/>
        <v>136555532300</v>
      </c>
      <c r="M1016" s="4">
        <f t="shared" si="47"/>
        <v>0.47916904718476938</v>
      </c>
    </row>
    <row r="1017" spans="1:13" x14ac:dyDescent="0.45">
      <c r="A1017" s="2">
        <v>44452</v>
      </c>
      <c r="B1017" s="1">
        <v>3512.3</v>
      </c>
      <c r="D1017" s="2">
        <v>44452</v>
      </c>
      <c r="E1017" s="1">
        <v>545.54999999999995</v>
      </c>
      <c r="G1017" s="3">
        <v>20240000</v>
      </c>
      <c r="H1017" s="3">
        <f t="shared" si="45"/>
        <v>71088952000</v>
      </c>
      <c r="J1017" s="3">
        <v>248282786</v>
      </c>
      <c r="K1017" s="3">
        <f t="shared" si="46"/>
        <v>135450673902.29999</v>
      </c>
      <c r="M1017" s="4">
        <f t="shared" si="47"/>
        <v>0.47516723282398599</v>
      </c>
    </row>
    <row r="1018" spans="1:13" x14ac:dyDescent="0.45">
      <c r="A1018" s="2">
        <v>44448</v>
      </c>
      <c r="B1018" s="1">
        <v>3554.05</v>
      </c>
      <c r="D1018" s="2">
        <v>44448</v>
      </c>
      <c r="E1018" s="1">
        <v>545.95000000000005</v>
      </c>
      <c r="G1018" s="3">
        <v>20240000</v>
      </c>
      <c r="H1018" s="3">
        <f t="shared" si="45"/>
        <v>71933972000</v>
      </c>
      <c r="J1018" s="3">
        <v>248282786</v>
      </c>
      <c r="K1018" s="3">
        <f t="shared" si="46"/>
        <v>135549987016.70001</v>
      </c>
      <c r="M1018" s="4">
        <f t="shared" si="47"/>
        <v>0.46931775071924131</v>
      </c>
    </row>
    <row r="1019" spans="1:13" x14ac:dyDescent="0.45">
      <c r="A1019" s="2">
        <v>44447</v>
      </c>
      <c r="B1019" s="1">
        <v>3555.95</v>
      </c>
      <c r="D1019" s="2">
        <v>44447</v>
      </c>
      <c r="E1019" s="1">
        <v>546.9</v>
      </c>
      <c r="G1019" s="3">
        <v>20240000</v>
      </c>
      <c r="H1019" s="3">
        <f t="shared" si="45"/>
        <v>71972428000</v>
      </c>
      <c r="J1019" s="3">
        <v>248282786</v>
      </c>
      <c r="K1019" s="3">
        <f t="shared" si="46"/>
        <v>135785855663.39999</v>
      </c>
      <c r="M1019" s="4">
        <f t="shared" si="47"/>
        <v>0.46995636881051372</v>
      </c>
    </row>
    <row r="1020" spans="1:13" x14ac:dyDescent="0.45">
      <c r="A1020" s="2">
        <v>44446</v>
      </c>
      <c r="B1020" s="1">
        <v>3493.6</v>
      </c>
      <c r="D1020" s="2">
        <v>44446</v>
      </c>
      <c r="E1020" s="1">
        <v>553.85</v>
      </c>
      <c r="G1020" s="3">
        <v>20240000</v>
      </c>
      <c r="H1020" s="3">
        <f t="shared" si="45"/>
        <v>70710464000</v>
      </c>
      <c r="J1020" s="3">
        <v>248282786</v>
      </c>
      <c r="K1020" s="3">
        <f t="shared" si="46"/>
        <v>137511421026.10001</v>
      </c>
      <c r="M1020" s="4">
        <f t="shared" si="47"/>
        <v>0.48578479174774158</v>
      </c>
    </row>
    <row r="1021" spans="1:13" x14ac:dyDescent="0.45">
      <c r="A1021" s="2">
        <v>44445</v>
      </c>
      <c r="B1021" s="1">
        <v>3549.3</v>
      </c>
      <c r="D1021" s="2">
        <v>44445</v>
      </c>
      <c r="E1021" s="1">
        <v>546.1</v>
      </c>
      <c r="G1021" s="3">
        <v>20240000</v>
      </c>
      <c r="H1021" s="3">
        <f t="shared" si="45"/>
        <v>71837832000</v>
      </c>
      <c r="J1021" s="3">
        <v>248282786</v>
      </c>
      <c r="K1021" s="3">
        <f t="shared" si="46"/>
        <v>135587229434.60001</v>
      </c>
      <c r="M1021" s="4">
        <f t="shared" si="47"/>
        <v>0.47017257967756687</v>
      </c>
    </row>
    <row r="1022" spans="1:13" x14ac:dyDescent="0.45">
      <c r="A1022" s="2">
        <v>44442</v>
      </c>
      <c r="B1022" s="1">
        <v>3576.6</v>
      </c>
      <c r="D1022" s="2">
        <v>44442</v>
      </c>
      <c r="E1022" s="1">
        <v>540.25</v>
      </c>
      <c r="G1022" s="3">
        <v>20240000</v>
      </c>
      <c r="H1022" s="3">
        <f t="shared" si="45"/>
        <v>72390384000</v>
      </c>
      <c r="J1022" s="3">
        <v>248282786</v>
      </c>
      <c r="K1022" s="3">
        <f t="shared" si="46"/>
        <v>134134775136.5</v>
      </c>
      <c r="M1022" s="4">
        <f t="shared" si="47"/>
        <v>0.46031605952794019</v>
      </c>
    </row>
    <row r="1023" spans="1:13" x14ac:dyDescent="0.45">
      <c r="A1023" s="2">
        <v>44441</v>
      </c>
      <c r="B1023" s="1">
        <v>3569.85</v>
      </c>
      <c r="D1023" s="2">
        <v>44441</v>
      </c>
      <c r="E1023" s="1">
        <v>530.1</v>
      </c>
      <c r="G1023" s="3">
        <v>20240000</v>
      </c>
      <c r="H1023" s="3">
        <f t="shared" si="45"/>
        <v>72253764000</v>
      </c>
      <c r="J1023" s="3">
        <v>248282786</v>
      </c>
      <c r="K1023" s="3">
        <f t="shared" si="46"/>
        <v>131614704858.60001</v>
      </c>
      <c r="M1023" s="4">
        <f t="shared" si="47"/>
        <v>0.4510205825585698</v>
      </c>
    </row>
    <row r="1024" spans="1:13" x14ac:dyDescent="0.45">
      <c r="A1024" s="2">
        <v>44440</v>
      </c>
      <c r="B1024" s="1">
        <v>3569.95</v>
      </c>
      <c r="D1024" s="2">
        <v>44440</v>
      </c>
      <c r="E1024" s="1">
        <v>529.85</v>
      </c>
      <c r="G1024" s="3">
        <v>20240000</v>
      </c>
      <c r="H1024" s="3">
        <f t="shared" si="45"/>
        <v>72255788000</v>
      </c>
      <c r="J1024" s="3">
        <v>248282786</v>
      </c>
      <c r="K1024" s="3">
        <f t="shared" si="46"/>
        <v>131552634162.10001</v>
      </c>
      <c r="M1024" s="4">
        <f t="shared" si="47"/>
        <v>0.45074617121717264</v>
      </c>
    </row>
    <row r="1025" spans="1:13" x14ac:dyDescent="0.45">
      <c r="A1025" s="2">
        <v>44439</v>
      </c>
      <c r="B1025" s="1">
        <v>3645.45</v>
      </c>
      <c r="D1025" s="2">
        <v>44439</v>
      </c>
      <c r="E1025" s="1">
        <v>525.1</v>
      </c>
      <c r="G1025" s="3">
        <v>20240000</v>
      </c>
      <c r="H1025" s="3">
        <f t="shared" si="45"/>
        <v>73783908000</v>
      </c>
      <c r="J1025" s="3">
        <v>248282786</v>
      </c>
      <c r="K1025" s="3">
        <f t="shared" si="46"/>
        <v>130373290928.60001</v>
      </c>
      <c r="M1025" s="4">
        <f t="shared" si="47"/>
        <v>0.43405656576999074</v>
      </c>
    </row>
    <row r="1026" spans="1:13" x14ac:dyDescent="0.45">
      <c r="A1026" s="2">
        <v>44438</v>
      </c>
      <c r="B1026" s="1">
        <v>3659.15</v>
      </c>
      <c r="D1026" s="2">
        <v>44438</v>
      </c>
      <c r="E1026" s="1">
        <v>519.85</v>
      </c>
      <c r="G1026" s="3">
        <v>20240000</v>
      </c>
      <c r="H1026" s="3">
        <f t="shared" si="45"/>
        <v>74061196000</v>
      </c>
      <c r="J1026" s="3">
        <v>248282786</v>
      </c>
      <c r="K1026" s="3">
        <f t="shared" si="46"/>
        <v>129069806302.10001</v>
      </c>
      <c r="M1026" s="4">
        <f t="shared" si="47"/>
        <v>0.42619270825701239</v>
      </c>
    </row>
    <row r="1027" spans="1:13" x14ac:dyDescent="0.45">
      <c r="A1027" s="2">
        <v>44435</v>
      </c>
      <c r="B1027" s="1">
        <v>3548.95</v>
      </c>
      <c r="D1027" s="2">
        <v>44435</v>
      </c>
      <c r="E1027" s="1">
        <v>510.95</v>
      </c>
      <c r="G1027" s="3">
        <v>20240000</v>
      </c>
      <c r="H1027" s="3">
        <f t="shared" si="45"/>
        <v>71830748000</v>
      </c>
      <c r="J1027" s="3">
        <v>248282786</v>
      </c>
      <c r="K1027" s="3">
        <f t="shared" si="46"/>
        <v>126860089506.7</v>
      </c>
      <c r="M1027" s="4">
        <f t="shared" si="47"/>
        <v>0.43377977834229475</v>
      </c>
    </row>
    <row r="1028" spans="1:13" x14ac:dyDescent="0.45">
      <c r="A1028" s="2">
        <v>44434</v>
      </c>
      <c r="B1028" s="1">
        <v>3514.95</v>
      </c>
      <c r="D1028" s="2">
        <v>44434</v>
      </c>
      <c r="E1028" s="1">
        <v>509.2</v>
      </c>
      <c r="G1028" s="3">
        <v>20240000</v>
      </c>
      <c r="H1028" s="3">
        <f t="shared" ref="H1028:H1091" si="48">+G1028*B1028</f>
        <v>71142588000</v>
      </c>
      <c r="J1028" s="3">
        <v>248282786</v>
      </c>
      <c r="K1028" s="3">
        <f t="shared" ref="K1028:K1091" si="49">+J1028*E1028</f>
        <v>126425594631.2</v>
      </c>
      <c r="M1028" s="4">
        <f t="shared" ref="M1028:M1091" si="50">1- (H1028/K1028)</f>
        <v>0.43727701493093829</v>
      </c>
    </row>
    <row r="1029" spans="1:13" x14ac:dyDescent="0.45">
      <c r="A1029" s="2">
        <v>44433</v>
      </c>
      <c r="B1029" s="1">
        <v>3541.85</v>
      </c>
      <c r="D1029" s="2">
        <v>44433</v>
      </c>
      <c r="E1029" s="1">
        <v>519.75</v>
      </c>
      <c r="G1029" s="3">
        <v>20240000</v>
      </c>
      <c r="H1029" s="3">
        <f t="shared" si="48"/>
        <v>71687044000</v>
      </c>
      <c r="J1029" s="3">
        <v>248282786</v>
      </c>
      <c r="K1029" s="3">
        <f t="shared" si="49"/>
        <v>129044978023.5</v>
      </c>
      <c r="M1029" s="4">
        <f t="shared" si="50"/>
        <v>0.44448017196806155</v>
      </c>
    </row>
    <row r="1030" spans="1:13" x14ac:dyDescent="0.45">
      <c r="A1030" s="2">
        <v>44432</v>
      </c>
      <c r="B1030" s="1">
        <v>3557.35</v>
      </c>
      <c r="D1030" s="2">
        <v>44432</v>
      </c>
      <c r="E1030" s="1">
        <v>508.1</v>
      </c>
      <c r="G1030" s="3">
        <v>20240000</v>
      </c>
      <c r="H1030" s="3">
        <f t="shared" si="48"/>
        <v>72000764000</v>
      </c>
      <c r="J1030" s="3">
        <v>248282786</v>
      </c>
      <c r="K1030" s="3">
        <f t="shared" si="49"/>
        <v>126152483566.60001</v>
      </c>
      <c r="M1030" s="4">
        <f t="shared" si="50"/>
        <v>0.42925607198221782</v>
      </c>
    </row>
    <row r="1031" spans="1:13" x14ac:dyDescent="0.45">
      <c r="A1031" s="2">
        <v>44431</v>
      </c>
      <c r="B1031" s="1">
        <v>3478.45</v>
      </c>
      <c r="D1031" s="2">
        <v>44431</v>
      </c>
      <c r="E1031" s="1">
        <v>501.15</v>
      </c>
      <c r="G1031" s="3">
        <v>20240000</v>
      </c>
      <c r="H1031" s="3">
        <f t="shared" si="48"/>
        <v>70403828000</v>
      </c>
      <c r="J1031" s="3">
        <v>248282786</v>
      </c>
      <c r="K1031" s="3">
        <f t="shared" si="49"/>
        <v>124426918203.89999</v>
      </c>
      <c r="M1031" s="4">
        <f t="shared" si="50"/>
        <v>0.43417526515742888</v>
      </c>
    </row>
    <row r="1032" spans="1:13" x14ac:dyDescent="0.45">
      <c r="A1032" s="2">
        <v>44428</v>
      </c>
      <c r="B1032" s="1">
        <v>3583.55</v>
      </c>
      <c r="D1032" s="2">
        <v>44428</v>
      </c>
      <c r="E1032" s="1">
        <v>510.65</v>
      </c>
      <c r="G1032" s="3">
        <v>20240000</v>
      </c>
      <c r="H1032" s="3">
        <f t="shared" si="48"/>
        <v>72531052000</v>
      </c>
      <c r="J1032" s="3">
        <v>248282786</v>
      </c>
      <c r="K1032" s="3">
        <f t="shared" si="49"/>
        <v>126785604670.89999</v>
      </c>
      <c r="M1032" s="4">
        <f t="shared" si="50"/>
        <v>0.42792360230271931</v>
      </c>
    </row>
    <row r="1033" spans="1:13" x14ac:dyDescent="0.45">
      <c r="A1033" s="2">
        <v>44426</v>
      </c>
      <c r="B1033" s="1">
        <v>3665.2</v>
      </c>
      <c r="D1033" s="2">
        <v>44426</v>
      </c>
      <c r="E1033" s="1">
        <v>524.79999999999995</v>
      </c>
      <c r="G1033" s="3">
        <v>20240000</v>
      </c>
      <c r="H1033" s="3">
        <f t="shared" si="48"/>
        <v>74183648000</v>
      </c>
      <c r="J1033" s="3">
        <v>248282786</v>
      </c>
      <c r="K1033" s="3">
        <f t="shared" si="49"/>
        <v>130298806092.79999</v>
      </c>
      <c r="M1033" s="4">
        <f t="shared" si="50"/>
        <v>0.43066517472795773</v>
      </c>
    </row>
    <row r="1034" spans="1:13" x14ac:dyDescent="0.45">
      <c r="A1034" s="2">
        <v>44425</v>
      </c>
      <c r="B1034" s="1">
        <v>3386.45</v>
      </c>
      <c r="D1034" s="2">
        <v>44425</v>
      </c>
      <c r="E1034" s="1">
        <v>529.65</v>
      </c>
      <c r="G1034" s="3">
        <v>20240000</v>
      </c>
      <c r="H1034" s="3">
        <f t="shared" si="48"/>
        <v>68541748000</v>
      </c>
      <c r="J1034" s="3">
        <v>248282786</v>
      </c>
      <c r="K1034" s="3">
        <f t="shared" si="49"/>
        <v>131502977604.89999</v>
      </c>
      <c r="M1034" s="4">
        <f t="shared" si="50"/>
        <v>0.47878177933024968</v>
      </c>
    </row>
    <row r="1035" spans="1:13" x14ac:dyDescent="0.45">
      <c r="A1035" s="2">
        <v>44424</v>
      </c>
      <c r="B1035" s="1">
        <v>3426.9</v>
      </c>
      <c r="D1035" s="2">
        <v>44424</v>
      </c>
      <c r="E1035" s="1">
        <v>538.29999999999995</v>
      </c>
      <c r="G1035" s="3">
        <v>20240000</v>
      </c>
      <c r="H1035" s="3">
        <f t="shared" si="48"/>
        <v>69360456000</v>
      </c>
      <c r="J1035" s="3">
        <v>248282786</v>
      </c>
      <c r="K1035" s="3">
        <f t="shared" si="49"/>
        <v>133650623703.79999</v>
      </c>
      <c r="M1035" s="4">
        <f t="shared" si="50"/>
        <v>0.48103155766995553</v>
      </c>
    </row>
    <row r="1036" spans="1:13" x14ac:dyDescent="0.45">
      <c r="A1036" s="2">
        <v>44421</v>
      </c>
      <c r="B1036" s="1">
        <v>3484.35</v>
      </c>
      <c r="D1036" s="2">
        <v>44421</v>
      </c>
      <c r="E1036" s="1">
        <v>553.45000000000005</v>
      </c>
      <c r="G1036" s="3">
        <v>20240000</v>
      </c>
      <c r="H1036" s="3">
        <f t="shared" si="48"/>
        <v>70523244000</v>
      </c>
      <c r="J1036" s="3">
        <v>248282786</v>
      </c>
      <c r="K1036" s="3">
        <f t="shared" si="49"/>
        <v>137412107911.70001</v>
      </c>
      <c r="M1036" s="4">
        <f t="shared" si="50"/>
        <v>0.48677561918111534</v>
      </c>
    </row>
    <row r="1037" spans="1:13" x14ac:dyDescent="0.45">
      <c r="A1037" s="2">
        <v>44420</v>
      </c>
      <c r="B1037" s="1">
        <v>3502.35</v>
      </c>
      <c r="D1037" s="2">
        <v>44420</v>
      </c>
      <c r="E1037" s="1">
        <v>551.85</v>
      </c>
      <c r="G1037" s="3">
        <v>20240000</v>
      </c>
      <c r="H1037" s="3">
        <f t="shared" si="48"/>
        <v>70887564000</v>
      </c>
      <c r="J1037" s="3">
        <v>248282786</v>
      </c>
      <c r="K1037" s="3">
        <f t="shared" si="49"/>
        <v>137014855454.10001</v>
      </c>
      <c r="M1037" s="4">
        <f t="shared" si="50"/>
        <v>0.48262862618026592</v>
      </c>
    </row>
    <row r="1038" spans="1:13" x14ac:dyDescent="0.45">
      <c r="A1038" s="2">
        <v>44419</v>
      </c>
      <c r="B1038" s="1">
        <v>3510.9</v>
      </c>
      <c r="D1038" s="2">
        <v>44419</v>
      </c>
      <c r="E1038" s="1">
        <v>561.15</v>
      </c>
      <c r="G1038" s="3">
        <v>20240000</v>
      </c>
      <c r="H1038" s="3">
        <f t="shared" si="48"/>
        <v>71060616000</v>
      </c>
      <c r="J1038" s="3">
        <v>248282786</v>
      </c>
      <c r="K1038" s="3">
        <f t="shared" si="49"/>
        <v>139323885363.89999</v>
      </c>
      <c r="M1038" s="4">
        <f t="shared" si="50"/>
        <v>0.48996099402197402</v>
      </c>
    </row>
    <row r="1039" spans="1:13" x14ac:dyDescent="0.45">
      <c r="A1039" s="2">
        <v>44418</v>
      </c>
      <c r="B1039" s="1">
        <v>3534.4</v>
      </c>
      <c r="D1039" s="2">
        <v>44418</v>
      </c>
      <c r="E1039" s="1">
        <v>555.85</v>
      </c>
      <c r="G1039" s="3">
        <v>20240000</v>
      </c>
      <c r="H1039" s="3">
        <f t="shared" si="48"/>
        <v>71536256000</v>
      </c>
      <c r="J1039" s="3">
        <v>248282786</v>
      </c>
      <c r="K1039" s="3">
        <f t="shared" si="49"/>
        <v>138007986598.10001</v>
      </c>
      <c r="M1039" s="4">
        <f t="shared" si="50"/>
        <v>0.48165133219192358</v>
      </c>
    </row>
    <row r="1040" spans="1:13" x14ac:dyDescent="0.45">
      <c r="A1040" s="2">
        <v>44417</v>
      </c>
      <c r="B1040" s="1">
        <v>3535.35</v>
      </c>
      <c r="D1040" s="2">
        <v>44417</v>
      </c>
      <c r="E1040" s="1">
        <v>565.65</v>
      </c>
      <c r="G1040" s="3">
        <v>20240000</v>
      </c>
      <c r="H1040" s="3">
        <f t="shared" si="48"/>
        <v>71555484000</v>
      </c>
      <c r="J1040" s="3">
        <v>248282786</v>
      </c>
      <c r="K1040" s="3">
        <f t="shared" si="49"/>
        <v>140441157900.89999</v>
      </c>
      <c r="M1040" s="4">
        <f t="shared" si="50"/>
        <v>0.49049491566787029</v>
      </c>
    </row>
    <row r="1041" spans="1:13" x14ac:dyDescent="0.45">
      <c r="A1041" s="2">
        <v>44414</v>
      </c>
      <c r="B1041" s="1">
        <v>3700</v>
      </c>
      <c r="D1041" s="2">
        <v>44414</v>
      </c>
      <c r="E1041" s="1">
        <v>570</v>
      </c>
      <c r="G1041" s="3">
        <v>20240000</v>
      </c>
      <c r="H1041" s="3">
        <f t="shared" si="48"/>
        <v>74888000000</v>
      </c>
      <c r="J1041" s="3">
        <v>248282786</v>
      </c>
      <c r="K1041" s="3">
        <f t="shared" si="49"/>
        <v>141521188020</v>
      </c>
      <c r="M1041" s="4">
        <f t="shared" si="50"/>
        <v>0.47083542013923241</v>
      </c>
    </row>
    <row r="1042" spans="1:13" x14ac:dyDescent="0.45">
      <c r="A1042" s="2">
        <v>44413</v>
      </c>
      <c r="B1042" s="1">
        <v>3675.1</v>
      </c>
      <c r="D1042" s="2">
        <v>44413</v>
      </c>
      <c r="E1042" s="1">
        <v>567.65</v>
      </c>
      <c r="G1042" s="3">
        <v>20240000</v>
      </c>
      <c r="H1042" s="3">
        <f t="shared" si="48"/>
        <v>74384024000</v>
      </c>
      <c r="J1042" s="3">
        <v>248282786</v>
      </c>
      <c r="K1042" s="3">
        <f t="shared" si="49"/>
        <v>140937723472.89999</v>
      </c>
      <c r="M1042" s="4">
        <f t="shared" si="50"/>
        <v>0.47222062222182248</v>
      </c>
    </row>
    <row r="1043" spans="1:13" x14ac:dyDescent="0.45">
      <c r="A1043" s="2">
        <v>44412</v>
      </c>
      <c r="B1043" s="1">
        <v>3661.4</v>
      </c>
      <c r="D1043" s="2">
        <v>44412</v>
      </c>
      <c r="E1043" s="1">
        <v>568.20000000000005</v>
      </c>
      <c r="G1043" s="3">
        <v>20240000</v>
      </c>
      <c r="H1043" s="3">
        <f t="shared" si="48"/>
        <v>74106736000</v>
      </c>
      <c r="J1043" s="3">
        <v>248282786</v>
      </c>
      <c r="K1043" s="3">
        <f t="shared" si="49"/>
        <v>141074279005.20001</v>
      </c>
      <c r="M1043" s="4">
        <f t="shared" si="50"/>
        <v>0.47469704241927457</v>
      </c>
    </row>
    <row r="1044" spans="1:13" x14ac:dyDescent="0.45">
      <c r="A1044" s="2">
        <v>44411</v>
      </c>
      <c r="B1044" s="1">
        <v>3706.5</v>
      </c>
      <c r="D1044" s="2">
        <v>44411</v>
      </c>
      <c r="E1044" s="1">
        <v>571.9</v>
      </c>
      <c r="G1044" s="3">
        <v>20240000</v>
      </c>
      <c r="H1044" s="3">
        <f t="shared" si="48"/>
        <v>75019560000</v>
      </c>
      <c r="J1044" s="3">
        <v>248282786</v>
      </c>
      <c r="K1044" s="3">
        <f t="shared" si="49"/>
        <v>141992925313.39999</v>
      </c>
      <c r="M1044" s="4">
        <f t="shared" si="50"/>
        <v>0.47166691696490926</v>
      </c>
    </row>
    <row r="1045" spans="1:13" x14ac:dyDescent="0.45">
      <c r="A1045" s="2">
        <v>44410</v>
      </c>
      <c r="B1045" s="1">
        <v>3655.1</v>
      </c>
      <c r="D1045" s="2">
        <v>44410</v>
      </c>
      <c r="E1045" s="1">
        <v>571.85</v>
      </c>
      <c r="G1045" s="3">
        <v>20240000</v>
      </c>
      <c r="H1045" s="3">
        <f t="shared" si="48"/>
        <v>73979224000</v>
      </c>
      <c r="J1045" s="3">
        <v>248282786</v>
      </c>
      <c r="K1045" s="3">
        <f t="shared" si="49"/>
        <v>141980511174.10001</v>
      </c>
      <c r="M1045" s="4">
        <f t="shared" si="50"/>
        <v>0.47894803738743519</v>
      </c>
    </row>
    <row r="1046" spans="1:13" x14ac:dyDescent="0.45">
      <c r="A1046" s="2">
        <v>44407</v>
      </c>
      <c r="B1046" s="1">
        <v>3658.15</v>
      </c>
      <c r="D1046" s="2">
        <v>44407</v>
      </c>
      <c r="E1046" s="1">
        <v>579.20000000000005</v>
      </c>
      <c r="G1046" s="3">
        <v>20240000</v>
      </c>
      <c r="H1046" s="3">
        <f t="shared" si="48"/>
        <v>74040956000</v>
      </c>
      <c r="J1046" s="3">
        <v>248282786</v>
      </c>
      <c r="K1046" s="3">
        <f t="shared" si="49"/>
        <v>143805389651.20001</v>
      </c>
      <c r="M1046" s="4">
        <f t="shared" si="50"/>
        <v>0.48513086901967761</v>
      </c>
    </row>
    <row r="1047" spans="1:13" x14ac:dyDescent="0.45">
      <c r="A1047" s="2">
        <v>44406</v>
      </c>
      <c r="B1047" s="1">
        <v>3707.6</v>
      </c>
      <c r="D1047" s="2">
        <v>44406</v>
      </c>
      <c r="E1047" s="1">
        <v>561.5</v>
      </c>
      <c r="G1047" s="3">
        <v>20240000</v>
      </c>
      <c r="H1047" s="3">
        <f t="shared" si="48"/>
        <v>75041824000</v>
      </c>
      <c r="J1047" s="3">
        <v>248282786</v>
      </c>
      <c r="K1047" s="3">
        <f t="shared" si="49"/>
        <v>139410784339</v>
      </c>
      <c r="M1047" s="4">
        <f t="shared" si="50"/>
        <v>0.46172152781578502</v>
      </c>
    </row>
    <row r="1048" spans="1:13" x14ac:dyDescent="0.45">
      <c r="A1048" s="2">
        <v>44405</v>
      </c>
      <c r="B1048" s="1">
        <v>3735.5</v>
      </c>
      <c r="D1048" s="2">
        <v>44405</v>
      </c>
      <c r="E1048" s="1">
        <v>575.79999999999995</v>
      </c>
      <c r="G1048" s="3">
        <v>20240000</v>
      </c>
      <c r="H1048" s="3">
        <f t="shared" si="48"/>
        <v>75606520000</v>
      </c>
      <c r="J1048" s="3">
        <v>248282786</v>
      </c>
      <c r="K1048" s="3">
        <f t="shared" si="49"/>
        <v>142961228178.79999</v>
      </c>
      <c r="M1048" s="4">
        <f t="shared" si="50"/>
        <v>0.471139686171136</v>
      </c>
    </row>
    <row r="1049" spans="1:13" x14ac:dyDescent="0.45">
      <c r="A1049" s="2">
        <v>44404</v>
      </c>
      <c r="B1049" s="1">
        <v>3910.3</v>
      </c>
      <c r="D1049" s="2">
        <v>44404</v>
      </c>
      <c r="E1049" s="1">
        <v>581.15</v>
      </c>
      <c r="G1049" s="3">
        <v>20240000</v>
      </c>
      <c r="H1049" s="3">
        <f t="shared" si="48"/>
        <v>79144472000</v>
      </c>
      <c r="J1049" s="3">
        <v>248282786</v>
      </c>
      <c r="K1049" s="3">
        <f t="shared" si="49"/>
        <v>144289541083.89999</v>
      </c>
      <c r="M1049" s="4">
        <f t="shared" si="50"/>
        <v>0.45148850425700715</v>
      </c>
    </row>
    <row r="1050" spans="1:13" x14ac:dyDescent="0.45">
      <c r="A1050" s="2">
        <v>44403</v>
      </c>
      <c r="B1050" s="1">
        <v>3865.1</v>
      </c>
      <c r="D1050" s="2">
        <v>44403</v>
      </c>
      <c r="E1050" s="1">
        <v>584.85</v>
      </c>
      <c r="G1050" s="3">
        <v>20240000</v>
      </c>
      <c r="H1050" s="3">
        <f t="shared" si="48"/>
        <v>78229624000</v>
      </c>
      <c r="J1050" s="3">
        <v>248282786</v>
      </c>
      <c r="K1050" s="3">
        <f t="shared" si="49"/>
        <v>145208187392.10001</v>
      </c>
      <c r="M1050" s="4">
        <f t="shared" si="50"/>
        <v>0.46125886284387263</v>
      </c>
    </row>
    <row r="1051" spans="1:13" x14ac:dyDescent="0.45">
      <c r="A1051" s="2">
        <v>44400</v>
      </c>
      <c r="B1051" s="1">
        <v>3950</v>
      </c>
      <c r="D1051" s="2">
        <v>44400</v>
      </c>
      <c r="E1051" s="1">
        <v>582.35</v>
      </c>
      <c r="G1051" s="3">
        <v>20240000</v>
      </c>
      <c r="H1051" s="3">
        <f t="shared" si="48"/>
        <v>79948000000</v>
      </c>
      <c r="J1051" s="3">
        <v>248282786</v>
      </c>
      <c r="K1051" s="3">
        <f t="shared" si="49"/>
        <v>144587480427.10001</v>
      </c>
      <c r="M1051" s="4">
        <f t="shared" si="50"/>
        <v>0.44706139311757898</v>
      </c>
    </row>
    <row r="1052" spans="1:13" x14ac:dyDescent="0.45">
      <c r="A1052" s="2">
        <v>44399</v>
      </c>
      <c r="B1052" s="1">
        <v>4036.95</v>
      </c>
      <c r="D1052" s="2">
        <v>44399</v>
      </c>
      <c r="E1052" s="1">
        <v>581.29999999999995</v>
      </c>
      <c r="G1052" s="3">
        <v>20240000</v>
      </c>
      <c r="H1052" s="3">
        <f t="shared" si="48"/>
        <v>81707868000</v>
      </c>
      <c r="J1052" s="3">
        <v>248282786</v>
      </c>
      <c r="K1052" s="3">
        <f t="shared" si="49"/>
        <v>144326783501.79999</v>
      </c>
      <c r="M1052" s="4">
        <f t="shared" si="50"/>
        <v>0.43386898801786866</v>
      </c>
    </row>
    <row r="1053" spans="1:13" x14ac:dyDescent="0.45">
      <c r="A1053" s="2">
        <v>44397</v>
      </c>
      <c r="B1053" s="1">
        <v>3784.65</v>
      </c>
      <c r="D1053" s="2">
        <v>44397</v>
      </c>
      <c r="E1053" s="1">
        <v>583.6</v>
      </c>
      <c r="G1053" s="3">
        <v>20240000</v>
      </c>
      <c r="H1053" s="3">
        <f t="shared" si="48"/>
        <v>76601316000</v>
      </c>
      <c r="J1053" s="3">
        <v>248282786</v>
      </c>
      <c r="K1053" s="3">
        <f t="shared" si="49"/>
        <v>144897833909.60001</v>
      </c>
      <c r="M1053" s="4">
        <f t="shared" si="50"/>
        <v>0.47134257336247942</v>
      </c>
    </row>
    <row r="1054" spans="1:13" x14ac:dyDescent="0.45">
      <c r="A1054" s="2">
        <v>44396</v>
      </c>
      <c r="B1054" s="1">
        <v>3885.5</v>
      </c>
      <c r="D1054" s="2">
        <v>44396</v>
      </c>
      <c r="E1054" s="1">
        <v>601.4</v>
      </c>
      <c r="G1054" s="3">
        <v>20240000</v>
      </c>
      <c r="H1054" s="3">
        <f t="shared" si="48"/>
        <v>78642520000</v>
      </c>
      <c r="J1054" s="3">
        <v>248282786</v>
      </c>
      <c r="K1054" s="3">
        <f t="shared" si="49"/>
        <v>149317267500.39999</v>
      </c>
      <c r="M1054" s="4">
        <f t="shared" si="50"/>
        <v>0.47331931988516107</v>
      </c>
    </row>
    <row r="1055" spans="1:13" x14ac:dyDescent="0.45">
      <c r="A1055" s="2">
        <v>44393</v>
      </c>
      <c r="B1055" s="1">
        <v>3904.4</v>
      </c>
      <c r="D1055" s="2">
        <v>44393</v>
      </c>
      <c r="E1055" s="1">
        <v>611.79999999999995</v>
      </c>
      <c r="G1055" s="3">
        <v>20240000</v>
      </c>
      <c r="H1055" s="3">
        <f t="shared" si="48"/>
        <v>79025056000</v>
      </c>
      <c r="J1055" s="3">
        <v>248282786</v>
      </c>
      <c r="K1055" s="3">
        <f t="shared" si="49"/>
        <v>151899408474.79999</v>
      </c>
      <c r="M1055" s="4">
        <f t="shared" si="50"/>
        <v>0.47975402410398327</v>
      </c>
    </row>
    <row r="1056" spans="1:13" x14ac:dyDescent="0.45">
      <c r="A1056" s="2">
        <v>44392</v>
      </c>
      <c r="B1056" s="1">
        <v>3599.55</v>
      </c>
      <c r="D1056" s="2">
        <v>44392</v>
      </c>
      <c r="E1056" s="1">
        <v>609.29999999999995</v>
      </c>
      <c r="G1056" s="3">
        <v>20240000</v>
      </c>
      <c r="H1056" s="3">
        <f t="shared" si="48"/>
        <v>72854892000</v>
      </c>
      <c r="J1056" s="3">
        <v>248282786</v>
      </c>
      <c r="K1056" s="3">
        <f t="shared" si="49"/>
        <v>151278701509.79999</v>
      </c>
      <c r="M1056" s="4">
        <f t="shared" si="50"/>
        <v>0.51840615187141603</v>
      </c>
    </row>
    <row r="1057" spans="1:13" x14ac:dyDescent="0.45">
      <c r="A1057" s="2">
        <v>44391</v>
      </c>
      <c r="B1057" s="1">
        <v>3717.8</v>
      </c>
      <c r="D1057" s="2">
        <v>44391</v>
      </c>
      <c r="E1057" s="1">
        <v>612.6</v>
      </c>
      <c r="G1057" s="3">
        <v>20240000</v>
      </c>
      <c r="H1057" s="3">
        <f t="shared" si="48"/>
        <v>75248272000</v>
      </c>
      <c r="J1057" s="3">
        <v>248282786</v>
      </c>
      <c r="K1057" s="3">
        <f t="shared" si="49"/>
        <v>152098034703.60001</v>
      </c>
      <c r="M1057" s="4">
        <f t="shared" si="50"/>
        <v>0.50526466599887665</v>
      </c>
    </row>
    <row r="1058" spans="1:13" x14ac:dyDescent="0.45">
      <c r="A1058" s="2">
        <v>44390</v>
      </c>
      <c r="B1058" s="1">
        <v>3684.5</v>
      </c>
      <c r="D1058" s="2">
        <v>44390</v>
      </c>
      <c r="E1058" s="1">
        <v>609.9</v>
      </c>
      <c r="G1058" s="3">
        <v>20240000</v>
      </c>
      <c r="H1058" s="3">
        <f t="shared" si="48"/>
        <v>74574280000</v>
      </c>
      <c r="J1058" s="3">
        <v>248282786</v>
      </c>
      <c r="K1058" s="3">
        <f t="shared" si="49"/>
        <v>151427671181.39999</v>
      </c>
      <c r="M1058" s="4">
        <f t="shared" si="50"/>
        <v>0.50752541184718403</v>
      </c>
    </row>
    <row r="1059" spans="1:13" x14ac:dyDescent="0.45">
      <c r="A1059" s="2">
        <v>44389</v>
      </c>
      <c r="B1059" s="1">
        <v>3481.35</v>
      </c>
      <c r="D1059" s="2">
        <v>44389</v>
      </c>
      <c r="E1059" s="1">
        <v>601.4</v>
      </c>
      <c r="G1059" s="3">
        <v>20240000</v>
      </c>
      <c r="H1059" s="3">
        <f t="shared" si="48"/>
        <v>70462524000</v>
      </c>
      <c r="J1059" s="3">
        <v>248282786</v>
      </c>
      <c r="K1059" s="3">
        <f t="shared" si="49"/>
        <v>149317267500.39999</v>
      </c>
      <c r="M1059" s="4">
        <f t="shared" si="50"/>
        <v>0.5281019725343471</v>
      </c>
    </row>
    <row r="1060" spans="1:13" x14ac:dyDescent="0.45">
      <c r="A1060" s="2">
        <v>44386</v>
      </c>
      <c r="B1060" s="1">
        <v>3434.3</v>
      </c>
      <c r="D1060" s="2">
        <v>44386</v>
      </c>
      <c r="E1060" s="1">
        <v>599.29999999999995</v>
      </c>
      <c r="G1060" s="3">
        <v>20240000</v>
      </c>
      <c r="H1060" s="3">
        <f t="shared" si="48"/>
        <v>69510232000</v>
      </c>
      <c r="J1060" s="3">
        <v>248282786</v>
      </c>
      <c r="K1060" s="3">
        <f t="shared" si="49"/>
        <v>148795873649.79999</v>
      </c>
      <c r="M1060" s="4">
        <f t="shared" si="50"/>
        <v>0.5328483895756646</v>
      </c>
    </row>
    <row r="1061" spans="1:13" x14ac:dyDescent="0.45">
      <c r="A1061" s="2">
        <v>44385</v>
      </c>
      <c r="B1061" s="1">
        <v>3419.25</v>
      </c>
      <c r="D1061" s="2">
        <v>44385</v>
      </c>
      <c r="E1061" s="1">
        <v>598.79999999999995</v>
      </c>
      <c r="G1061" s="3">
        <v>20240000</v>
      </c>
      <c r="H1061" s="3">
        <f t="shared" si="48"/>
        <v>69205620000</v>
      </c>
      <c r="J1061" s="3">
        <v>248282786</v>
      </c>
      <c r="K1061" s="3">
        <f t="shared" si="49"/>
        <v>148671732256.79999</v>
      </c>
      <c r="M1061" s="4">
        <f t="shared" si="50"/>
        <v>0.53450720624912429</v>
      </c>
    </row>
    <row r="1062" spans="1:13" x14ac:dyDescent="0.45">
      <c r="A1062" s="2">
        <v>44384</v>
      </c>
      <c r="B1062" s="1">
        <v>3386.7</v>
      </c>
      <c r="D1062" s="2">
        <v>44384</v>
      </c>
      <c r="E1062" s="1">
        <v>604.15</v>
      </c>
      <c r="G1062" s="3">
        <v>20240000</v>
      </c>
      <c r="H1062" s="3">
        <f t="shared" si="48"/>
        <v>68546808000</v>
      </c>
      <c r="J1062" s="3">
        <v>248282786</v>
      </c>
      <c r="K1062" s="3">
        <f t="shared" si="49"/>
        <v>150000045161.89999</v>
      </c>
      <c r="M1062" s="4">
        <f t="shared" si="50"/>
        <v>0.54302141758680689</v>
      </c>
    </row>
    <row r="1063" spans="1:13" x14ac:dyDescent="0.45">
      <c r="A1063" s="2">
        <v>44383</v>
      </c>
      <c r="B1063" s="1">
        <v>3407.1</v>
      </c>
      <c r="D1063" s="2">
        <v>44383</v>
      </c>
      <c r="E1063" s="1">
        <v>608.20000000000005</v>
      </c>
      <c r="G1063" s="3">
        <v>20240000</v>
      </c>
      <c r="H1063" s="3">
        <f t="shared" si="48"/>
        <v>68959704000</v>
      </c>
      <c r="J1063" s="3">
        <v>248282786</v>
      </c>
      <c r="K1063" s="3">
        <f t="shared" si="49"/>
        <v>151005590445.20001</v>
      </c>
      <c r="M1063" s="4">
        <f t="shared" si="50"/>
        <v>0.54333012574772521</v>
      </c>
    </row>
    <row r="1064" spans="1:13" x14ac:dyDescent="0.45">
      <c r="A1064" s="2">
        <v>44382</v>
      </c>
      <c r="B1064" s="1">
        <v>3443.05</v>
      </c>
      <c r="D1064" s="2">
        <v>44382</v>
      </c>
      <c r="E1064" s="1">
        <v>611.79999999999995</v>
      </c>
      <c r="G1064" s="3">
        <v>20240000</v>
      </c>
      <c r="H1064" s="3">
        <f t="shared" si="48"/>
        <v>69687332000</v>
      </c>
      <c r="J1064" s="3">
        <v>248282786</v>
      </c>
      <c r="K1064" s="3">
        <f t="shared" si="49"/>
        <v>151899408474.79999</v>
      </c>
      <c r="M1064" s="4">
        <f t="shared" si="50"/>
        <v>0.54122710088393089</v>
      </c>
    </row>
    <row r="1065" spans="1:13" x14ac:dyDescent="0.45">
      <c r="A1065" s="2">
        <v>44379</v>
      </c>
      <c r="B1065" s="1">
        <v>3413.6</v>
      </c>
      <c r="D1065" s="2">
        <v>44379</v>
      </c>
      <c r="E1065" s="1">
        <v>612.1</v>
      </c>
      <c r="G1065" s="3">
        <v>20240000</v>
      </c>
      <c r="H1065" s="3">
        <f t="shared" si="48"/>
        <v>69091264000</v>
      </c>
      <c r="J1065" s="3">
        <v>248282786</v>
      </c>
      <c r="K1065" s="3">
        <f t="shared" si="49"/>
        <v>151973893310.60001</v>
      </c>
      <c r="M1065" s="4">
        <f t="shared" si="50"/>
        <v>0.5453741264705696</v>
      </c>
    </row>
    <row r="1066" spans="1:13" x14ac:dyDescent="0.45">
      <c r="A1066" s="2">
        <v>44378</v>
      </c>
      <c r="B1066" s="1">
        <v>3412.7</v>
      </c>
      <c r="D1066" s="2">
        <v>44378</v>
      </c>
      <c r="E1066" s="1">
        <v>624.25</v>
      </c>
      <c r="G1066" s="3">
        <v>20240000</v>
      </c>
      <c r="H1066" s="3">
        <f t="shared" si="48"/>
        <v>69073048000</v>
      </c>
      <c r="J1066" s="3">
        <v>248282786</v>
      </c>
      <c r="K1066" s="3">
        <f t="shared" si="49"/>
        <v>154990529160.5</v>
      </c>
      <c r="M1066" s="4">
        <f t="shared" si="50"/>
        <v>0.55434020146823548</v>
      </c>
    </row>
    <row r="1067" spans="1:13" x14ac:dyDescent="0.45">
      <c r="A1067" s="2">
        <v>44377</v>
      </c>
      <c r="B1067" s="1">
        <v>3451.55</v>
      </c>
      <c r="D1067" s="2">
        <v>44377</v>
      </c>
      <c r="E1067" s="1">
        <v>620.25</v>
      </c>
      <c r="G1067" s="3">
        <v>20240000</v>
      </c>
      <c r="H1067" s="3">
        <f t="shared" si="48"/>
        <v>69859372000</v>
      </c>
      <c r="J1067" s="3">
        <v>248282786</v>
      </c>
      <c r="K1067" s="3">
        <f t="shared" si="49"/>
        <v>153997398016.5</v>
      </c>
      <c r="M1067" s="4">
        <f t="shared" si="50"/>
        <v>0.54636004958658502</v>
      </c>
    </row>
    <row r="1068" spans="1:13" x14ac:dyDescent="0.45">
      <c r="A1068" s="2">
        <v>44376</v>
      </c>
      <c r="B1068" s="1">
        <v>3438.15</v>
      </c>
      <c r="D1068" s="2">
        <v>44376</v>
      </c>
      <c r="E1068" s="1">
        <v>612.45000000000005</v>
      </c>
      <c r="G1068" s="3">
        <v>20240000</v>
      </c>
      <c r="H1068" s="3">
        <f t="shared" si="48"/>
        <v>69588156000</v>
      </c>
      <c r="J1068" s="3">
        <v>248282786</v>
      </c>
      <c r="K1068" s="3">
        <f t="shared" si="49"/>
        <v>152060792285.70001</v>
      </c>
      <c r="M1068" s="4">
        <f t="shared" si="50"/>
        <v>0.54236621449890898</v>
      </c>
    </row>
    <row r="1069" spans="1:13" x14ac:dyDescent="0.45">
      <c r="A1069" s="2">
        <v>44375</v>
      </c>
      <c r="B1069" s="1">
        <v>3501.5</v>
      </c>
      <c r="D1069" s="2">
        <v>44375</v>
      </c>
      <c r="E1069" s="1">
        <v>621.5</v>
      </c>
      <c r="G1069" s="3">
        <v>20240000</v>
      </c>
      <c r="H1069" s="3">
        <f t="shared" si="48"/>
        <v>70870360000</v>
      </c>
      <c r="J1069" s="3">
        <v>248282786</v>
      </c>
      <c r="K1069" s="3">
        <f t="shared" si="49"/>
        <v>154307751499</v>
      </c>
      <c r="M1069" s="4">
        <f t="shared" si="50"/>
        <v>0.54072067468069296</v>
      </c>
    </row>
    <row r="1070" spans="1:13" x14ac:dyDescent="0.45">
      <c r="A1070" s="2">
        <v>44372</v>
      </c>
      <c r="B1070" s="1">
        <v>3480.85</v>
      </c>
      <c r="D1070" s="2">
        <v>44372</v>
      </c>
      <c r="E1070" s="1">
        <v>622.4</v>
      </c>
      <c r="G1070" s="3">
        <v>20240000</v>
      </c>
      <c r="H1070" s="3">
        <f t="shared" si="48"/>
        <v>70452404000</v>
      </c>
      <c r="J1070" s="3">
        <v>248282786</v>
      </c>
      <c r="K1070" s="3">
        <f t="shared" si="49"/>
        <v>154531206006.39999</v>
      </c>
      <c r="M1070" s="4">
        <f t="shared" si="50"/>
        <v>0.54408947020654086</v>
      </c>
    </row>
    <row r="1071" spans="1:13" x14ac:dyDescent="0.45">
      <c r="A1071" s="2">
        <v>44371</v>
      </c>
      <c r="B1071" s="1">
        <v>3369.55</v>
      </c>
      <c r="D1071" s="2">
        <v>44371</v>
      </c>
      <c r="E1071" s="1">
        <v>613.9</v>
      </c>
      <c r="G1071" s="3">
        <v>20240000</v>
      </c>
      <c r="H1071" s="3">
        <f t="shared" si="48"/>
        <v>68199692000</v>
      </c>
      <c r="J1071" s="3">
        <v>248282786</v>
      </c>
      <c r="K1071" s="3">
        <f t="shared" si="49"/>
        <v>152420802325.39999</v>
      </c>
      <c r="M1071" s="4">
        <f t="shared" si="50"/>
        <v>0.55255653454439968</v>
      </c>
    </row>
    <row r="1072" spans="1:13" x14ac:dyDescent="0.45">
      <c r="A1072" s="2">
        <v>44370</v>
      </c>
      <c r="B1072" s="1">
        <v>3402.5</v>
      </c>
      <c r="D1072" s="2">
        <v>44370</v>
      </c>
      <c r="E1072" s="1">
        <v>619.6</v>
      </c>
      <c r="G1072" s="3">
        <v>20240000</v>
      </c>
      <c r="H1072" s="3">
        <f t="shared" si="48"/>
        <v>68866600000</v>
      </c>
      <c r="J1072" s="3">
        <v>248282786</v>
      </c>
      <c r="K1072" s="3">
        <f t="shared" si="49"/>
        <v>153836014205.60001</v>
      </c>
      <c r="M1072" s="4">
        <f t="shared" si="50"/>
        <v>0.55233759561684559</v>
      </c>
    </row>
    <row r="1073" spans="1:13" x14ac:dyDescent="0.45">
      <c r="A1073" s="2">
        <v>44369</v>
      </c>
      <c r="B1073" s="1">
        <v>3397.9</v>
      </c>
      <c r="D1073" s="2">
        <v>44369</v>
      </c>
      <c r="E1073" s="1">
        <v>617.15</v>
      </c>
      <c r="G1073" s="3">
        <v>20240000</v>
      </c>
      <c r="H1073" s="3">
        <f t="shared" si="48"/>
        <v>68773496000</v>
      </c>
      <c r="J1073" s="3">
        <v>248282786</v>
      </c>
      <c r="K1073" s="3">
        <f t="shared" si="49"/>
        <v>153227721379.89999</v>
      </c>
      <c r="M1073" s="4">
        <f t="shared" si="50"/>
        <v>0.55116805640221755</v>
      </c>
    </row>
    <row r="1074" spans="1:13" x14ac:dyDescent="0.45">
      <c r="A1074" s="2">
        <v>44368</v>
      </c>
      <c r="B1074" s="1">
        <v>3419.65</v>
      </c>
      <c r="D1074" s="2">
        <v>44368</v>
      </c>
      <c r="E1074" s="1">
        <v>616.75</v>
      </c>
      <c r="G1074" s="3">
        <v>20240000</v>
      </c>
      <c r="H1074" s="3">
        <f t="shared" si="48"/>
        <v>69213716000</v>
      </c>
      <c r="J1074" s="3">
        <v>248282786</v>
      </c>
      <c r="K1074" s="3">
        <f t="shared" si="49"/>
        <v>153128408265.5</v>
      </c>
      <c r="M1074" s="4">
        <f t="shared" si="50"/>
        <v>0.54800211937164156</v>
      </c>
    </row>
    <row r="1075" spans="1:13" x14ac:dyDescent="0.45">
      <c r="A1075" s="2">
        <v>44365</v>
      </c>
      <c r="B1075" s="1">
        <v>3473.45</v>
      </c>
      <c r="D1075" s="2">
        <v>44365</v>
      </c>
      <c r="E1075" s="1">
        <v>609.79999999999995</v>
      </c>
      <c r="G1075" s="3">
        <v>20240000</v>
      </c>
      <c r="H1075" s="3">
        <f t="shared" si="48"/>
        <v>70302628000</v>
      </c>
      <c r="J1075" s="3">
        <v>248282786</v>
      </c>
      <c r="K1075" s="3">
        <f t="shared" si="49"/>
        <v>151402842902.79999</v>
      </c>
      <c r="M1075" s="4">
        <f t="shared" si="50"/>
        <v>0.53565846814954465</v>
      </c>
    </row>
    <row r="1076" spans="1:13" x14ac:dyDescent="0.45">
      <c r="A1076" s="2">
        <v>44364</v>
      </c>
      <c r="B1076" s="1">
        <v>3485.6</v>
      </c>
      <c r="D1076" s="2">
        <v>44364</v>
      </c>
      <c r="E1076" s="1">
        <v>611.04999999999995</v>
      </c>
      <c r="G1076" s="3">
        <v>20240000</v>
      </c>
      <c r="H1076" s="3">
        <f t="shared" si="48"/>
        <v>70548544000</v>
      </c>
      <c r="J1076" s="3">
        <v>248282786</v>
      </c>
      <c r="K1076" s="3">
        <f t="shared" si="49"/>
        <v>151713196385.29999</v>
      </c>
      <c r="M1076" s="4">
        <f t="shared" si="50"/>
        <v>0.53498742574224945</v>
      </c>
    </row>
    <row r="1077" spans="1:13" x14ac:dyDescent="0.45">
      <c r="A1077" s="2">
        <v>44363</v>
      </c>
      <c r="B1077" s="1">
        <v>3480.4</v>
      </c>
      <c r="D1077" s="2">
        <v>44363</v>
      </c>
      <c r="E1077" s="1">
        <v>622.04999999999995</v>
      </c>
      <c r="G1077" s="3">
        <v>20240000</v>
      </c>
      <c r="H1077" s="3">
        <f t="shared" si="48"/>
        <v>70443296000</v>
      </c>
      <c r="J1077" s="3">
        <v>248282786</v>
      </c>
      <c r="K1077" s="3">
        <f t="shared" si="49"/>
        <v>154444307031.29999</v>
      </c>
      <c r="M1077" s="4">
        <f t="shared" si="50"/>
        <v>0.54389192224661398</v>
      </c>
    </row>
    <row r="1078" spans="1:13" x14ac:dyDescent="0.45">
      <c r="A1078" s="2">
        <v>44362</v>
      </c>
      <c r="B1078" s="1">
        <v>3509.65</v>
      </c>
      <c r="D1078" s="2">
        <v>44362</v>
      </c>
      <c r="E1078" s="1">
        <v>629.45000000000005</v>
      </c>
      <c r="G1078" s="3">
        <v>20240000</v>
      </c>
      <c r="H1078" s="3">
        <f t="shared" si="48"/>
        <v>71035316000</v>
      </c>
      <c r="J1078" s="3">
        <v>248282786</v>
      </c>
      <c r="K1078" s="3">
        <f t="shared" si="49"/>
        <v>156281599647.70001</v>
      </c>
      <c r="M1078" s="4">
        <f t="shared" si="50"/>
        <v>0.54546590155122321</v>
      </c>
    </row>
    <row r="1079" spans="1:13" x14ac:dyDescent="0.45">
      <c r="A1079" s="2">
        <v>44361</v>
      </c>
      <c r="B1079" s="1">
        <v>3547.95</v>
      </c>
      <c r="D1079" s="2">
        <v>44361</v>
      </c>
      <c r="E1079" s="1">
        <v>629.25</v>
      </c>
      <c r="G1079" s="3">
        <v>20240000</v>
      </c>
      <c r="H1079" s="3">
        <f t="shared" si="48"/>
        <v>71810508000</v>
      </c>
      <c r="J1079" s="3">
        <v>248282786</v>
      </c>
      <c r="K1079" s="3">
        <f t="shared" si="49"/>
        <v>156231943090.5</v>
      </c>
      <c r="M1079" s="4">
        <f t="shared" si="50"/>
        <v>0.54035963081888738</v>
      </c>
    </row>
    <row r="1080" spans="1:13" x14ac:dyDescent="0.45">
      <c r="A1080" s="2">
        <v>44358</v>
      </c>
      <c r="B1080" s="1">
        <v>3575.1</v>
      </c>
      <c r="D1080" s="2">
        <v>44358</v>
      </c>
      <c r="E1080" s="1">
        <v>636.5</v>
      </c>
      <c r="G1080" s="3">
        <v>20240000</v>
      </c>
      <c r="H1080" s="3">
        <f t="shared" si="48"/>
        <v>72360024000</v>
      </c>
      <c r="J1080" s="3">
        <v>248282786</v>
      </c>
      <c r="K1080" s="3">
        <f t="shared" si="49"/>
        <v>158031993289</v>
      </c>
      <c r="M1080" s="4">
        <f t="shared" si="50"/>
        <v>0.54211788072765699</v>
      </c>
    </row>
    <row r="1081" spans="1:13" x14ac:dyDescent="0.45">
      <c r="A1081" s="2">
        <v>44357</v>
      </c>
      <c r="B1081" s="1">
        <v>3642.3</v>
      </c>
      <c r="D1081" s="2">
        <v>44357</v>
      </c>
      <c r="E1081" s="1">
        <v>637.70000000000005</v>
      </c>
      <c r="G1081" s="3">
        <v>20240000</v>
      </c>
      <c r="H1081" s="3">
        <f t="shared" si="48"/>
        <v>73720152000</v>
      </c>
      <c r="J1081" s="3">
        <v>248282786</v>
      </c>
      <c r="K1081" s="3">
        <f t="shared" si="49"/>
        <v>158329932632.20001</v>
      </c>
      <c r="M1081" s="4">
        <f t="shared" si="50"/>
        <v>0.53438903955544714</v>
      </c>
    </row>
    <row r="1082" spans="1:13" x14ac:dyDescent="0.45">
      <c r="A1082" s="2">
        <v>44356</v>
      </c>
      <c r="B1082" s="1">
        <v>3750.15</v>
      </c>
      <c r="D1082" s="2">
        <v>44356</v>
      </c>
      <c r="E1082" s="1">
        <v>634.25</v>
      </c>
      <c r="G1082" s="3">
        <v>20240000</v>
      </c>
      <c r="H1082" s="3">
        <f t="shared" si="48"/>
        <v>75903036000</v>
      </c>
      <c r="J1082" s="3">
        <v>248282786</v>
      </c>
      <c r="K1082" s="3">
        <f t="shared" si="49"/>
        <v>157473357020.5</v>
      </c>
      <c r="M1082" s="4">
        <f t="shared" si="50"/>
        <v>0.51799442498632398</v>
      </c>
    </row>
    <row r="1083" spans="1:13" x14ac:dyDescent="0.45">
      <c r="A1083" s="2">
        <v>44355</v>
      </c>
      <c r="B1083" s="1">
        <v>3775</v>
      </c>
      <c r="D1083" s="2">
        <v>44355</v>
      </c>
      <c r="E1083" s="1">
        <v>647.20000000000005</v>
      </c>
      <c r="G1083" s="3">
        <v>20240000</v>
      </c>
      <c r="H1083" s="3">
        <f t="shared" si="48"/>
        <v>76406000000</v>
      </c>
      <c r="J1083" s="3">
        <v>248282786</v>
      </c>
      <c r="K1083" s="3">
        <f t="shared" si="49"/>
        <v>160688619099.20001</v>
      </c>
      <c r="M1083" s="4">
        <f t="shared" si="50"/>
        <v>0.52450895135995113</v>
      </c>
    </row>
    <row r="1084" spans="1:13" x14ac:dyDescent="0.45">
      <c r="A1084" s="2">
        <v>44354</v>
      </c>
      <c r="B1084" s="1">
        <v>3878.35</v>
      </c>
      <c r="D1084" s="2">
        <v>44354</v>
      </c>
      <c r="E1084" s="1">
        <v>648.65</v>
      </c>
      <c r="G1084" s="3">
        <v>20240000</v>
      </c>
      <c r="H1084" s="3">
        <f t="shared" si="48"/>
        <v>78497804000</v>
      </c>
      <c r="J1084" s="3">
        <v>248282786</v>
      </c>
      <c r="K1084" s="3">
        <f t="shared" si="49"/>
        <v>161048629138.89999</v>
      </c>
      <c r="M1084" s="4">
        <f t="shared" si="50"/>
        <v>0.51258322147965751</v>
      </c>
    </row>
    <row r="1085" spans="1:13" x14ac:dyDescent="0.45">
      <c r="A1085" s="2">
        <v>44351</v>
      </c>
      <c r="B1085" s="1">
        <v>3594.3</v>
      </c>
      <c r="D1085" s="2">
        <v>44351</v>
      </c>
      <c r="E1085" s="1">
        <v>623.4</v>
      </c>
      <c r="G1085" s="3">
        <v>20240000</v>
      </c>
      <c r="H1085" s="3">
        <f t="shared" si="48"/>
        <v>72748632000</v>
      </c>
      <c r="J1085" s="3">
        <v>248282786</v>
      </c>
      <c r="K1085" s="3">
        <f t="shared" si="49"/>
        <v>154779488792.39999</v>
      </c>
      <c r="M1085" s="4">
        <f t="shared" si="50"/>
        <v>0.52998531932370541</v>
      </c>
    </row>
    <row r="1086" spans="1:13" x14ac:dyDescent="0.45">
      <c r="A1086" s="2">
        <v>44350</v>
      </c>
      <c r="B1086" s="1">
        <v>3727</v>
      </c>
      <c r="D1086" s="2">
        <v>44350</v>
      </c>
      <c r="E1086" s="1">
        <v>624.95000000000005</v>
      </c>
      <c r="G1086" s="3">
        <v>20240000</v>
      </c>
      <c r="H1086" s="3">
        <f t="shared" si="48"/>
        <v>75434480000</v>
      </c>
      <c r="J1086" s="3">
        <v>248282786</v>
      </c>
      <c r="K1086" s="3">
        <f t="shared" si="49"/>
        <v>155164327110.70001</v>
      </c>
      <c r="M1086" s="4">
        <f t="shared" si="50"/>
        <v>0.51384134868717446</v>
      </c>
    </row>
    <row r="1087" spans="1:13" x14ac:dyDescent="0.45">
      <c r="A1087" s="2">
        <v>44349</v>
      </c>
      <c r="B1087" s="1">
        <v>3653.95</v>
      </c>
      <c r="D1087" s="2">
        <v>44349</v>
      </c>
      <c r="E1087" s="1">
        <v>616.20000000000005</v>
      </c>
      <c r="G1087" s="3">
        <v>20240000</v>
      </c>
      <c r="H1087" s="3">
        <f t="shared" si="48"/>
        <v>73955948000</v>
      </c>
      <c r="J1087" s="3">
        <v>248282786</v>
      </c>
      <c r="K1087" s="3">
        <f t="shared" si="49"/>
        <v>152991852733.20001</v>
      </c>
      <c r="M1087" s="4">
        <f t="shared" si="50"/>
        <v>0.51660204985574909</v>
      </c>
    </row>
    <row r="1088" spans="1:13" x14ac:dyDescent="0.45">
      <c r="A1088" s="2">
        <v>44348</v>
      </c>
      <c r="B1088" s="1">
        <v>3586.2</v>
      </c>
      <c r="D1088" s="2">
        <v>44348</v>
      </c>
      <c r="E1088" s="1">
        <v>612.35</v>
      </c>
      <c r="G1088" s="3">
        <v>20240000</v>
      </c>
      <c r="H1088" s="3">
        <f t="shared" si="48"/>
        <v>72584688000</v>
      </c>
      <c r="J1088" s="3">
        <v>248282786</v>
      </c>
      <c r="K1088" s="3">
        <f t="shared" si="49"/>
        <v>152035964007.10001</v>
      </c>
      <c r="M1088" s="4">
        <f t="shared" si="50"/>
        <v>0.52258211750076233</v>
      </c>
    </row>
    <row r="1089" spans="1:13" x14ac:dyDescent="0.45">
      <c r="A1089" s="2">
        <v>44347</v>
      </c>
      <c r="B1089" s="1">
        <v>3555.05</v>
      </c>
      <c r="D1089" s="2">
        <v>44347</v>
      </c>
      <c r="E1089" s="1">
        <v>615.04999999999995</v>
      </c>
      <c r="G1089" s="3">
        <v>20240000</v>
      </c>
      <c r="H1089" s="3">
        <f t="shared" si="48"/>
        <v>71954212000</v>
      </c>
      <c r="J1089" s="3">
        <v>272682786</v>
      </c>
      <c r="K1089" s="3">
        <f t="shared" si="49"/>
        <v>167713547529.29999</v>
      </c>
      <c r="M1089" s="4">
        <f t="shared" si="50"/>
        <v>0.57096959035208883</v>
      </c>
    </row>
    <row r="1090" spans="1:13" x14ac:dyDescent="0.45">
      <c r="A1090" s="2">
        <v>44344</v>
      </c>
      <c r="B1090" s="1">
        <v>3442.05</v>
      </c>
      <c r="D1090" s="2">
        <v>44344</v>
      </c>
      <c r="E1090" s="1">
        <v>619.4</v>
      </c>
      <c r="G1090" s="3">
        <v>20240000</v>
      </c>
      <c r="H1090" s="3">
        <f t="shared" si="48"/>
        <v>69667092000</v>
      </c>
      <c r="J1090" s="3">
        <v>272682786</v>
      </c>
      <c r="K1090" s="3">
        <f t="shared" si="49"/>
        <v>168899717648.39999</v>
      </c>
      <c r="M1090" s="4">
        <f t="shared" si="50"/>
        <v>0.58752392857739055</v>
      </c>
    </row>
    <row r="1091" spans="1:13" x14ac:dyDescent="0.45">
      <c r="A1091" s="2">
        <v>44343</v>
      </c>
      <c r="B1091" s="1">
        <v>3429.6</v>
      </c>
      <c r="D1091" s="2">
        <v>44343</v>
      </c>
      <c r="E1091" s="1">
        <v>650.29999999999995</v>
      </c>
      <c r="G1091" s="3">
        <v>20240000</v>
      </c>
      <c r="H1091" s="3">
        <f t="shared" si="48"/>
        <v>69415104000</v>
      </c>
      <c r="J1091" s="3">
        <v>272682786</v>
      </c>
      <c r="K1091" s="3">
        <f t="shared" si="49"/>
        <v>177325615735.79999</v>
      </c>
      <c r="M1091" s="4">
        <f t="shared" si="50"/>
        <v>0.60854440734934445</v>
      </c>
    </row>
    <row r="1092" spans="1:13" x14ac:dyDescent="0.45">
      <c r="A1092" s="2">
        <v>44342</v>
      </c>
      <c r="B1092" s="1">
        <v>3240.5</v>
      </c>
      <c r="D1092" s="2">
        <v>44342</v>
      </c>
      <c r="E1092" s="1">
        <v>652</v>
      </c>
      <c r="G1092" s="3">
        <v>20240000</v>
      </c>
      <c r="H1092" s="3">
        <f t="shared" ref="H1092:H1155" si="51">+G1092*B1092</f>
        <v>65587720000</v>
      </c>
      <c r="J1092" s="3">
        <v>272682786</v>
      </c>
      <c r="K1092" s="3">
        <f t="shared" ref="K1092:K1155" si="52">+J1092*E1092</f>
        <v>177789176472</v>
      </c>
      <c r="M1092" s="4">
        <f t="shared" ref="M1092:M1155" si="53">1- (H1092/K1092)</f>
        <v>0.63109272846916298</v>
      </c>
    </row>
    <row r="1093" spans="1:13" x14ac:dyDescent="0.45">
      <c r="A1093" s="2">
        <v>44341</v>
      </c>
      <c r="B1093" s="1">
        <v>3233.1</v>
      </c>
      <c r="D1093" s="2">
        <v>44341</v>
      </c>
      <c r="E1093" s="1">
        <v>634.1</v>
      </c>
      <c r="G1093" s="3">
        <v>20240000</v>
      </c>
      <c r="H1093" s="3">
        <f t="shared" si="51"/>
        <v>65437944000</v>
      </c>
      <c r="J1093" s="3">
        <v>272682786</v>
      </c>
      <c r="K1093" s="3">
        <f t="shared" si="52"/>
        <v>172908154602.60001</v>
      </c>
      <c r="M1093" s="4">
        <f t="shared" si="53"/>
        <v>0.62154506737754511</v>
      </c>
    </row>
    <row r="1094" spans="1:13" x14ac:dyDescent="0.45">
      <c r="A1094" s="2">
        <v>44340</v>
      </c>
      <c r="B1094" s="1">
        <v>3168.5</v>
      </c>
      <c r="D1094" s="2">
        <v>44340</v>
      </c>
      <c r="E1094" s="1">
        <v>620.70000000000005</v>
      </c>
      <c r="G1094" s="3">
        <v>20240000</v>
      </c>
      <c r="H1094" s="3">
        <f t="shared" si="51"/>
        <v>64130440000</v>
      </c>
      <c r="J1094" s="3">
        <v>272682786</v>
      </c>
      <c r="K1094" s="3">
        <f t="shared" si="52"/>
        <v>169254205270.20001</v>
      </c>
      <c r="M1094" s="4">
        <f t="shared" si="53"/>
        <v>0.6210998722447032</v>
      </c>
    </row>
    <row r="1095" spans="1:13" x14ac:dyDescent="0.45">
      <c r="A1095" s="2">
        <v>44337</v>
      </c>
      <c r="B1095" s="1">
        <v>3178.65</v>
      </c>
      <c r="D1095" s="2">
        <v>44337</v>
      </c>
      <c r="E1095" s="1">
        <v>625.04999999999995</v>
      </c>
      <c r="G1095" s="3">
        <v>20240000</v>
      </c>
      <c r="H1095" s="3">
        <f t="shared" si="51"/>
        <v>64335876000</v>
      </c>
      <c r="J1095" s="3">
        <v>272682786</v>
      </c>
      <c r="K1095" s="3">
        <f t="shared" si="52"/>
        <v>170440375389.29999</v>
      </c>
      <c r="M1095" s="4">
        <f t="shared" si="53"/>
        <v>0.62253148144592196</v>
      </c>
    </row>
    <row r="1096" spans="1:13" x14ac:dyDescent="0.45">
      <c r="A1096" s="2">
        <v>44336</v>
      </c>
      <c r="B1096" s="1">
        <v>3111.15</v>
      </c>
      <c r="D1096" s="2">
        <v>44336</v>
      </c>
      <c r="E1096" s="1">
        <v>627.45000000000005</v>
      </c>
      <c r="G1096" s="3">
        <v>20240000</v>
      </c>
      <c r="H1096" s="3">
        <f t="shared" si="51"/>
        <v>62969676000</v>
      </c>
      <c r="J1096" s="3">
        <v>272682786</v>
      </c>
      <c r="K1096" s="3">
        <f t="shared" si="52"/>
        <v>171094814075.70001</v>
      </c>
      <c r="M1096" s="4">
        <f t="shared" si="53"/>
        <v>0.63196034701472947</v>
      </c>
    </row>
    <row r="1097" spans="1:13" x14ac:dyDescent="0.45">
      <c r="A1097" s="2">
        <v>44335</v>
      </c>
      <c r="B1097" s="1">
        <v>3079.1</v>
      </c>
      <c r="D1097" s="2">
        <v>44335</v>
      </c>
      <c r="E1097" s="1">
        <v>637.95000000000005</v>
      </c>
      <c r="G1097" s="3">
        <v>20240000</v>
      </c>
      <c r="H1097" s="3">
        <f t="shared" si="51"/>
        <v>62320984000</v>
      </c>
      <c r="J1097" s="3">
        <v>272682786</v>
      </c>
      <c r="K1097" s="3">
        <f t="shared" si="52"/>
        <v>173957983328.70001</v>
      </c>
      <c r="M1097" s="4">
        <f t="shared" si="53"/>
        <v>0.64174691608006174</v>
      </c>
    </row>
    <row r="1098" spans="1:13" x14ac:dyDescent="0.45">
      <c r="A1098" s="2">
        <v>44334</v>
      </c>
      <c r="B1098" s="1">
        <v>3057.4</v>
      </c>
      <c r="D1098" s="2">
        <v>44334</v>
      </c>
      <c r="E1098" s="1">
        <v>640.1</v>
      </c>
      <c r="G1098" s="3">
        <v>20240000</v>
      </c>
      <c r="H1098" s="3">
        <f t="shared" si="51"/>
        <v>61881776000</v>
      </c>
      <c r="J1098" s="3">
        <v>272682786</v>
      </c>
      <c r="K1098" s="3">
        <f t="shared" si="52"/>
        <v>174544251318.60001</v>
      </c>
      <c r="M1098" s="4">
        <f t="shared" si="53"/>
        <v>0.64546654769485567</v>
      </c>
    </row>
    <row r="1099" spans="1:13" x14ac:dyDescent="0.45">
      <c r="A1099" s="2">
        <v>44333</v>
      </c>
      <c r="B1099" s="1">
        <v>3094.15</v>
      </c>
      <c r="D1099" s="2">
        <v>44333</v>
      </c>
      <c r="E1099" s="1">
        <v>617.1</v>
      </c>
      <c r="G1099" s="3">
        <v>20240000</v>
      </c>
      <c r="H1099" s="3">
        <f t="shared" si="51"/>
        <v>62625596000</v>
      </c>
      <c r="J1099" s="3">
        <v>272682786</v>
      </c>
      <c r="K1099" s="3">
        <f t="shared" si="52"/>
        <v>168272547240.60001</v>
      </c>
      <c r="M1099" s="4">
        <f t="shared" si="53"/>
        <v>0.62783236465508263</v>
      </c>
    </row>
    <row r="1100" spans="1:13" x14ac:dyDescent="0.45">
      <c r="A1100" s="2">
        <v>44330</v>
      </c>
      <c r="B1100" s="1">
        <v>3117.55</v>
      </c>
      <c r="D1100" s="2">
        <v>44330</v>
      </c>
      <c r="E1100" s="1">
        <v>603.15</v>
      </c>
      <c r="G1100" s="3">
        <v>20240000</v>
      </c>
      <c r="H1100" s="3">
        <f t="shared" si="51"/>
        <v>63099212000</v>
      </c>
      <c r="J1100" s="3">
        <v>272682786</v>
      </c>
      <c r="K1100" s="3">
        <f t="shared" si="52"/>
        <v>164468622375.89999</v>
      </c>
      <c r="M1100" s="4">
        <f t="shared" si="53"/>
        <v>0.61634498369066359</v>
      </c>
    </row>
    <row r="1101" spans="1:13" x14ac:dyDescent="0.45">
      <c r="A1101" s="2">
        <v>44328</v>
      </c>
      <c r="B1101" s="1">
        <v>3125.35</v>
      </c>
      <c r="D1101" s="2">
        <v>44328</v>
      </c>
      <c r="E1101" s="1">
        <v>614.25</v>
      </c>
      <c r="G1101" s="3">
        <v>20240000</v>
      </c>
      <c r="H1101" s="3">
        <f t="shared" si="51"/>
        <v>63257084000</v>
      </c>
      <c r="J1101" s="3">
        <v>272682786</v>
      </c>
      <c r="K1101" s="3">
        <f t="shared" si="52"/>
        <v>167495401300.5</v>
      </c>
      <c r="M1101" s="4">
        <f t="shared" si="53"/>
        <v>0.62233539841185381</v>
      </c>
    </row>
    <row r="1102" spans="1:13" x14ac:dyDescent="0.45">
      <c r="A1102" s="2">
        <v>44327</v>
      </c>
      <c r="B1102" s="1">
        <v>3163.6</v>
      </c>
      <c r="D1102" s="2">
        <v>44327</v>
      </c>
      <c r="E1102" s="1">
        <v>624.70000000000005</v>
      </c>
      <c r="G1102" s="3">
        <v>20240000</v>
      </c>
      <c r="H1102" s="3">
        <f t="shared" si="51"/>
        <v>64031264000</v>
      </c>
      <c r="J1102" s="3">
        <v>272682786</v>
      </c>
      <c r="K1102" s="3">
        <f t="shared" si="52"/>
        <v>170344936414.20001</v>
      </c>
      <c r="M1102" s="4">
        <f t="shared" si="53"/>
        <v>0.62410820451800442</v>
      </c>
    </row>
    <row r="1103" spans="1:13" x14ac:dyDescent="0.45">
      <c r="A1103" s="2">
        <v>44326</v>
      </c>
      <c r="B1103" s="1">
        <v>3284.25</v>
      </c>
      <c r="D1103" s="2">
        <v>44326</v>
      </c>
      <c r="E1103" s="1">
        <v>611.75</v>
      </c>
      <c r="G1103" s="3">
        <v>20240000</v>
      </c>
      <c r="H1103" s="3">
        <f t="shared" si="51"/>
        <v>66473220000</v>
      </c>
      <c r="J1103" s="3">
        <v>272682786</v>
      </c>
      <c r="K1103" s="3">
        <f t="shared" si="52"/>
        <v>166813694335.5</v>
      </c>
      <c r="M1103" s="4">
        <f t="shared" si="53"/>
        <v>0.60151221238283137</v>
      </c>
    </row>
    <row r="1104" spans="1:13" x14ac:dyDescent="0.45">
      <c r="A1104" s="2">
        <v>44323</v>
      </c>
      <c r="B1104" s="1">
        <v>3186.15</v>
      </c>
      <c r="D1104" s="2">
        <v>44323</v>
      </c>
      <c r="E1104" s="1">
        <v>618</v>
      </c>
      <c r="G1104" s="3">
        <v>20240000</v>
      </c>
      <c r="H1104" s="3">
        <f t="shared" si="51"/>
        <v>64487676000</v>
      </c>
      <c r="J1104" s="3">
        <v>272682786</v>
      </c>
      <c r="K1104" s="3">
        <f t="shared" si="52"/>
        <v>168517961748</v>
      </c>
      <c r="M1104" s="4">
        <f t="shared" si="53"/>
        <v>0.61732461435514985</v>
      </c>
    </row>
    <row r="1105" spans="1:13" x14ac:dyDescent="0.45">
      <c r="A1105" s="2">
        <v>44322</v>
      </c>
      <c r="B1105" s="1">
        <v>3118.2</v>
      </c>
      <c r="D1105" s="2">
        <v>44322</v>
      </c>
      <c r="E1105" s="1">
        <v>626.15</v>
      </c>
      <c r="G1105" s="3">
        <v>20240000</v>
      </c>
      <c r="H1105" s="3">
        <f t="shared" si="51"/>
        <v>63112368000</v>
      </c>
      <c r="J1105" s="3">
        <v>272682786</v>
      </c>
      <c r="K1105" s="3">
        <f t="shared" si="52"/>
        <v>170740326453.89999</v>
      </c>
      <c r="M1105" s="4">
        <f t="shared" si="53"/>
        <v>0.63036050527266396</v>
      </c>
    </row>
    <row r="1106" spans="1:13" x14ac:dyDescent="0.45">
      <c r="A1106" s="2">
        <v>44321</v>
      </c>
      <c r="B1106" s="1">
        <v>3095.45</v>
      </c>
      <c r="D1106" s="2">
        <v>44321</v>
      </c>
      <c r="E1106" s="1">
        <v>604.04999999999995</v>
      </c>
      <c r="G1106" s="3">
        <v>20240000</v>
      </c>
      <c r="H1106" s="3">
        <f t="shared" si="51"/>
        <v>62651908000</v>
      </c>
      <c r="J1106" s="3">
        <v>272682786</v>
      </c>
      <c r="K1106" s="3">
        <f t="shared" si="52"/>
        <v>164714036883.29999</v>
      </c>
      <c r="M1106" s="4">
        <f t="shared" si="53"/>
        <v>0.61963224758804913</v>
      </c>
    </row>
    <row r="1107" spans="1:13" x14ac:dyDescent="0.45">
      <c r="A1107" s="2">
        <v>44320</v>
      </c>
      <c r="B1107" s="1">
        <v>3095.7</v>
      </c>
      <c r="D1107" s="2">
        <v>44320</v>
      </c>
      <c r="E1107" s="1">
        <v>608.54999999999995</v>
      </c>
      <c r="G1107" s="3">
        <v>20240000</v>
      </c>
      <c r="H1107" s="3">
        <f t="shared" si="51"/>
        <v>62656968000</v>
      </c>
      <c r="J1107" s="3">
        <v>272682786</v>
      </c>
      <c r="K1107" s="3">
        <f t="shared" si="52"/>
        <v>165941109420.29999</v>
      </c>
      <c r="M1107" s="4">
        <f t="shared" si="53"/>
        <v>0.62241443233152793</v>
      </c>
    </row>
    <row r="1108" spans="1:13" x14ac:dyDescent="0.45">
      <c r="A1108" s="2">
        <v>44319</v>
      </c>
      <c r="B1108" s="1">
        <v>3145.95</v>
      </c>
      <c r="D1108" s="2">
        <v>44319</v>
      </c>
      <c r="E1108" s="1">
        <v>616.4</v>
      </c>
      <c r="G1108" s="3">
        <v>20240000</v>
      </c>
      <c r="H1108" s="3">
        <f t="shared" si="51"/>
        <v>63674028000</v>
      </c>
      <c r="J1108" s="3">
        <v>272682786</v>
      </c>
      <c r="K1108" s="3">
        <f t="shared" si="52"/>
        <v>168081669290.39999</v>
      </c>
      <c r="M1108" s="4">
        <f t="shared" si="53"/>
        <v>0.62117208694549331</v>
      </c>
    </row>
    <row r="1109" spans="1:13" x14ac:dyDescent="0.45">
      <c r="A1109" s="2">
        <v>44316</v>
      </c>
      <c r="B1109" s="1">
        <v>3131.65</v>
      </c>
      <c r="D1109" s="2">
        <v>44316</v>
      </c>
      <c r="E1109" s="1">
        <v>630.95000000000005</v>
      </c>
      <c r="G1109" s="3">
        <v>20240000</v>
      </c>
      <c r="H1109" s="3">
        <f t="shared" si="51"/>
        <v>63384596000</v>
      </c>
      <c r="J1109" s="3">
        <v>272682786</v>
      </c>
      <c r="K1109" s="3">
        <f t="shared" si="52"/>
        <v>172049203826.70001</v>
      </c>
      <c r="M1109" s="4">
        <f t="shared" si="53"/>
        <v>0.63159029748347217</v>
      </c>
    </row>
    <row r="1110" spans="1:13" x14ac:dyDescent="0.45">
      <c r="A1110" s="2">
        <v>44315</v>
      </c>
      <c r="B1110" s="1">
        <v>3187.95</v>
      </c>
      <c r="D1110" s="2">
        <v>44315</v>
      </c>
      <c r="E1110" s="1">
        <v>633.5</v>
      </c>
      <c r="G1110" s="3">
        <v>20240000</v>
      </c>
      <c r="H1110" s="3">
        <f t="shared" si="51"/>
        <v>64524108000</v>
      </c>
      <c r="J1110" s="3">
        <v>272682786</v>
      </c>
      <c r="K1110" s="3">
        <f t="shared" si="52"/>
        <v>172744544931</v>
      </c>
      <c r="M1110" s="4">
        <f t="shared" si="53"/>
        <v>0.62647672593208026</v>
      </c>
    </row>
    <row r="1111" spans="1:13" x14ac:dyDescent="0.45">
      <c r="A1111" s="2">
        <v>44314</v>
      </c>
      <c r="B1111" s="1">
        <v>3220.7</v>
      </c>
      <c r="D1111" s="2">
        <v>44314</v>
      </c>
      <c r="E1111" s="1">
        <v>645.9</v>
      </c>
      <c r="G1111" s="3">
        <v>20240000</v>
      </c>
      <c r="H1111" s="3">
        <f t="shared" si="51"/>
        <v>65186968000</v>
      </c>
      <c r="J1111" s="3">
        <v>272682786</v>
      </c>
      <c r="K1111" s="3">
        <f t="shared" si="52"/>
        <v>176125811477.39999</v>
      </c>
      <c r="M1111" s="4">
        <f t="shared" si="53"/>
        <v>0.62988407290680037</v>
      </c>
    </row>
    <row r="1112" spans="1:13" x14ac:dyDescent="0.45">
      <c r="A1112" s="2">
        <v>44313</v>
      </c>
      <c r="B1112" s="1">
        <v>3008.15</v>
      </c>
      <c r="D1112" s="2">
        <v>44313</v>
      </c>
      <c r="E1112" s="1">
        <v>566.29999999999995</v>
      </c>
      <c r="G1112" s="3">
        <v>20240000</v>
      </c>
      <c r="H1112" s="3">
        <f t="shared" si="51"/>
        <v>60884956000</v>
      </c>
      <c r="J1112" s="3">
        <v>272682786</v>
      </c>
      <c r="K1112" s="3">
        <f t="shared" si="52"/>
        <v>154420261711.79999</v>
      </c>
      <c r="M1112" s="4">
        <f t="shared" si="53"/>
        <v>0.60571912438775843</v>
      </c>
    </row>
    <row r="1113" spans="1:13" x14ac:dyDescent="0.45">
      <c r="A1113" s="2">
        <v>44312</v>
      </c>
      <c r="B1113" s="1">
        <v>2997.55</v>
      </c>
      <c r="D1113" s="2">
        <v>44312</v>
      </c>
      <c r="E1113" s="1">
        <v>552.85</v>
      </c>
      <c r="G1113" s="3">
        <v>20240000</v>
      </c>
      <c r="H1113" s="3">
        <f t="shared" si="51"/>
        <v>60670412000</v>
      </c>
      <c r="J1113" s="3">
        <v>272682786</v>
      </c>
      <c r="K1113" s="3">
        <f t="shared" si="52"/>
        <v>150752678240.10001</v>
      </c>
      <c r="M1113" s="4">
        <f t="shared" si="53"/>
        <v>0.59755002227309184</v>
      </c>
    </row>
    <row r="1114" spans="1:13" x14ac:dyDescent="0.45">
      <c r="A1114" s="2">
        <v>44309</v>
      </c>
      <c r="B1114" s="1">
        <v>2978.15</v>
      </c>
      <c r="D1114" s="2">
        <v>44309</v>
      </c>
      <c r="E1114" s="1">
        <v>533.54999999999995</v>
      </c>
      <c r="G1114" s="3">
        <v>20240000</v>
      </c>
      <c r="H1114" s="3">
        <f t="shared" si="51"/>
        <v>60277756000</v>
      </c>
      <c r="J1114" s="3">
        <v>272682786</v>
      </c>
      <c r="K1114" s="3">
        <f t="shared" si="52"/>
        <v>145489900470.29999</v>
      </c>
      <c r="M1114" s="4">
        <f t="shared" si="53"/>
        <v>0.58569113178886956</v>
      </c>
    </row>
    <row r="1115" spans="1:13" x14ac:dyDescent="0.45">
      <c r="A1115" s="2">
        <v>44308</v>
      </c>
      <c r="B1115" s="1">
        <v>2960.4</v>
      </c>
      <c r="D1115" s="2">
        <v>44308</v>
      </c>
      <c r="E1115" s="1">
        <v>533.70000000000005</v>
      </c>
      <c r="G1115" s="3">
        <v>20240000</v>
      </c>
      <c r="H1115" s="3">
        <f t="shared" si="51"/>
        <v>59918496000</v>
      </c>
      <c r="J1115" s="3">
        <v>272682786</v>
      </c>
      <c r="K1115" s="3">
        <f t="shared" si="52"/>
        <v>145530802888.20001</v>
      </c>
      <c r="M1115" s="4">
        <f t="shared" si="53"/>
        <v>0.58827619438043843</v>
      </c>
    </row>
    <row r="1116" spans="1:13" x14ac:dyDescent="0.45">
      <c r="A1116" s="2">
        <v>44306</v>
      </c>
      <c r="B1116" s="1">
        <v>2865.4</v>
      </c>
      <c r="D1116" s="2">
        <v>44306</v>
      </c>
      <c r="E1116" s="1">
        <v>536.54999999999995</v>
      </c>
      <c r="G1116" s="3">
        <v>20240000</v>
      </c>
      <c r="H1116" s="3">
        <f t="shared" si="51"/>
        <v>57995696000</v>
      </c>
      <c r="J1116" s="3">
        <v>272682786</v>
      </c>
      <c r="K1116" s="3">
        <f t="shared" si="52"/>
        <v>146307948828.29999</v>
      </c>
      <c r="M1116" s="4">
        <f t="shared" si="53"/>
        <v>0.60360529646915517</v>
      </c>
    </row>
    <row r="1117" spans="1:13" x14ac:dyDescent="0.45">
      <c r="A1117" s="2">
        <v>44305</v>
      </c>
      <c r="B1117" s="1">
        <v>2856.1</v>
      </c>
      <c r="D1117" s="2">
        <v>44305</v>
      </c>
      <c r="E1117" s="1">
        <v>537.35</v>
      </c>
      <c r="G1117" s="3">
        <v>20240000</v>
      </c>
      <c r="H1117" s="3">
        <f t="shared" si="51"/>
        <v>57807464000</v>
      </c>
      <c r="J1117" s="3">
        <v>272682786</v>
      </c>
      <c r="K1117" s="3">
        <f t="shared" si="52"/>
        <v>146526095057.10001</v>
      </c>
      <c r="M1117" s="4">
        <f t="shared" si="53"/>
        <v>0.60548007522159852</v>
      </c>
    </row>
    <row r="1118" spans="1:13" x14ac:dyDescent="0.45">
      <c r="A1118" s="2">
        <v>44302</v>
      </c>
      <c r="B1118" s="1">
        <v>2982.15</v>
      </c>
      <c r="D1118" s="2">
        <v>44302</v>
      </c>
      <c r="E1118" s="1">
        <v>550.35</v>
      </c>
      <c r="G1118" s="3">
        <v>20240000</v>
      </c>
      <c r="H1118" s="3">
        <f t="shared" si="51"/>
        <v>60358716000</v>
      </c>
      <c r="J1118" s="3">
        <v>272682786</v>
      </c>
      <c r="K1118" s="3">
        <f t="shared" si="52"/>
        <v>150070971275.10001</v>
      </c>
      <c r="M1118" s="4">
        <f t="shared" si="53"/>
        <v>0.59779885818587486</v>
      </c>
    </row>
    <row r="1119" spans="1:13" x14ac:dyDescent="0.45">
      <c r="A1119" s="2">
        <v>44301</v>
      </c>
      <c r="B1119" s="1">
        <v>3017.55</v>
      </c>
      <c r="D1119" s="2">
        <v>44301</v>
      </c>
      <c r="E1119" s="1">
        <v>542.35</v>
      </c>
      <c r="G1119" s="3">
        <v>20240000</v>
      </c>
      <c r="H1119" s="3">
        <f t="shared" si="51"/>
        <v>61075212000</v>
      </c>
      <c r="J1119" s="3">
        <v>272682786</v>
      </c>
      <c r="K1119" s="3">
        <f t="shared" si="52"/>
        <v>147889508987.10001</v>
      </c>
      <c r="M1119" s="4">
        <f t="shared" si="53"/>
        <v>0.58702133492560704</v>
      </c>
    </row>
    <row r="1120" spans="1:13" x14ac:dyDescent="0.45">
      <c r="A1120" s="2">
        <v>44299</v>
      </c>
      <c r="B1120" s="1">
        <v>3114.3</v>
      </c>
      <c r="D1120" s="2">
        <v>44299</v>
      </c>
      <c r="E1120" s="1">
        <v>547.95000000000005</v>
      </c>
      <c r="G1120" s="3">
        <v>20240000</v>
      </c>
      <c r="H1120" s="3">
        <f t="shared" si="51"/>
        <v>63033432000</v>
      </c>
      <c r="J1120" s="3">
        <v>272682786</v>
      </c>
      <c r="K1120" s="3">
        <f t="shared" si="52"/>
        <v>149416532588.70001</v>
      </c>
      <c r="M1120" s="4">
        <f t="shared" si="53"/>
        <v>0.57813616132083201</v>
      </c>
    </row>
    <row r="1121" spans="1:13" x14ac:dyDescent="0.45">
      <c r="A1121" s="2">
        <v>44298</v>
      </c>
      <c r="B1121" s="1">
        <v>2964.75</v>
      </c>
      <c r="D1121" s="2">
        <v>44298</v>
      </c>
      <c r="E1121" s="1">
        <v>540.15</v>
      </c>
      <c r="G1121" s="3">
        <v>20240000</v>
      </c>
      <c r="H1121" s="3">
        <f t="shared" si="51"/>
        <v>60006540000</v>
      </c>
      <c r="J1121" s="3">
        <v>272682786</v>
      </c>
      <c r="K1121" s="3">
        <f t="shared" si="52"/>
        <v>147289606857.89999</v>
      </c>
      <c r="M1121" s="4">
        <f t="shared" si="53"/>
        <v>0.59259487970599123</v>
      </c>
    </row>
    <row r="1122" spans="1:13" x14ac:dyDescent="0.45">
      <c r="A1122" s="2">
        <v>44295</v>
      </c>
      <c r="B1122" s="1">
        <v>3155</v>
      </c>
      <c r="D1122" s="2">
        <v>44295</v>
      </c>
      <c r="E1122" s="1">
        <v>568</v>
      </c>
      <c r="G1122" s="3">
        <v>20240000</v>
      </c>
      <c r="H1122" s="3">
        <f t="shared" si="51"/>
        <v>63857200000</v>
      </c>
      <c r="J1122" s="3">
        <v>272682786</v>
      </c>
      <c r="K1122" s="3">
        <f t="shared" si="52"/>
        <v>154883822448</v>
      </c>
      <c r="M1122" s="4">
        <f t="shared" si="53"/>
        <v>0.58770903900283633</v>
      </c>
    </row>
    <row r="1123" spans="1:13" x14ac:dyDescent="0.45">
      <c r="A1123" s="2">
        <v>44294</v>
      </c>
      <c r="B1123" s="1">
        <v>3213.5</v>
      </c>
      <c r="D1123" s="2">
        <v>44294</v>
      </c>
      <c r="E1123" s="1">
        <v>564.25</v>
      </c>
      <c r="G1123" s="3">
        <v>20240000</v>
      </c>
      <c r="H1123" s="3">
        <f t="shared" si="51"/>
        <v>65041240000</v>
      </c>
      <c r="J1123" s="3">
        <v>272682786</v>
      </c>
      <c r="K1123" s="3">
        <f t="shared" si="52"/>
        <v>153861262000.5</v>
      </c>
      <c r="M1123" s="4">
        <f t="shared" si="53"/>
        <v>0.57727345301646726</v>
      </c>
    </row>
    <row r="1124" spans="1:13" x14ac:dyDescent="0.45">
      <c r="A1124" s="2">
        <v>44293</v>
      </c>
      <c r="B1124" s="1">
        <v>3184.35</v>
      </c>
      <c r="D1124" s="2">
        <v>44293</v>
      </c>
      <c r="E1124" s="1">
        <v>569.45000000000005</v>
      </c>
      <c r="G1124" s="3">
        <v>20240000</v>
      </c>
      <c r="H1124" s="3">
        <f t="shared" si="51"/>
        <v>64451244000</v>
      </c>
      <c r="J1124" s="3">
        <v>272682786</v>
      </c>
      <c r="K1124" s="3">
        <f t="shared" si="52"/>
        <v>155279212487.70001</v>
      </c>
      <c r="M1124" s="4">
        <f t="shared" si="53"/>
        <v>0.58493321180962765</v>
      </c>
    </row>
    <row r="1125" spans="1:13" x14ac:dyDescent="0.45">
      <c r="A1125" s="2">
        <v>44292</v>
      </c>
      <c r="B1125" s="1">
        <v>3223.8</v>
      </c>
      <c r="D1125" s="2">
        <v>44292</v>
      </c>
      <c r="E1125" s="1">
        <v>570.25</v>
      </c>
      <c r="G1125" s="3">
        <v>20240000</v>
      </c>
      <c r="H1125" s="3">
        <f t="shared" si="51"/>
        <v>65249712000</v>
      </c>
      <c r="J1125" s="3">
        <v>272682786</v>
      </c>
      <c r="K1125" s="3">
        <f t="shared" si="52"/>
        <v>155497358716.5</v>
      </c>
      <c r="M1125" s="4">
        <f t="shared" si="53"/>
        <v>0.58038057663113041</v>
      </c>
    </row>
    <row r="1126" spans="1:13" x14ac:dyDescent="0.45">
      <c r="A1126" s="2">
        <v>44291</v>
      </c>
      <c r="B1126" s="1">
        <v>3101.7</v>
      </c>
      <c r="D1126" s="2">
        <v>44291</v>
      </c>
      <c r="E1126" s="1">
        <v>584.20000000000005</v>
      </c>
      <c r="G1126" s="3">
        <v>20240000</v>
      </c>
      <c r="H1126" s="3">
        <f t="shared" si="51"/>
        <v>62778408000</v>
      </c>
      <c r="J1126" s="3">
        <v>272682786</v>
      </c>
      <c r="K1126" s="3">
        <f t="shared" si="52"/>
        <v>159301283581.20001</v>
      </c>
      <c r="M1126" s="4">
        <f t="shared" si="53"/>
        <v>0.60591398519397233</v>
      </c>
    </row>
    <row r="1127" spans="1:13" x14ac:dyDescent="0.45">
      <c r="A1127" s="2">
        <v>44287</v>
      </c>
      <c r="B1127" s="1">
        <v>3061.4</v>
      </c>
      <c r="D1127" s="2">
        <v>44287</v>
      </c>
      <c r="E1127" s="1">
        <v>589.1</v>
      </c>
      <c r="G1127" s="3">
        <v>20240000</v>
      </c>
      <c r="H1127" s="3">
        <f t="shared" si="51"/>
        <v>61962736000</v>
      </c>
      <c r="J1127" s="3">
        <v>272682786</v>
      </c>
      <c r="K1127" s="3">
        <f t="shared" si="52"/>
        <v>160637429232.60001</v>
      </c>
      <c r="M1127" s="4">
        <f t="shared" si="53"/>
        <v>0.61426962386033268</v>
      </c>
    </row>
    <row r="1128" spans="1:13" x14ac:dyDescent="0.45">
      <c r="A1128" s="2">
        <v>44286</v>
      </c>
      <c r="B1128" s="1">
        <v>3076.8</v>
      </c>
      <c r="D1128" s="2">
        <v>44286</v>
      </c>
      <c r="E1128" s="1">
        <v>585.1</v>
      </c>
      <c r="G1128" s="3">
        <v>20240000</v>
      </c>
      <c r="H1128" s="3">
        <f t="shared" si="51"/>
        <v>62274432000</v>
      </c>
      <c r="J1128" s="3">
        <v>272682786</v>
      </c>
      <c r="K1128" s="3">
        <f t="shared" si="52"/>
        <v>159546698088.60001</v>
      </c>
      <c r="M1128" s="4">
        <f t="shared" si="53"/>
        <v>0.60967896706068114</v>
      </c>
    </row>
    <row r="1129" spans="1:13" x14ac:dyDescent="0.45">
      <c r="A1129" s="2">
        <v>44285</v>
      </c>
      <c r="B1129" s="1">
        <v>3106.95</v>
      </c>
      <c r="D1129" s="2">
        <v>44285</v>
      </c>
      <c r="E1129" s="1">
        <v>574.9</v>
      </c>
      <c r="G1129" s="3">
        <v>20240000</v>
      </c>
      <c r="H1129" s="3">
        <f t="shared" si="51"/>
        <v>62884668000</v>
      </c>
      <c r="J1129" s="3">
        <v>272682786</v>
      </c>
      <c r="K1129" s="3">
        <f t="shared" si="52"/>
        <v>156765333671.39999</v>
      </c>
      <c r="M1129" s="4">
        <f t="shared" si="53"/>
        <v>0.59886113512943984</v>
      </c>
    </row>
    <row r="1130" spans="1:13" x14ac:dyDescent="0.45">
      <c r="A1130" s="2">
        <v>44281</v>
      </c>
      <c r="B1130" s="1">
        <v>3035.05</v>
      </c>
      <c r="D1130" s="2">
        <v>44281</v>
      </c>
      <c r="E1130" s="1">
        <v>570.9</v>
      </c>
      <c r="G1130" s="3">
        <v>20240000</v>
      </c>
      <c r="H1130" s="3">
        <f t="shared" si="51"/>
        <v>61429412000</v>
      </c>
      <c r="J1130" s="3">
        <v>272682786</v>
      </c>
      <c r="K1130" s="3">
        <f t="shared" si="52"/>
        <v>155674602527.39999</v>
      </c>
      <c r="M1130" s="4">
        <f t="shared" si="53"/>
        <v>0.60539862634826425</v>
      </c>
    </row>
    <row r="1131" spans="1:13" x14ac:dyDescent="0.45">
      <c r="A1131" s="2">
        <v>44280</v>
      </c>
      <c r="B1131" s="1">
        <v>3065.85</v>
      </c>
      <c r="D1131" s="2">
        <v>44280</v>
      </c>
      <c r="E1131" s="1">
        <v>558.35</v>
      </c>
      <c r="G1131" s="3">
        <v>20240000</v>
      </c>
      <c r="H1131" s="3">
        <f t="shared" si="51"/>
        <v>62052804000</v>
      </c>
      <c r="J1131" s="3">
        <v>272682786</v>
      </c>
      <c r="K1131" s="3">
        <f t="shared" si="52"/>
        <v>152252433563.10001</v>
      </c>
      <c r="M1131" s="4">
        <f t="shared" si="53"/>
        <v>0.59243473126961455</v>
      </c>
    </row>
    <row r="1132" spans="1:13" x14ac:dyDescent="0.45">
      <c r="A1132" s="2">
        <v>44279</v>
      </c>
      <c r="B1132" s="1">
        <v>3191.7</v>
      </c>
      <c r="D1132" s="2">
        <v>44279</v>
      </c>
      <c r="E1132" s="1">
        <v>566.75</v>
      </c>
      <c r="G1132" s="3">
        <v>20240000</v>
      </c>
      <c r="H1132" s="3">
        <f t="shared" si="51"/>
        <v>64600008000</v>
      </c>
      <c r="J1132" s="3">
        <v>272682786</v>
      </c>
      <c r="K1132" s="3">
        <f t="shared" si="52"/>
        <v>154542968965.5</v>
      </c>
      <c r="M1132" s="4">
        <f t="shared" si="53"/>
        <v>0.58199322536361242</v>
      </c>
    </row>
    <row r="1133" spans="1:13" x14ac:dyDescent="0.45">
      <c r="A1133" s="2">
        <v>44278</v>
      </c>
      <c r="B1133" s="1">
        <v>3135.7</v>
      </c>
      <c r="D1133" s="2">
        <v>44278</v>
      </c>
      <c r="E1133" s="1">
        <v>578.79999999999995</v>
      </c>
      <c r="G1133" s="3">
        <v>20240000</v>
      </c>
      <c r="H1133" s="3">
        <f t="shared" si="51"/>
        <v>63466568000</v>
      </c>
      <c r="J1133" s="3">
        <v>272682786</v>
      </c>
      <c r="K1133" s="3">
        <f t="shared" si="52"/>
        <v>157828796536.79999</v>
      </c>
      <c r="M1133" s="4">
        <f t="shared" si="53"/>
        <v>0.5978771340044915</v>
      </c>
    </row>
    <row r="1134" spans="1:13" x14ac:dyDescent="0.45">
      <c r="A1134" s="2">
        <v>44277</v>
      </c>
      <c r="B1134" s="1">
        <v>3112.2</v>
      </c>
      <c r="D1134" s="2">
        <v>44277</v>
      </c>
      <c r="E1134" s="1">
        <v>580.75</v>
      </c>
      <c r="G1134" s="3">
        <v>20240000</v>
      </c>
      <c r="H1134" s="3">
        <f t="shared" si="51"/>
        <v>62990928000</v>
      </c>
      <c r="J1134" s="3">
        <v>272682786</v>
      </c>
      <c r="K1134" s="3">
        <f t="shared" si="52"/>
        <v>158360527969.5</v>
      </c>
      <c r="M1134" s="4">
        <f t="shared" si="53"/>
        <v>0.60223087907277018</v>
      </c>
    </row>
    <row r="1135" spans="1:13" x14ac:dyDescent="0.45">
      <c r="A1135" s="2">
        <v>44274</v>
      </c>
      <c r="B1135" s="1">
        <v>3128.55</v>
      </c>
      <c r="D1135" s="2">
        <v>44274</v>
      </c>
      <c r="E1135" s="1">
        <v>584.04999999999995</v>
      </c>
      <c r="G1135" s="3">
        <v>20240000</v>
      </c>
      <c r="H1135" s="3">
        <f t="shared" si="51"/>
        <v>63321852000</v>
      </c>
      <c r="J1135" s="3">
        <v>272682786</v>
      </c>
      <c r="K1135" s="3">
        <f t="shared" si="52"/>
        <v>159260381163.29999</v>
      </c>
      <c r="M1135" s="4">
        <f t="shared" si="53"/>
        <v>0.60240047438369493</v>
      </c>
    </row>
    <row r="1136" spans="1:13" x14ac:dyDescent="0.45">
      <c r="A1136" s="2">
        <v>44273</v>
      </c>
      <c r="B1136" s="1">
        <v>3128.9</v>
      </c>
      <c r="D1136" s="2">
        <v>44273</v>
      </c>
      <c r="E1136" s="1">
        <v>570.75</v>
      </c>
      <c r="G1136" s="3">
        <v>20240000</v>
      </c>
      <c r="H1136" s="3">
        <f t="shared" si="51"/>
        <v>63328936000</v>
      </c>
      <c r="J1136" s="3">
        <v>272682786</v>
      </c>
      <c r="K1136" s="3">
        <f t="shared" si="52"/>
        <v>155633700109.5</v>
      </c>
      <c r="M1136" s="4">
        <f t="shared" si="53"/>
        <v>0.59308982594744375</v>
      </c>
    </row>
    <row r="1137" spans="1:13" x14ac:dyDescent="0.45">
      <c r="A1137" s="2">
        <v>44272</v>
      </c>
      <c r="B1137" s="1">
        <v>3144.65</v>
      </c>
      <c r="D1137" s="2">
        <v>44272</v>
      </c>
      <c r="E1137" s="1">
        <v>575.70000000000005</v>
      </c>
      <c r="G1137" s="3">
        <v>20240000</v>
      </c>
      <c r="H1137" s="3">
        <f t="shared" si="51"/>
        <v>63647716000</v>
      </c>
      <c r="J1137" s="3">
        <v>272682786</v>
      </c>
      <c r="K1137" s="3">
        <f t="shared" si="52"/>
        <v>156983479900.20001</v>
      </c>
      <c r="M1137" s="4">
        <f t="shared" si="53"/>
        <v>0.59455787296559404</v>
      </c>
    </row>
    <row r="1138" spans="1:13" x14ac:dyDescent="0.45">
      <c r="A1138" s="2">
        <v>44271</v>
      </c>
      <c r="B1138" s="1">
        <v>3262.75</v>
      </c>
      <c r="D1138" s="2">
        <v>44271</v>
      </c>
      <c r="E1138" s="1">
        <v>594.65</v>
      </c>
      <c r="G1138" s="3">
        <v>20240000</v>
      </c>
      <c r="H1138" s="3">
        <f t="shared" si="51"/>
        <v>66038060000</v>
      </c>
      <c r="J1138" s="3">
        <v>272682786</v>
      </c>
      <c r="K1138" s="3">
        <f t="shared" si="52"/>
        <v>162150818694.89999</v>
      </c>
      <c r="M1138" s="4">
        <f t="shared" si="53"/>
        <v>0.5927368080437756</v>
      </c>
    </row>
    <row r="1139" spans="1:13" x14ac:dyDescent="0.45">
      <c r="A1139" s="2">
        <v>44270</v>
      </c>
      <c r="B1139" s="1">
        <v>3223.8</v>
      </c>
      <c r="D1139" s="2">
        <v>44270</v>
      </c>
      <c r="E1139" s="1">
        <v>592.35</v>
      </c>
      <c r="G1139" s="3">
        <v>20240000</v>
      </c>
      <c r="H1139" s="3">
        <f t="shared" si="51"/>
        <v>65249712000</v>
      </c>
      <c r="J1139" s="3">
        <v>272682786</v>
      </c>
      <c r="K1139" s="3">
        <f t="shared" si="52"/>
        <v>161523648287.10001</v>
      </c>
      <c r="M1139" s="4">
        <f t="shared" si="53"/>
        <v>0.59603616750890875</v>
      </c>
    </row>
    <row r="1140" spans="1:13" x14ac:dyDescent="0.45">
      <c r="A1140" s="2">
        <v>44267</v>
      </c>
      <c r="B1140" s="1">
        <v>3326.95</v>
      </c>
      <c r="D1140" s="2">
        <v>44267</v>
      </c>
      <c r="E1140" s="1">
        <v>584.6</v>
      </c>
      <c r="G1140" s="3">
        <v>20240000</v>
      </c>
      <c r="H1140" s="3">
        <f t="shared" si="51"/>
        <v>67337468000</v>
      </c>
      <c r="J1140" s="3">
        <v>272682786</v>
      </c>
      <c r="K1140" s="3">
        <f t="shared" si="52"/>
        <v>159410356695.60001</v>
      </c>
      <c r="M1140" s="4">
        <f t="shared" si="53"/>
        <v>0.5775841081104699</v>
      </c>
    </row>
    <row r="1141" spans="1:13" x14ac:dyDescent="0.45">
      <c r="A1141" s="2">
        <v>44265</v>
      </c>
      <c r="B1141" s="1">
        <v>3360.4</v>
      </c>
      <c r="D1141" s="2">
        <v>44265</v>
      </c>
      <c r="E1141" s="1">
        <v>603.25</v>
      </c>
      <c r="G1141" s="3">
        <v>20240000</v>
      </c>
      <c r="H1141" s="3">
        <f t="shared" si="51"/>
        <v>68014496000</v>
      </c>
      <c r="J1141" s="3">
        <v>272682786</v>
      </c>
      <c r="K1141" s="3">
        <f t="shared" si="52"/>
        <v>164495890654.5</v>
      </c>
      <c r="M1141" s="4">
        <f t="shared" si="53"/>
        <v>0.58652768935818167</v>
      </c>
    </row>
    <row r="1142" spans="1:13" x14ac:dyDescent="0.45">
      <c r="A1142" s="2">
        <v>44264</v>
      </c>
      <c r="B1142" s="1">
        <v>3359.65</v>
      </c>
      <c r="D1142" s="2">
        <v>44264</v>
      </c>
      <c r="E1142" s="1">
        <v>597.70000000000005</v>
      </c>
      <c r="G1142" s="3">
        <v>20240000</v>
      </c>
      <c r="H1142" s="3">
        <f t="shared" si="51"/>
        <v>67999316000</v>
      </c>
      <c r="J1142" s="3">
        <v>272682786</v>
      </c>
      <c r="K1142" s="3">
        <f t="shared" si="52"/>
        <v>162982501192.20001</v>
      </c>
      <c r="M1142" s="4">
        <f t="shared" si="53"/>
        <v>0.58278149186205819</v>
      </c>
    </row>
    <row r="1143" spans="1:13" x14ac:dyDescent="0.45">
      <c r="A1143" s="2">
        <v>44263</v>
      </c>
      <c r="B1143" s="1">
        <v>3427.3</v>
      </c>
      <c r="D1143" s="2">
        <v>44263</v>
      </c>
      <c r="E1143" s="1">
        <v>601.29999999999995</v>
      </c>
      <c r="G1143" s="3">
        <v>20240000</v>
      </c>
      <c r="H1143" s="3">
        <f t="shared" si="51"/>
        <v>69368552000</v>
      </c>
      <c r="J1143" s="3">
        <v>272682786</v>
      </c>
      <c r="K1143" s="3">
        <f t="shared" si="52"/>
        <v>163964159221.79999</v>
      </c>
      <c r="M1143" s="4">
        <f t="shared" si="53"/>
        <v>0.57692856579612162</v>
      </c>
    </row>
    <row r="1144" spans="1:13" x14ac:dyDescent="0.45">
      <c r="A1144" s="2">
        <v>44260</v>
      </c>
      <c r="B1144" s="1">
        <v>3482.7</v>
      </c>
      <c r="D1144" s="2">
        <v>44260</v>
      </c>
      <c r="E1144" s="1">
        <v>619.15</v>
      </c>
      <c r="G1144" s="3">
        <v>20240000</v>
      </c>
      <c r="H1144" s="3">
        <f t="shared" si="51"/>
        <v>70489848000</v>
      </c>
      <c r="J1144" s="3">
        <v>272682786</v>
      </c>
      <c r="K1144" s="3">
        <f t="shared" si="52"/>
        <v>168831546951.89999</v>
      </c>
      <c r="M1144" s="4">
        <f t="shared" si="53"/>
        <v>0.58248414308445262</v>
      </c>
    </row>
    <row r="1145" spans="1:13" x14ac:dyDescent="0.45">
      <c r="A1145" s="2">
        <v>44259</v>
      </c>
      <c r="B1145" s="1">
        <v>3464.6</v>
      </c>
      <c r="D1145" s="2">
        <v>44259</v>
      </c>
      <c r="E1145" s="1">
        <v>618.29999999999995</v>
      </c>
      <c r="G1145" s="3">
        <v>20240000</v>
      </c>
      <c r="H1145" s="3">
        <f t="shared" si="51"/>
        <v>70123504000</v>
      </c>
      <c r="J1145" s="3">
        <v>272682786</v>
      </c>
      <c r="K1145" s="3">
        <f t="shared" si="52"/>
        <v>168599766583.79999</v>
      </c>
      <c r="M1145" s="4">
        <f t="shared" si="53"/>
        <v>0.5840830303573038</v>
      </c>
    </row>
    <row r="1146" spans="1:13" x14ac:dyDescent="0.45">
      <c r="A1146" s="2">
        <v>44258</v>
      </c>
      <c r="B1146" s="1">
        <v>3510.65</v>
      </c>
      <c r="D1146" s="2">
        <v>44258</v>
      </c>
      <c r="E1146" s="1">
        <v>626.54999999999995</v>
      </c>
      <c r="G1146" s="3">
        <v>20240000</v>
      </c>
      <c r="H1146" s="3">
        <f t="shared" si="51"/>
        <v>71055556000</v>
      </c>
      <c r="J1146" s="3">
        <v>272682786</v>
      </c>
      <c r="K1146" s="3">
        <f t="shared" si="52"/>
        <v>170849399568.29999</v>
      </c>
      <c r="M1146" s="4">
        <f t="shared" si="53"/>
        <v>0.58410415149516326</v>
      </c>
    </row>
    <row r="1147" spans="1:13" x14ac:dyDescent="0.45">
      <c r="A1147" s="2">
        <v>44257</v>
      </c>
      <c r="B1147" s="1">
        <v>3566.4</v>
      </c>
      <c r="D1147" s="2">
        <v>44257</v>
      </c>
      <c r="E1147" s="1">
        <v>632.25</v>
      </c>
      <c r="G1147" s="3">
        <v>20240000</v>
      </c>
      <c r="H1147" s="3">
        <f t="shared" si="51"/>
        <v>72183936000</v>
      </c>
      <c r="J1147" s="3">
        <v>272682786</v>
      </c>
      <c r="K1147" s="3">
        <f t="shared" si="52"/>
        <v>172403691448.5</v>
      </c>
      <c r="M1147" s="4">
        <f t="shared" si="53"/>
        <v>0.58130864024125262</v>
      </c>
    </row>
    <row r="1148" spans="1:13" x14ac:dyDescent="0.45">
      <c r="A1148" s="2">
        <v>44256</v>
      </c>
      <c r="B1148" s="1">
        <v>3478</v>
      </c>
      <c r="D1148" s="2">
        <v>44256</v>
      </c>
      <c r="E1148" s="1">
        <v>616.70000000000005</v>
      </c>
      <c r="G1148" s="3">
        <v>20240000</v>
      </c>
      <c r="H1148" s="3">
        <f t="shared" si="51"/>
        <v>70394720000</v>
      </c>
      <c r="J1148" s="3">
        <v>272682786</v>
      </c>
      <c r="K1148" s="3">
        <f t="shared" si="52"/>
        <v>168163474126.20001</v>
      </c>
      <c r="M1148" s="4">
        <f t="shared" si="53"/>
        <v>0.58139114117509516</v>
      </c>
    </row>
    <row r="1149" spans="1:13" x14ac:dyDescent="0.45">
      <c r="A1149" s="2">
        <v>44253</v>
      </c>
      <c r="B1149" s="1">
        <v>3529.05</v>
      </c>
      <c r="D1149" s="2">
        <v>44253</v>
      </c>
      <c r="E1149" s="1">
        <v>595.04999999999995</v>
      </c>
      <c r="G1149" s="3">
        <v>20240000</v>
      </c>
      <c r="H1149" s="3">
        <f t="shared" si="51"/>
        <v>71427972000</v>
      </c>
      <c r="J1149" s="3">
        <v>272682786</v>
      </c>
      <c r="K1149" s="3">
        <f t="shared" si="52"/>
        <v>162259891809.29999</v>
      </c>
      <c r="M1149" s="4">
        <f t="shared" si="53"/>
        <v>0.55979280397926368</v>
      </c>
    </row>
    <row r="1150" spans="1:13" x14ac:dyDescent="0.45">
      <c r="A1150" s="2">
        <v>44252</v>
      </c>
      <c r="B1150" s="1">
        <v>3531.2</v>
      </c>
      <c r="D1150" s="2">
        <v>44252</v>
      </c>
      <c r="E1150" s="1">
        <v>596.75</v>
      </c>
      <c r="G1150" s="3">
        <v>20240000</v>
      </c>
      <c r="H1150" s="3">
        <f t="shared" si="51"/>
        <v>71471488000</v>
      </c>
      <c r="J1150" s="3">
        <v>272682786</v>
      </c>
      <c r="K1150" s="3">
        <f t="shared" si="52"/>
        <v>162723452545.5</v>
      </c>
      <c r="M1150" s="4">
        <f t="shared" si="53"/>
        <v>0.56077942741526177</v>
      </c>
    </row>
    <row r="1151" spans="1:13" x14ac:dyDescent="0.45">
      <c r="A1151" s="2">
        <v>44251</v>
      </c>
      <c r="B1151" s="1">
        <v>3533.55</v>
      </c>
      <c r="D1151" s="2">
        <v>44251</v>
      </c>
      <c r="E1151" s="1">
        <v>600.25</v>
      </c>
      <c r="G1151" s="3">
        <v>20240000</v>
      </c>
      <c r="H1151" s="3">
        <f t="shared" si="51"/>
        <v>71519052000</v>
      </c>
      <c r="J1151" s="3">
        <v>272682786</v>
      </c>
      <c r="K1151" s="3">
        <f t="shared" si="52"/>
        <v>163677842296.5</v>
      </c>
      <c r="M1151" s="4">
        <f t="shared" si="53"/>
        <v>0.56304988508802378</v>
      </c>
    </row>
    <row r="1152" spans="1:13" x14ac:dyDescent="0.45">
      <c r="A1152" s="2">
        <v>44250</v>
      </c>
      <c r="B1152" s="1">
        <v>3470.4</v>
      </c>
      <c r="D1152" s="2">
        <v>44250</v>
      </c>
      <c r="E1152" s="1">
        <v>596.75</v>
      </c>
      <c r="G1152" s="3">
        <v>20240000</v>
      </c>
      <c r="H1152" s="3">
        <f t="shared" si="51"/>
        <v>70240896000</v>
      </c>
      <c r="J1152" s="3">
        <v>272682786</v>
      </c>
      <c r="K1152" s="3">
        <f t="shared" si="52"/>
        <v>162723452545.5</v>
      </c>
      <c r="M1152" s="4">
        <f t="shared" si="53"/>
        <v>0.5683419021584516</v>
      </c>
    </row>
    <row r="1153" spans="1:13" x14ac:dyDescent="0.45">
      <c r="A1153" s="2">
        <v>44249</v>
      </c>
      <c r="B1153" s="1">
        <v>3542.5</v>
      </c>
      <c r="D1153" s="2">
        <v>44249</v>
      </c>
      <c r="E1153" s="1">
        <v>586.9</v>
      </c>
      <c r="G1153" s="3">
        <v>20240000</v>
      </c>
      <c r="H1153" s="3">
        <f t="shared" si="51"/>
        <v>71700200000</v>
      </c>
      <c r="J1153" s="3">
        <v>272682786</v>
      </c>
      <c r="K1153" s="3">
        <f t="shared" si="52"/>
        <v>160037527103.39999</v>
      </c>
      <c r="M1153" s="4">
        <f t="shared" si="53"/>
        <v>0.5519788308546244</v>
      </c>
    </row>
    <row r="1154" spans="1:13" x14ac:dyDescent="0.45">
      <c r="A1154" s="2">
        <v>44246</v>
      </c>
      <c r="B1154" s="1">
        <v>3562</v>
      </c>
      <c r="D1154" s="2">
        <v>44246</v>
      </c>
      <c r="E1154" s="1">
        <v>606.29999999999995</v>
      </c>
      <c r="G1154" s="3">
        <v>20240000</v>
      </c>
      <c r="H1154" s="3">
        <f t="shared" si="51"/>
        <v>72094880000</v>
      </c>
      <c r="J1154" s="3">
        <v>272682786</v>
      </c>
      <c r="K1154" s="3">
        <f t="shared" si="52"/>
        <v>165327573151.79999</v>
      </c>
      <c r="M1154" s="4">
        <f t="shared" si="53"/>
        <v>0.56392706536734716</v>
      </c>
    </row>
    <row r="1155" spans="1:13" x14ac:dyDescent="0.45">
      <c r="A1155" s="2">
        <v>44245</v>
      </c>
      <c r="B1155" s="1">
        <v>3594.1</v>
      </c>
      <c r="D1155" s="2">
        <v>44245</v>
      </c>
      <c r="E1155" s="1">
        <v>611.95000000000005</v>
      </c>
      <c r="G1155" s="3">
        <v>20240000</v>
      </c>
      <c r="H1155" s="3">
        <f t="shared" si="51"/>
        <v>72744584000</v>
      </c>
      <c r="J1155" s="3">
        <v>272682786</v>
      </c>
      <c r="K1155" s="3">
        <f t="shared" si="52"/>
        <v>166868230892.70001</v>
      </c>
      <c r="M1155" s="4">
        <f t="shared" si="53"/>
        <v>0.5640597157958942</v>
      </c>
    </row>
    <row r="1156" spans="1:13" x14ac:dyDescent="0.45">
      <c r="A1156" s="2">
        <v>44244</v>
      </c>
      <c r="B1156" s="1">
        <v>3580.1</v>
      </c>
      <c r="D1156" s="2">
        <v>44244</v>
      </c>
      <c r="E1156" s="1">
        <v>619</v>
      </c>
      <c r="G1156" s="3">
        <v>20240000</v>
      </c>
      <c r="H1156" s="3">
        <f t="shared" ref="H1156:H1219" si="54">+G1156*B1156</f>
        <v>72461224000</v>
      </c>
      <c r="J1156" s="3">
        <v>272682786</v>
      </c>
      <c r="K1156" s="3">
        <f t="shared" ref="K1156:K1219" si="55">+J1156*E1156</f>
        <v>168790644534</v>
      </c>
      <c r="M1156" s="4">
        <f t="shared" ref="M1156:M1219" si="56">1- (H1156/K1156)</f>
        <v>0.57070355291282793</v>
      </c>
    </row>
    <row r="1157" spans="1:13" x14ac:dyDescent="0.45">
      <c r="A1157" s="2">
        <v>44243</v>
      </c>
      <c r="B1157" s="1">
        <v>3575.55</v>
      </c>
      <c r="D1157" s="2">
        <v>44243</v>
      </c>
      <c r="E1157" s="1">
        <v>628.79999999999995</v>
      </c>
      <c r="G1157" s="3">
        <v>20240000</v>
      </c>
      <c r="H1157" s="3">
        <f t="shared" si="54"/>
        <v>72369132000</v>
      </c>
      <c r="J1157" s="3">
        <v>272682786</v>
      </c>
      <c r="K1157" s="3">
        <f t="shared" si="55"/>
        <v>171462935836.79999</v>
      </c>
      <c r="M1157" s="4">
        <f t="shared" si="56"/>
        <v>0.57793133748227898</v>
      </c>
    </row>
    <row r="1158" spans="1:13" x14ac:dyDescent="0.45">
      <c r="A1158" s="2">
        <v>44242</v>
      </c>
      <c r="B1158" s="1">
        <v>3668.1</v>
      </c>
      <c r="D1158" s="2">
        <v>44242</v>
      </c>
      <c r="E1158" s="1">
        <v>630.75</v>
      </c>
      <c r="G1158" s="3">
        <v>20240000</v>
      </c>
      <c r="H1158" s="3">
        <f t="shared" si="54"/>
        <v>74242344000</v>
      </c>
      <c r="J1158" s="3">
        <v>272682786</v>
      </c>
      <c r="K1158" s="3">
        <f t="shared" si="55"/>
        <v>171994667269.5</v>
      </c>
      <c r="M1158" s="4">
        <f t="shared" si="56"/>
        <v>0.5683450819805419</v>
      </c>
    </row>
    <row r="1159" spans="1:13" x14ac:dyDescent="0.45">
      <c r="A1159" s="2">
        <v>44239</v>
      </c>
      <c r="B1159" s="1">
        <v>3758</v>
      </c>
      <c r="D1159" s="2">
        <v>44239</v>
      </c>
      <c r="E1159" s="1">
        <v>636</v>
      </c>
      <c r="G1159" s="3">
        <v>20240000</v>
      </c>
      <c r="H1159" s="3">
        <f t="shared" si="54"/>
        <v>76061920000</v>
      </c>
      <c r="J1159" s="3">
        <v>272682786</v>
      </c>
      <c r="K1159" s="3">
        <f t="shared" si="55"/>
        <v>173426251896</v>
      </c>
      <c r="M1159" s="4">
        <f t="shared" si="56"/>
        <v>0.56141634171040788</v>
      </c>
    </row>
    <row r="1160" spans="1:13" x14ac:dyDescent="0.45">
      <c r="A1160" s="2">
        <v>44238</v>
      </c>
      <c r="B1160" s="1">
        <v>3781.65</v>
      </c>
      <c r="D1160" s="2">
        <v>44238</v>
      </c>
      <c r="E1160" s="1">
        <v>639.85</v>
      </c>
      <c r="G1160" s="3">
        <v>20240000</v>
      </c>
      <c r="H1160" s="3">
        <f t="shared" si="54"/>
        <v>76540596000</v>
      </c>
      <c r="J1160" s="3">
        <v>272682786</v>
      </c>
      <c r="K1160" s="3">
        <f t="shared" si="55"/>
        <v>174476080622.10001</v>
      </c>
      <c r="M1160" s="4">
        <f t="shared" si="56"/>
        <v>0.56131181003669917</v>
      </c>
    </row>
    <row r="1161" spans="1:13" x14ac:dyDescent="0.45">
      <c r="A1161" s="2">
        <v>44237</v>
      </c>
      <c r="B1161" s="1">
        <v>3784.5</v>
      </c>
      <c r="D1161" s="2">
        <v>44237</v>
      </c>
      <c r="E1161" s="1">
        <v>652.5</v>
      </c>
      <c r="G1161" s="3">
        <v>20240000</v>
      </c>
      <c r="H1161" s="3">
        <f t="shared" si="54"/>
        <v>76598280000</v>
      </c>
      <c r="J1161" s="3">
        <v>272682786</v>
      </c>
      <c r="K1161" s="3">
        <f t="shared" si="55"/>
        <v>177925517865</v>
      </c>
      <c r="M1161" s="4">
        <f t="shared" si="56"/>
        <v>0.56949244313500591</v>
      </c>
    </row>
    <row r="1162" spans="1:13" x14ac:dyDescent="0.45">
      <c r="A1162" s="2">
        <v>44236</v>
      </c>
      <c r="B1162" s="1">
        <v>3837.55</v>
      </c>
      <c r="D1162" s="2">
        <v>44236</v>
      </c>
      <c r="E1162" s="1">
        <v>650.04999999999995</v>
      </c>
      <c r="G1162" s="3">
        <v>20240000</v>
      </c>
      <c r="H1162" s="3">
        <f t="shared" si="54"/>
        <v>77672012000</v>
      </c>
      <c r="J1162" s="3">
        <v>272682786</v>
      </c>
      <c r="K1162" s="3">
        <f t="shared" si="55"/>
        <v>177257445039.29999</v>
      </c>
      <c r="M1162" s="4">
        <f t="shared" si="56"/>
        <v>0.56181241367447643</v>
      </c>
    </row>
    <row r="1163" spans="1:13" x14ac:dyDescent="0.45">
      <c r="A1163" s="2">
        <v>44235</v>
      </c>
      <c r="B1163" s="1">
        <v>3763.65</v>
      </c>
      <c r="D1163" s="2">
        <v>44235</v>
      </c>
      <c r="E1163" s="1">
        <v>640.15</v>
      </c>
      <c r="G1163" s="3">
        <v>20240000</v>
      </c>
      <c r="H1163" s="3">
        <f t="shared" si="54"/>
        <v>76176276000</v>
      </c>
      <c r="J1163" s="3">
        <v>272682786</v>
      </c>
      <c r="K1163" s="3">
        <f t="shared" si="55"/>
        <v>174557885457.89999</v>
      </c>
      <c r="M1163" s="4">
        <f t="shared" si="56"/>
        <v>0.56360449830052362</v>
      </c>
    </row>
    <row r="1164" spans="1:13" x14ac:dyDescent="0.45">
      <c r="A1164" s="2">
        <v>44232</v>
      </c>
      <c r="B1164" s="1">
        <v>3702.5</v>
      </c>
      <c r="D1164" s="2">
        <v>44232</v>
      </c>
      <c r="E1164" s="1">
        <v>628.20000000000005</v>
      </c>
      <c r="G1164" s="3">
        <v>20240000</v>
      </c>
      <c r="H1164" s="3">
        <f t="shared" si="54"/>
        <v>74938600000</v>
      </c>
      <c r="J1164" s="3">
        <v>272682786</v>
      </c>
      <c r="K1164" s="3">
        <f t="shared" si="55"/>
        <v>171299326165.20001</v>
      </c>
      <c r="M1164" s="4">
        <f t="shared" si="56"/>
        <v>0.56252834335302826</v>
      </c>
    </row>
    <row r="1165" spans="1:13" x14ac:dyDescent="0.45">
      <c r="A1165" s="2">
        <v>44231</v>
      </c>
      <c r="B1165" s="1">
        <v>3617.9</v>
      </c>
      <c r="D1165" s="2">
        <v>44231</v>
      </c>
      <c r="E1165" s="1">
        <v>653.20000000000005</v>
      </c>
      <c r="G1165" s="3">
        <v>20240000</v>
      </c>
      <c r="H1165" s="3">
        <f t="shared" si="54"/>
        <v>73226296000</v>
      </c>
      <c r="J1165" s="3">
        <v>272682786</v>
      </c>
      <c r="K1165" s="3">
        <f t="shared" si="55"/>
        <v>178116395815.20001</v>
      </c>
      <c r="M1165" s="4">
        <f t="shared" si="56"/>
        <v>0.58888514634007061</v>
      </c>
    </row>
    <row r="1166" spans="1:13" x14ac:dyDescent="0.45">
      <c r="A1166" s="2">
        <v>44230</v>
      </c>
      <c r="B1166" s="1">
        <v>3690.1</v>
      </c>
      <c r="D1166" s="2">
        <v>44230</v>
      </c>
      <c r="E1166" s="1">
        <v>644.75</v>
      </c>
      <c r="G1166" s="3">
        <v>20240000</v>
      </c>
      <c r="H1166" s="3">
        <f t="shared" si="54"/>
        <v>74687624000</v>
      </c>
      <c r="J1166" s="3">
        <v>272682786</v>
      </c>
      <c r="K1166" s="3">
        <f t="shared" si="55"/>
        <v>175812226273.5</v>
      </c>
      <c r="M1166" s="4">
        <f t="shared" si="56"/>
        <v>0.57518526678677528</v>
      </c>
    </row>
    <row r="1167" spans="1:13" x14ac:dyDescent="0.45">
      <c r="A1167" s="2">
        <v>44229</v>
      </c>
      <c r="B1167" s="1">
        <v>3780.15</v>
      </c>
      <c r="D1167" s="2">
        <v>44229</v>
      </c>
      <c r="E1167" s="1">
        <v>621.04999999999995</v>
      </c>
      <c r="G1167" s="3">
        <v>20240000</v>
      </c>
      <c r="H1167" s="3">
        <f t="shared" si="54"/>
        <v>76510236000</v>
      </c>
      <c r="J1167" s="3">
        <v>272682786</v>
      </c>
      <c r="K1167" s="3">
        <f t="shared" si="55"/>
        <v>169349644245.29999</v>
      </c>
      <c r="M1167" s="4">
        <f t="shared" si="56"/>
        <v>0.54821141584935207</v>
      </c>
    </row>
    <row r="1168" spans="1:13" x14ac:dyDescent="0.45">
      <c r="A1168" s="2">
        <v>44228</v>
      </c>
      <c r="B1168" s="1">
        <v>3624.95</v>
      </c>
      <c r="D1168" s="2">
        <v>44228</v>
      </c>
      <c r="E1168" s="1">
        <v>577.5</v>
      </c>
      <c r="G1168" s="3">
        <v>20240000</v>
      </c>
      <c r="H1168" s="3">
        <f t="shared" si="54"/>
        <v>73368988000</v>
      </c>
      <c r="J1168" s="3">
        <v>272682786</v>
      </c>
      <c r="K1168" s="3">
        <f t="shared" si="55"/>
        <v>157474308915</v>
      </c>
      <c r="M1168" s="4">
        <f t="shared" si="56"/>
        <v>0.53408915711068516</v>
      </c>
    </row>
    <row r="1169" spans="1:13" x14ac:dyDescent="0.45">
      <c r="A1169" s="2">
        <v>44225</v>
      </c>
      <c r="B1169" s="1">
        <v>3174.2</v>
      </c>
      <c r="D1169" s="2">
        <v>44225</v>
      </c>
      <c r="E1169" s="1">
        <v>560.20000000000005</v>
      </c>
      <c r="G1169" s="3">
        <v>20240000</v>
      </c>
      <c r="H1169" s="3">
        <f t="shared" si="54"/>
        <v>64245808000</v>
      </c>
      <c r="J1169" s="3">
        <v>272682786</v>
      </c>
      <c r="K1169" s="3">
        <f t="shared" si="55"/>
        <v>152756896717.20001</v>
      </c>
      <c r="M1169" s="4">
        <f t="shared" si="56"/>
        <v>0.57942450140932922</v>
      </c>
    </row>
    <row r="1170" spans="1:13" x14ac:dyDescent="0.45">
      <c r="A1170" s="2">
        <v>44224</v>
      </c>
      <c r="B1170" s="1">
        <v>3113.3</v>
      </c>
      <c r="D1170" s="2">
        <v>44224</v>
      </c>
      <c r="E1170" s="1">
        <v>528.65</v>
      </c>
      <c r="G1170" s="3">
        <v>20240000</v>
      </c>
      <c r="H1170" s="3">
        <f t="shared" si="54"/>
        <v>63013192000</v>
      </c>
      <c r="J1170" s="3">
        <v>272682786</v>
      </c>
      <c r="K1170" s="3">
        <f t="shared" si="55"/>
        <v>144153754818.89999</v>
      </c>
      <c r="M1170" s="4">
        <f t="shared" si="56"/>
        <v>0.56287512538842077</v>
      </c>
    </row>
    <row r="1171" spans="1:13" x14ac:dyDescent="0.45">
      <c r="A1171" s="2">
        <v>44223</v>
      </c>
      <c r="B1171" s="1">
        <v>3129.6</v>
      </c>
      <c r="D1171" s="2">
        <v>44223</v>
      </c>
      <c r="E1171" s="1">
        <v>531.54999999999995</v>
      </c>
      <c r="G1171" s="3">
        <v>20240000</v>
      </c>
      <c r="H1171" s="3">
        <f t="shared" si="54"/>
        <v>63343104000</v>
      </c>
      <c r="J1171" s="3">
        <v>272682786</v>
      </c>
      <c r="K1171" s="3">
        <f t="shared" si="55"/>
        <v>144944534898.29999</v>
      </c>
      <c r="M1171" s="4">
        <f t="shared" si="56"/>
        <v>0.56298384037421934</v>
      </c>
    </row>
    <row r="1172" spans="1:13" x14ac:dyDescent="0.45">
      <c r="A1172" s="2">
        <v>44221</v>
      </c>
      <c r="B1172" s="1">
        <v>3378.3</v>
      </c>
      <c r="D1172" s="2">
        <v>44221</v>
      </c>
      <c r="E1172" s="1">
        <v>542.75</v>
      </c>
      <c r="G1172" s="3">
        <v>20240000</v>
      </c>
      <c r="H1172" s="3">
        <f t="shared" si="54"/>
        <v>68376792000</v>
      </c>
      <c r="J1172" s="3">
        <v>272682786</v>
      </c>
      <c r="K1172" s="3">
        <f t="shared" si="55"/>
        <v>147998582101.5</v>
      </c>
      <c r="M1172" s="4">
        <f t="shared" si="56"/>
        <v>0.53799022241236061</v>
      </c>
    </row>
    <row r="1173" spans="1:13" x14ac:dyDescent="0.45">
      <c r="A1173" s="2">
        <v>44218</v>
      </c>
      <c r="B1173" s="1">
        <v>3211.5</v>
      </c>
      <c r="D1173" s="2">
        <v>44218</v>
      </c>
      <c r="E1173" s="1">
        <v>522.29999999999995</v>
      </c>
      <c r="G1173" s="3">
        <v>20240000</v>
      </c>
      <c r="H1173" s="3">
        <f t="shared" si="54"/>
        <v>65000760000</v>
      </c>
      <c r="J1173" s="3">
        <v>272682786</v>
      </c>
      <c r="K1173" s="3">
        <f t="shared" si="55"/>
        <v>142422219127.79999</v>
      </c>
      <c r="M1173" s="4">
        <f t="shared" si="56"/>
        <v>0.543605201505302</v>
      </c>
    </row>
    <row r="1174" spans="1:13" x14ac:dyDescent="0.45">
      <c r="A1174" s="2">
        <v>44217</v>
      </c>
      <c r="B1174" s="1">
        <v>2973.65</v>
      </c>
      <c r="D1174" s="2">
        <v>44217</v>
      </c>
      <c r="E1174" s="1">
        <v>508.6</v>
      </c>
      <c r="G1174" s="3">
        <v>20240000</v>
      </c>
      <c r="H1174" s="3">
        <f t="shared" si="54"/>
        <v>60186676000</v>
      </c>
      <c r="J1174" s="3">
        <v>272682786</v>
      </c>
      <c r="K1174" s="3">
        <f t="shared" si="55"/>
        <v>138686464959.60001</v>
      </c>
      <c r="M1174" s="4">
        <f t="shared" si="56"/>
        <v>0.5660234326577388</v>
      </c>
    </row>
    <row r="1175" spans="1:13" x14ac:dyDescent="0.45">
      <c r="A1175" s="2">
        <v>44216</v>
      </c>
      <c r="B1175" s="1">
        <v>2702</v>
      </c>
      <c r="D1175" s="2">
        <v>44216</v>
      </c>
      <c r="E1175" s="1">
        <v>509.2</v>
      </c>
      <c r="G1175" s="3">
        <v>20240000</v>
      </c>
      <c r="H1175" s="3">
        <f t="shared" si="54"/>
        <v>54688480000</v>
      </c>
      <c r="J1175" s="3">
        <v>272682786</v>
      </c>
      <c r="K1175" s="3">
        <f t="shared" si="55"/>
        <v>138850074631.19998</v>
      </c>
      <c r="M1175" s="4">
        <f t="shared" si="56"/>
        <v>0.60613287284678674</v>
      </c>
    </row>
    <row r="1176" spans="1:13" x14ac:dyDescent="0.45">
      <c r="A1176" s="2">
        <v>44215</v>
      </c>
      <c r="B1176" s="1">
        <v>2677.65</v>
      </c>
      <c r="D1176" s="2">
        <v>44215</v>
      </c>
      <c r="E1176" s="1">
        <v>512.6</v>
      </c>
      <c r="G1176" s="3">
        <v>20240000</v>
      </c>
      <c r="H1176" s="3">
        <f t="shared" si="54"/>
        <v>54195636000</v>
      </c>
      <c r="J1176" s="3">
        <v>272682786</v>
      </c>
      <c r="K1176" s="3">
        <f t="shared" si="55"/>
        <v>139777196103.60001</v>
      </c>
      <c r="M1176" s="4">
        <f t="shared" si="56"/>
        <v>0.6122712609013039</v>
      </c>
    </row>
    <row r="1177" spans="1:13" x14ac:dyDescent="0.45">
      <c r="A1177" s="2">
        <v>44214</v>
      </c>
      <c r="B1177" s="1">
        <v>2665.5</v>
      </c>
      <c r="D1177" s="2">
        <v>44214</v>
      </c>
      <c r="E1177" s="1">
        <v>499.6</v>
      </c>
      <c r="G1177" s="3">
        <v>20240000</v>
      </c>
      <c r="H1177" s="3">
        <f t="shared" si="54"/>
        <v>53949720000</v>
      </c>
      <c r="J1177" s="3">
        <v>272682786</v>
      </c>
      <c r="K1177" s="3">
        <f t="shared" si="55"/>
        <v>136232319885.60001</v>
      </c>
      <c r="M1177" s="4">
        <f t="shared" si="56"/>
        <v>0.60398736478022363</v>
      </c>
    </row>
    <row r="1178" spans="1:13" x14ac:dyDescent="0.45">
      <c r="A1178" s="2">
        <v>44211</v>
      </c>
      <c r="B1178" s="1">
        <v>2645.4</v>
      </c>
      <c r="D1178" s="2">
        <v>44211</v>
      </c>
      <c r="E1178" s="1">
        <v>507.1</v>
      </c>
      <c r="G1178" s="3">
        <v>20240000</v>
      </c>
      <c r="H1178" s="3">
        <f t="shared" si="54"/>
        <v>53542896000</v>
      </c>
      <c r="J1178" s="3">
        <v>272682786</v>
      </c>
      <c r="K1178" s="3">
        <f t="shared" si="55"/>
        <v>138277440780.60001</v>
      </c>
      <c r="M1178" s="4">
        <f t="shared" si="56"/>
        <v>0.61278646973981354</v>
      </c>
    </row>
    <row r="1179" spans="1:13" x14ac:dyDescent="0.45">
      <c r="A1179" s="2">
        <v>44210</v>
      </c>
      <c r="B1179" s="1">
        <v>2667.75</v>
      </c>
      <c r="D1179" s="2">
        <v>44210</v>
      </c>
      <c r="E1179" s="1">
        <v>513.25</v>
      </c>
      <c r="G1179" s="3">
        <v>20240000</v>
      </c>
      <c r="H1179" s="3">
        <f t="shared" si="54"/>
        <v>53995260000</v>
      </c>
      <c r="J1179" s="3">
        <v>272682786</v>
      </c>
      <c r="K1179" s="3">
        <f t="shared" si="55"/>
        <v>139954439914.5</v>
      </c>
      <c r="M1179" s="4">
        <f t="shared" si="56"/>
        <v>0.61419401890367742</v>
      </c>
    </row>
    <row r="1180" spans="1:13" x14ac:dyDescent="0.45">
      <c r="A1180" s="2">
        <v>44209</v>
      </c>
      <c r="B1180" s="1">
        <v>2647.1</v>
      </c>
      <c r="D1180" s="2">
        <v>44209</v>
      </c>
      <c r="E1180" s="1">
        <v>511.05</v>
      </c>
      <c r="G1180" s="3">
        <v>20240000</v>
      </c>
      <c r="H1180" s="3">
        <f t="shared" si="54"/>
        <v>53577304000</v>
      </c>
      <c r="J1180" s="3">
        <v>272682786</v>
      </c>
      <c r="K1180" s="3">
        <f t="shared" si="55"/>
        <v>139354537785.30002</v>
      </c>
      <c r="M1180" s="4">
        <f t="shared" si="56"/>
        <v>0.61553240496161532</v>
      </c>
    </row>
    <row r="1181" spans="1:13" x14ac:dyDescent="0.45">
      <c r="A1181" s="2">
        <v>44208</v>
      </c>
      <c r="B1181" s="1">
        <v>2663.2</v>
      </c>
      <c r="D1181" s="2">
        <v>44208</v>
      </c>
      <c r="E1181" s="1">
        <v>518.35</v>
      </c>
      <c r="G1181" s="3">
        <v>20240000</v>
      </c>
      <c r="H1181" s="3">
        <f t="shared" si="54"/>
        <v>53903168000</v>
      </c>
      <c r="J1181" s="3">
        <v>272682786</v>
      </c>
      <c r="K1181" s="3">
        <f t="shared" si="55"/>
        <v>141345122123.10001</v>
      </c>
      <c r="M1181" s="4">
        <f t="shared" si="56"/>
        <v>0.61864146996841707</v>
      </c>
    </row>
    <row r="1182" spans="1:13" x14ac:dyDescent="0.45">
      <c r="A1182" s="2">
        <v>44207</v>
      </c>
      <c r="B1182" s="1">
        <v>2653.4</v>
      </c>
      <c r="D1182" s="2">
        <v>44207</v>
      </c>
      <c r="E1182" s="1">
        <v>521.70000000000005</v>
      </c>
      <c r="G1182" s="3">
        <v>20240000</v>
      </c>
      <c r="H1182" s="3">
        <f t="shared" si="54"/>
        <v>53704816000</v>
      </c>
      <c r="J1182" s="3">
        <v>272682786</v>
      </c>
      <c r="K1182" s="3">
        <f t="shared" si="55"/>
        <v>142258609456.20001</v>
      </c>
      <c r="M1182" s="4">
        <f t="shared" si="56"/>
        <v>0.62248459896175801</v>
      </c>
    </row>
    <row r="1183" spans="1:13" x14ac:dyDescent="0.45">
      <c r="A1183" s="2">
        <v>44204</v>
      </c>
      <c r="B1183" s="1">
        <v>2639.75</v>
      </c>
      <c r="D1183" s="2">
        <v>44204</v>
      </c>
      <c r="E1183" s="1">
        <v>513.29999999999995</v>
      </c>
      <c r="G1183" s="3">
        <v>20240000</v>
      </c>
      <c r="H1183" s="3">
        <f t="shared" si="54"/>
        <v>53428540000</v>
      </c>
      <c r="J1183" s="3">
        <v>272682786</v>
      </c>
      <c r="K1183" s="3">
        <f t="shared" si="55"/>
        <v>139968074053.79999</v>
      </c>
      <c r="M1183" s="4">
        <f t="shared" si="56"/>
        <v>0.61828052317513849</v>
      </c>
    </row>
    <row r="1184" spans="1:13" x14ac:dyDescent="0.45">
      <c r="A1184" s="2">
        <v>44203</v>
      </c>
      <c r="B1184" s="1">
        <v>2695.05</v>
      </c>
      <c r="D1184" s="2">
        <v>44203</v>
      </c>
      <c r="E1184" s="1">
        <v>499.9</v>
      </c>
      <c r="G1184" s="3">
        <v>20240000</v>
      </c>
      <c r="H1184" s="3">
        <f t="shared" si="54"/>
        <v>54547812000</v>
      </c>
      <c r="J1184" s="3">
        <v>272682786</v>
      </c>
      <c r="K1184" s="3">
        <f t="shared" si="55"/>
        <v>136314124721.39999</v>
      </c>
      <c r="M1184" s="4">
        <f t="shared" si="56"/>
        <v>0.59983741881859054</v>
      </c>
    </row>
    <row r="1185" spans="1:13" x14ac:dyDescent="0.45">
      <c r="A1185" s="2">
        <v>44202</v>
      </c>
      <c r="B1185" s="1">
        <v>2688.05</v>
      </c>
      <c r="D1185" s="2">
        <v>44202</v>
      </c>
      <c r="E1185" s="1">
        <v>487.9</v>
      </c>
      <c r="G1185" s="3">
        <v>20240000</v>
      </c>
      <c r="H1185" s="3">
        <f t="shared" si="54"/>
        <v>54406132000</v>
      </c>
      <c r="J1185" s="3">
        <v>272682786</v>
      </c>
      <c r="K1185" s="3">
        <f t="shared" si="55"/>
        <v>133041931289.39999</v>
      </c>
      <c r="M1185" s="4">
        <f t="shared" si="56"/>
        <v>0.59106026594237537</v>
      </c>
    </row>
    <row r="1186" spans="1:13" x14ac:dyDescent="0.45">
      <c r="A1186" s="2">
        <v>44201</v>
      </c>
      <c r="B1186" s="1">
        <v>2681.05</v>
      </c>
      <c r="D1186" s="2">
        <v>44201</v>
      </c>
      <c r="E1186" s="1">
        <v>491.7</v>
      </c>
      <c r="G1186" s="3">
        <v>20240000</v>
      </c>
      <c r="H1186" s="3">
        <f t="shared" si="54"/>
        <v>54264452000</v>
      </c>
      <c r="J1186" s="3">
        <v>272682786</v>
      </c>
      <c r="K1186" s="3">
        <f t="shared" si="55"/>
        <v>134078125876.2</v>
      </c>
      <c r="M1186" s="4">
        <f t="shared" si="56"/>
        <v>0.59527736798689546</v>
      </c>
    </row>
    <row r="1187" spans="1:13" x14ac:dyDescent="0.45">
      <c r="A1187" s="2">
        <v>44200</v>
      </c>
      <c r="B1187" s="1">
        <v>2680</v>
      </c>
      <c r="D1187" s="2">
        <v>44200</v>
      </c>
      <c r="E1187" s="1">
        <v>495.65</v>
      </c>
      <c r="G1187" s="3">
        <v>20240000</v>
      </c>
      <c r="H1187" s="3">
        <f t="shared" si="54"/>
        <v>54243200000</v>
      </c>
      <c r="J1187" s="3">
        <v>272682786</v>
      </c>
      <c r="K1187" s="3">
        <f t="shared" si="55"/>
        <v>135155222880.89999</v>
      </c>
      <c r="M1187" s="4">
        <f t="shared" si="56"/>
        <v>0.59865997892068434</v>
      </c>
    </row>
    <row r="1188" spans="1:13" x14ac:dyDescent="0.45">
      <c r="A1188" s="2">
        <v>44197</v>
      </c>
      <c r="B1188" s="1">
        <v>2623.45</v>
      </c>
      <c r="D1188" s="2">
        <v>44197</v>
      </c>
      <c r="E1188" s="1">
        <v>490.7</v>
      </c>
      <c r="G1188" s="3">
        <v>20240000</v>
      </c>
      <c r="H1188" s="3">
        <f t="shared" si="54"/>
        <v>53098628000</v>
      </c>
      <c r="J1188" s="3">
        <v>272682786</v>
      </c>
      <c r="K1188" s="3">
        <f t="shared" si="55"/>
        <v>133805443090.2</v>
      </c>
      <c r="M1188" s="4">
        <f t="shared" si="56"/>
        <v>0.60316541110958011</v>
      </c>
    </row>
    <row r="1189" spans="1:13" x14ac:dyDescent="0.45">
      <c r="A1189" s="2">
        <v>44196</v>
      </c>
      <c r="B1189" s="1">
        <v>2630</v>
      </c>
      <c r="D1189" s="2">
        <v>44196</v>
      </c>
      <c r="E1189" s="1">
        <v>485.55</v>
      </c>
      <c r="G1189" s="3">
        <v>20240000</v>
      </c>
      <c r="H1189" s="3">
        <f t="shared" si="54"/>
        <v>53231200000</v>
      </c>
      <c r="J1189" s="3">
        <v>272682786</v>
      </c>
      <c r="K1189" s="3">
        <f t="shared" si="55"/>
        <v>132401126742.3</v>
      </c>
      <c r="M1189" s="4">
        <f t="shared" si="56"/>
        <v>0.59795508308923251</v>
      </c>
    </row>
    <row r="1190" spans="1:13" x14ac:dyDescent="0.45">
      <c r="A1190" s="2">
        <v>44195</v>
      </c>
      <c r="B1190" s="1">
        <v>2601</v>
      </c>
      <c r="D1190" s="2">
        <v>44195</v>
      </c>
      <c r="E1190" s="1">
        <v>486.7</v>
      </c>
      <c r="G1190" s="3">
        <v>20240000</v>
      </c>
      <c r="H1190" s="3">
        <f t="shared" si="54"/>
        <v>52644240000</v>
      </c>
      <c r="J1190" s="3">
        <v>272682786</v>
      </c>
      <c r="K1190" s="3">
        <f t="shared" si="55"/>
        <v>132714711946.2</v>
      </c>
      <c r="M1190" s="4">
        <f t="shared" si="56"/>
        <v>0.60332777558722372</v>
      </c>
    </row>
    <row r="1191" spans="1:13" x14ac:dyDescent="0.45">
      <c r="A1191" s="2">
        <v>44194</v>
      </c>
      <c r="B1191" s="1">
        <v>2697.45</v>
      </c>
      <c r="D1191" s="2">
        <v>44194</v>
      </c>
      <c r="E1191" s="1">
        <v>486.35</v>
      </c>
      <c r="G1191" s="3">
        <v>20240000</v>
      </c>
      <c r="H1191" s="3">
        <f t="shared" si="54"/>
        <v>54596388000</v>
      </c>
      <c r="J1191" s="3">
        <v>272682786</v>
      </c>
      <c r="K1191" s="3">
        <f t="shared" si="55"/>
        <v>132619272971.10001</v>
      </c>
      <c r="M1191" s="4">
        <f t="shared" si="56"/>
        <v>0.58832236991754971</v>
      </c>
    </row>
    <row r="1192" spans="1:13" x14ac:dyDescent="0.45">
      <c r="A1192" s="2">
        <v>44193</v>
      </c>
      <c r="B1192" s="1">
        <v>2631.7</v>
      </c>
      <c r="D1192" s="2">
        <v>44193</v>
      </c>
      <c r="E1192" s="1">
        <v>482.7</v>
      </c>
      <c r="G1192" s="3">
        <v>20240000</v>
      </c>
      <c r="H1192" s="3">
        <f t="shared" si="54"/>
        <v>53265608000</v>
      </c>
      <c r="J1192" s="3">
        <v>272682786</v>
      </c>
      <c r="K1192" s="3">
        <f t="shared" si="55"/>
        <v>131623980802.2</v>
      </c>
      <c r="M1192" s="4">
        <f t="shared" si="56"/>
        <v>0.5953198826280317</v>
      </c>
    </row>
    <row r="1193" spans="1:13" x14ac:dyDescent="0.45">
      <c r="A1193" s="2">
        <v>44189</v>
      </c>
      <c r="B1193" s="1">
        <v>2654.15</v>
      </c>
      <c r="D1193" s="2">
        <v>44189</v>
      </c>
      <c r="E1193" s="1">
        <v>479.5</v>
      </c>
      <c r="G1193" s="3">
        <v>20240000</v>
      </c>
      <c r="H1193" s="3">
        <f t="shared" si="54"/>
        <v>53719996000</v>
      </c>
      <c r="J1193" s="3">
        <v>272682786</v>
      </c>
      <c r="K1193" s="3">
        <f t="shared" si="55"/>
        <v>130751395887</v>
      </c>
      <c r="M1193" s="4">
        <f t="shared" si="56"/>
        <v>0.58914399624133473</v>
      </c>
    </row>
    <row r="1194" spans="1:13" x14ac:dyDescent="0.45">
      <c r="A1194" s="2">
        <v>44188</v>
      </c>
      <c r="B1194" s="1">
        <v>2668.75</v>
      </c>
      <c r="D1194" s="2">
        <v>44188</v>
      </c>
      <c r="E1194" s="1">
        <v>483.6</v>
      </c>
      <c r="G1194" s="3">
        <v>20240000</v>
      </c>
      <c r="H1194" s="3">
        <f t="shared" si="54"/>
        <v>54015500000</v>
      </c>
      <c r="J1194" s="3">
        <v>272682786</v>
      </c>
      <c r="K1194" s="3">
        <f t="shared" si="55"/>
        <v>131869395309.60001</v>
      </c>
      <c r="M1194" s="4">
        <f t="shared" si="56"/>
        <v>0.59038638288145917</v>
      </c>
    </row>
    <row r="1195" spans="1:13" x14ac:dyDescent="0.45">
      <c r="A1195" s="2">
        <v>44187</v>
      </c>
      <c r="B1195" s="1">
        <v>2580.65</v>
      </c>
      <c r="D1195" s="2">
        <v>44187</v>
      </c>
      <c r="E1195" s="1">
        <v>465.3</v>
      </c>
      <c r="G1195" s="3">
        <v>20240000</v>
      </c>
      <c r="H1195" s="3">
        <f t="shared" si="54"/>
        <v>52232356000</v>
      </c>
      <c r="J1195" s="3">
        <v>272682786</v>
      </c>
      <c r="K1195" s="3">
        <f t="shared" si="55"/>
        <v>126879300325.8</v>
      </c>
      <c r="M1195" s="4">
        <f t="shared" si="56"/>
        <v>0.58833035912179499</v>
      </c>
    </row>
    <row r="1196" spans="1:13" x14ac:dyDescent="0.45">
      <c r="A1196" s="2">
        <v>44186</v>
      </c>
      <c r="B1196" s="1">
        <v>2681.35</v>
      </c>
      <c r="D1196" s="2">
        <v>44186</v>
      </c>
      <c r="E1196" s="1">
        <v>464.65</v>
      </c>
      <c r="G1196" s="3">
        <v>20240000</v>
      </c>
      <c r="H1196" s="3">
        <f t="shared" si="54"/>
        <v>54270524000</v>
      </c>
      <c r="J1196" s="3">
        <v>272682786</v>
      </c>
      <c r="K1196" s="3">
        <f t="shared" si="55"/>
        <v>126702056514.89999</v>
      </c>
      <c r="M1196" s="4">
        <f t="shared" si="56"/>
        <v>0.57166816788314834</v>
      </c>
    </row>
    <row r="1197" spans="1:13" x14ac:dyDescent="0.45">
      <c r="A1197" s="2">
        <v>44183</v>
      </c>
      <c r="B1197" s="1">
        <v>2672.5</v>
      </c>
      <c r="D1197" s="2">
        <v>44183</v>
      </c>
      <c r="E1197" s="1">
        <v>489.8</v>
      </c>
      <c r="G1197" s="3">
        <v>20240000</v>
      </c>
      <c r="H1197" s="3">
        <f t="shared" si="54"/>
        <v>54091400000</v>
      </c>
      <c r="J1197" s="3">
        <v>272682786</v>
      </c>
      <c r="K1197" s="3">
        <f t="shared" si="55"/>
        <v>133560028582.8</v>
      </c>
      <c r="M1197" s="4">
        <f t="shared" si="56"/>
        <v>0.59500308158090687</v>
      </c>
    </row>
    <row r="1198" spans="1:13" x14ac:dyDescent="0.45">
      <c r="A1198" s="2">
        <v>44182</v>
      </c>
      <c r="B1198" s="1">
        <v>2659.45</v>
      </c>
      <c r="D1198" s="2">
        <v>44182</v>
      </c>
      <c r="E1198" s="1">
        <v>489.7</v>
      </c>
      <c r="G1198" s="3">
        <v>20240000</v>
      </c>
      <c r="H1198" s="3">
        <f t="shared" si="54"/>
        <v>53827268000</v>
      </c>
      <c r="J1198" s="3">
        <v>272682786</v>
      </c>
      <c r="K1198" s="3">
        <f t="shared" si="55"/>
        <v>133532760304.2</v>
      </c>
      <c r="M1198" s="4">
        <f t="shared" si="56"/>
        <v>0.59689840996788734</v>
      </c>
    </row>
    <row r="1199" spans="1:13" x14ac:dyDescent="0.45">
      <c r="A1199" s="2">
        <v>44181</v>
      </c>
      <c r="B1199" s="1">
        <v>2672.05</v>
      </c>
      <c r="D1199" s="2">
        <v>44181</v>
      </c>
      <c r="E1199" s="1">
        <v>494.4</v>
      </c>
      <c r="G1199" s="3">
        <v>20240000</v>
      </c>
      <c r="H1199" s="3">
        <f t="shared" si="54"/>
        <v>54082292000</v>
      </c>
      <c r="J1199" s="3">
        <v>272682786</v>
      </c>
      <c r="K1199" s="3">
        <f t="shared" si="55"/>
        <v>134814369398.39999</v>
      </c>
      <c r="M1199" s="4">
        <f t="shared" si="56"/>
        <v>0.59883881635660519</v>
      </c>
    </row>
    <row r="1200" spans="1:13" x14ac:dyDescent="0.45">
      <c r="A1200" s="2">
        <v>44180</v>
      </c>
      <c r="B1200" s="1">
        <v>2505.65</v>
      </c>
      <c r="D1200" s="2">
        <v>44180</v>
      </c>
      <c r="E1200" s="1">
        <v>483.9</v>
      </c>
      <c r="G1200" s="3">
        <v>20240000</v>
      </c>
      <c r="H1200" s="3">
        <f t="shared" si="54"/>
        <v>50714356000</v>
      </c>
      <c r="J1200" s="3">
        <v>272682786</v>
      </c>
      <c r="K1200" s="3">
        <f t="shared" si="55"/>
        <v>131951200145.39999</v>
      </c>
      <c r="M1200" s="4">
        <f t="shared" si="56"/>
        <v>0.61565824377408684</v>
      </c>
    </row>
    <row r="1201" spans="1:13" x14ac:dyDescent="0.45">
      <c r="A1201" s="2">
        <v>44179</v>
      </c>
      <c r="B1201" s="1">
        <v>2197.6</v>
      </c>
      <c r="D1201" s="2">
        <v>44179</v>
      </c>
      <c r="E1201" s="1">
        <v>487.55</v>
      </c>
      <c r="G1201" s="3">
        <v>20240000</v>
      </c>
      <c r="H1201" s="3">
        <f t="shared" si="54"/>
        <v>44479424000</v>
      </c>
      <c r="J1201" s="3">
        <v>272682786</v>
      </c>
      <c r="K1201" s="3">
        <f t="shared" si="55"/>
        <v>132946492314.3</v>
      </c>
      <c r="M1201" s="4">
        <f t="shared" si="56"/>
        <v>0.66543364006290751</v>
      </c>
    </row>
    <row r="1202" spans="1:13" x14ac:dyDescent="0.45">
      <c r="A1202" s="2">
        <v>44176</v>
      </c>
      <c r="B1202" s="1">
        <v>2217.6999999999998</v>
      </c>
      <c r="D1202" s="2">
        <v>44176</v>
      </c>
      <c r="E1202" s="1">
        <v>484.1</v>
      </c>
      <c r="G1202" s="3">
        <v>20240000</v>
      </c>
      <c r="H1202" s="3">
        <f t="shared" si="54"/>
        <v>44886248000</v>
      </c>
      <c r="J1202" s="3">
        <v>272682786</v>
      </c>
      <c r="K1202" s="3">
        <f t="shared" si="55"/>
        <v>132005736702.60001</v>
      </c>
      <c r="M1202" s="4">
        <f t="shared" si="56"/>
        <v>0.65996744443670896</v>
      </c>
    </row>
    <row r="1203" spans="1:13" x14ac:dyDescent="0.45">
      <c r="A1203" s="2">
        <v>44175</v>
      </c>
      <c r="B1203" s="1">
        <v>2022.1</v>
      </c>
      <c r="D1203" s="2">
        <v>44175</v>
      </c>
      <c r="E1203" s="1">
        <v>497.75</v>
      </c>
      <c r="G1203" s="3">
        <v>20240000</v>
      </c>
      <c r="H1203" s="3">
        <f t="shared" si="54"/>
        <v>40927304000</v>
      </c>
      <c r="J1203" s="3">
        <v>272682786</v>
      </c>
      <c r="K1203" s="3">
        <f t="shared" si="55"/>
        <v>135727856731.5</v>
      </c>
      <c r="M1203" s="4">
        <f t="shared" si="56"/>
        <v>0.69846054461050433</v>
      </c>
    </row>
    <row r="1204" spans="1:13" x14ac:dyDescent="0.45">
      <c r="A1204" s="2">
        <v>44174</v>
      </c>
      <c r="B1204" s="1">
        <v>2032.5</v>
      </c>
      <c r="D1204" s="2">
        <v>44174</v>
      </c>
      <c r="E1204" s="1">
        <v>497.95</v>
      </c>
      <c r="G1204" s="3">
        <v>20240000</v>
      </c>
      <c r="H1204" s="3">
        <f t="shared" si="54"/>
        <v>41137800000</v>
      </c>
      <c r="J1204" s="3">
        <v>272682786</v>
      </c>
      <c r="K1204" s="3">
        <f t="shared" si="55"/>
        <v>135782393288.7</v>
      </c>
      <c r="M1204" s="4">
        <f t="shared" si="56"/>
        <v>0.69703141177860251</v>
      </c>
    </row>
    <row r="1205" spans="1:13" x14ac:dyDescent="0.45">
      <c r="A1205" s="2">
        <v>44173</v>
      </c>
      <c r="B1205" s="1">
        <v>2069.75</v>
      </c>
      <c r="D1205" s="2">
        <v>44173</v>
      </c>
      <c r="E1205" s="1">
        <v>507.6</v>
      </c>
      <c r="G1205" s="3">
        <v>20240000</v>
      </c>
      <c r="H1205" s="3">
        <f t="shared" si="54"/>
        <v>41891740000</v>
      </c>
      <c r="J1205" s="3">
        <v>272682786</v>
      </c>
      <c r="K1205" s="3">
        <f t="shared" si="55"/>
        <v>138413782173.60001</v>
      </c>
      <c r="M1205" s="4">
        <f t="shared" si="56"/>
        <v>0.697344156469484</v>
      </c>
    </row>
    <row r="1206" spans="1:13" x14ac:dyDescent="0.45">
      <c r="A1206" s="2">
        <v>44172</v>
      </c>
      <c r="B1206" s="1">
        <v>2021.9</v>
      </c>
      <c r="D1206" s="2">
        <v>44172</v>
      </c>
      <c r="E1206" s="1">
        <v>510.6</v>
      </c>
      <c r="G1206" s="3">
        <v>20240000</v>
      </c>
      <c r="H1206" s="3">
        <f t="shared" si="54"/>
        <v>40923256000</v>
      </c>
      <c r="J1206" s="3">
        <v>272682786</v>
      </c>
      <c r="K1206" s="3">
        <f t="shared" si="55"/>
        <v>139231830531.60001</v>
      </c>
      <c r="M1206" s="4">
        <f t="shared" si="56"/>
        <v>0.70607830232676516</v>
      </c>
    </row>
    <row r="1207" spans="1:13" x14ac:dyDescent="0.45">
      <c r="A1207" s="2">
        <v>44169</v>
      </c>
      <c r="B1207" s="1">
        <v>2105.5</v>
      </c>
      <c r="D1207" s="2">
        <v>44169</v>
      </c>
      <c r="E1207" s="1">
        <v>497.9</v>
      </c>
      <c r="G1207" s="3">
        <v>20240000</v>
      </c>
      <c r="H1207" s="3">
        <f t="shared" si="54"/>
        <v>42615320000</v>
      </c>
      <c r="J1207" s="3">
        <v>272682786</v>
      </c>
      <c r="K1207" s="3">
        <f t="shared" si="55"/>
        <v>135768759149.39999</v>
      </c>
      <c r="M1207" s="4">
        <f t="shared" si="56"/>
        <v>0.6861183657640556</v>
      </c>
    </row>
    <row r="1208" spans="1:13" x14ac:dyDescent="0.45">
      <c r="A1208" s="2">
        <v>44168</v>
      </c>
      <c r="B1208" s="1">
        <v>2212.5500000000002</v>
      </c>
      <c r="D1208" s="2">
        <v>44168</v>
      </c>
      <c r="E1208" s="1">
        <v>497.85</v>
      </c>
      <c r="G1208" s="3">
        <v>20240000</v>
      </c>
      <c r="H1208" s="3">
        <f t="shared" si="54"/>
        <v>44782012000</v>
      </c>
      <c r="J1208" s="3">
        <v>272682786</v>
      </c>
      <c r="K1208" s="3">
        <f t="shared" si="55"/>
        <v>135755125010.10001</v>
      </c>
      <c r="M1208" s="4">
        <f t="shared" si="56"/>
        <v>0.67012654589159504</v>
      </c>
    </row>
    <row r="1209" spans="1:13" x14ac:dyDescent="0.45">
      <c r="A1209" s="2">
        <v>44167</v>
      </c>
      <c r="B1209" s="1">
        <v>1984.2</v>
      </c>
      <c r="D1209" s="2">
        <v>44167</v>
      </c>
      <c r="E1209" s="1">
        <v>488.35</v>
      </c>
      <c r="G1209" s="3">
        <v>20240000</v>
      </c>
      <c r="H1209" s="3">
        <f t="shared" si="54"/>
        <v>40160208000</v>
      </c>
      <c r="J1209" s="3">
        <v>272682786</v>
      </c>
      <c r="K1209" s="3">
        <f t="shared" si="55"/>
        <v>133164638543.10001</v>
      </c>
      <c r="M1209" s="4">
        <f t="shared" si="56"/>
        <v>0.69841687373332406</v>
      </c>
    </row>
    <row r="1210" spans="1:13" x14ac:dyDescent="0.45">
      <c r="A1210" s="2">
        <v>44166</v>
      </c>
      <c r="B1210" s="1">
        <v>1880.8</v>
      </c>
      <c r="D1210" s="2">
        <v>44166</v>
      </c>
      <c r="E1210" s="1">
        <v>500.15</v>
      </c>
      <c r="G1210" s="3">
        <v>20240000</v>
      </c>
      <c r="H1210" s="3">
        <f t="shared" si="54"/>
        <v>38067392000</v>
      </c>
      <c r="J1210" s="3">
        <v>272682786</v>
      </c>
      <c r="K1210" s="3">
        <f t="shared" si="55"/>
        <v>136382295417.89999</v>
      </c>
      <c r="M1210" s="4">
        <f t="shared" si="56"/>
        <v>0.72087731854523618</v>
      </c>
    </row>
    <row r="1211" spans="1:13" x14ac:dyDescent="0.45">
      <c r="A1211" s="2">
        <v>44162</v>
      </c>
      <c r="B1211" s="1">
        <v>1812.65</v>
      </c>
      <c r="D1211" s="2">
        <v>44162</v>
      </c>
      <c r="E1211" s="1">
        <v>499.35</v>
      </c>
      <c r="G1211" s="3">
        <v>20240000</v>
      </c>
      <c r="H1211" s="3">
        <f t="shared" si="54"/>
        <v>36688036000</v>
      </c>
      <c r="J1211" s="3">
        <v>272682786</v>
      </c>
      <c r="K1211" s="3">
        <f t="shared" si="55"/>
        <v>136164149189.10001</v>
      </c>
      <c r="M1211" s="4">
        <f t="shared" si="56"/>
        <v>0.73056023763605404</v>
      </c>
    </row>
    <row r="1212" spans="1:13" x14ac:dyDescent="0.45">
      <c r="A1212" s="2">
        <v>44161</v>
      </c>
      <c r="B1212" s="1">
        <v>1754.1</v>
      </c>
      <c r="D1212" s="2">
        <v>44161</v>
      </c>
      <c r="E1212" s="1">
        <v>474.6</v>
      </c>
      <c r="G1212" s="3">
        <v>20240000</v>
      </c>
      <c r="H1212" s="3">
        <f t="shared" si="54"/>
        <v>35502984000</v>
      </c>
      <c r="J1212" s="3">
        <v>272682786</v>
      </c>
      <c r="K1212" s="3">
        <f t="shared" si="55"/>
        <v>129415250235.60001</v>
      </c>
      <c r="M1212" s="4">
        <f t="shared" si="56"/>
        <v>0.72566614880883873</v>
      </c>
    </row>
    <row r="1213" spans="1:13" x14ac:dyDescent="0.45">
      <c r="A1213" s="2">
        <v>44160</v>
      </c>
      <c r="B1213" s="1">
        <v>1729.7</v>
      </c>
      <c r="D1213" s="2">
        <v>44160</v>
      </c>
      <c r="E1213" s="1">
        <v>475.05</v>
      </c>
      <c r="G1213" s="3">
        <v>20240000</v>
      </c>
      <c r="H1213" s="3">
        <f t="shared" si="54"/>
        <v>35009128000</v>
      </c>
      <c r="J1213" s="3">
        <v>272682786</v>
      </c>
      <c r="K1213" s="3">
        <f t="shared" si="55"/>
        <v>129537957489.3</v>
      </c>
      <c r="M1213" s="4">
        <f t="shared" si="56"/>
        <v>0.72973845906986923</v>
      </c>
    </row>
    <row r="1214" spans="1:13" x14ac:dyDescent="0.45">
      <c r="A1214" s="2">
        <v>44159</v>
      </c>
      <c r="B1214" s="1">
        <v>1778.95</v>
      </c>
      <c r="D1214" s="2">
        <v>44159</v>
      </c>
      <c r="E1214" s="1">
        <v>471</v>
      </c>
      <c r="G1214" s="3">
        <v>20240000</v>
      </c>
      <c r="H1214" s="3">
        <f t="shared" si="54"/>
        <v>36005948000</v>
      </c>
      <c r="J1214" s="3">
        <v>272682786</v>
      </c>
      <c r="K1214" s="3">
        <f t="shared" si="55"/>
        <v>128433592206</v>
      </c>
      <c r="M1214" s="4">
        <f t="shared" si="56"/>
        <v>0.719653189001764</v>
      </c>
    </row>
    <row r="1215" spans="1:13" x14ac:dyDescent="0.45">
      <c r="A1215" s="2">
        <v>44158</v>
      </c>
      <c r="B1215" s="1">
        <v>1733.85</v>
      </c>
      <c r="D1215" s="2">
        <v>44158</v>
      </c>
      <c r="E1215" s="1">
        <v>476.6</v>
      </c>
      <c r="G1215" s="3">
        <v>20240000</v>
      </c>
      <c r="H1215" s="3">
        <f t="shared" si="54"/>
        <v>35093124000</v>
      </c>
      <c r="J1215" s="3">
        <v>272682786</v>
      </c>
      <c r="K1215" s="3">
        <f t="shared" si="55"/>
        <v>129960615807.60001</v>
      </c>
      <c r="M1215" s="4">
        <f t="shared" si="56"/>
        <v>0.72997108560986224</v>
      </c>
    </row>
    <row r="1216" spans="1:13" x14ac:dyDescent="0.45">
      <c r="A1216" s="2">
        <v>44155</v>
      </c>
      <c r="B1216" s="1">
        <v>1754.9</v>
      </c>
      <c r="D1216" s="2">
        <v>44155</v>
      </c>
      <c r="E1216" s="1">
        <v>478.3</v>
      </c>
      <c r="G1216" s="3">
        <v>20240000</v>
      </c>
      <c r="H1216" s="3">
        <f t="shared" si="54"/>
        <v>35519176000</v>
      </c>
      <c r="J1216" s="3">
        <v>272682786</v>
      </c>
      <c r="K1216" s="3">
        <f t="shared" si="55"/>
        <v>130424176543.8</v>
      </c>
      <c r="M1216" s="4">
        <f t="shared" si="56"/>
        <v>0.72766417284550244</v>
      </c>
    </row>
    <row r="1217" spans="1:13" x14ac:dyDescent="0.45">
      <c r="A1217" s="2">
        <v>44154</v>
      </c>
      <c r="B1217" s="1">
        <v>1755.25</v>
      </c>
      <c r="D1217" s="2">
        <v>44154</v>
      </c>
      <c r="E1217" s="1">
        <v>475.05</v>
      </c>
      <c r="G1217" s="3">
        <v>20240000</v>
      </c>
      <c r="H1217" s="3">
        <f t="shared" si="54"/>
        <v>35526260000</v>
      </c>
      <c r="J1217" s="3">
        <v>272682786</v>
      </c>
      <c r="K1217" s="3">
        <f t="shared" si="55"/>
        <v>129537957489.3</v>
      </c>
      <c r="M1217" s="4">
        <f t="shared" si="56"/>
        <v>0.72574633189708493</v>
      </c>
    </row>
    <row r="1218" spans="1:13" x14ac:dyDescent="0.45">
      <c r="A1218" s="2">
        <v>44153</v>
      </c>
      <c r="B1218" s="1">
        <v>1769.5</v>
      </c>
      <c r="D1218" s="2">
        <v>44153</v>
      </c>
      <c r="E1218" s="1">
        <v>479.45</v>
      </c>
      <c r="G1218" s="3">
        <v>20240000</v>
      </c>
      <c r="H1218" s="3">
        <f t="shared" si="54"/>
        <v>35814680000</v>
      </c>
      <c r="J1218" s="3">
        <v>272682786</v>
      </c>
      <c r="K1218" s="3">
        <f t="shared" si="55"/>
        <v>130737761747.7</v>
      </c>
      <c r="M1218" s="4">
        <f t="shared" si="56"/>
        <v>0.72605711218220348</v>
      </c>
    </row>
    <row r="1219" spans="1:13" x14ac:dyDescent="0.45">
      <c r="A1219" s="2">
        <v>44152</v>
      </c>
      <c r="B1219" s="1">
        <v>1673.55</v>
      </c>
      <c r="D1219" s="2">
        <v>44152</v>
      </c>
      <c r="E1219" s="1">
        <v>475.4</v>
      </c>
      <c r="G1219" s="3">
        <v>20240000</v>
      </c>
      <c r="H1219" s="3">
        <f t="shared" si="54"/>
        <v>33872652000</v>
      </c>
      <c r="J1219" s="3">
        <v>272682786</v>
      </c>
      <c r="K1219" s="3">
        <f t="shared" si="55"/>
        <v>129633396464.39999</v>
      </c>
      <c r="M1219" s="4">
        <f t="shared" si="56"/>
        <v>0.73870427741741596</v>
      </c>
    </row>
    <row r="1220" spans="1:13" x14ac:dyDescent="0.45">
      <c r="A1220" s="2">
        <v>44149</v>
      </c>
      <c r="B1220" s="1">
        <v>1649</v>
      </c>
      <c r="D1220" s="2">
        <v>44149</v>
      </c>
      <c r="E1220" s="1">
        <v>478.75</v>
      </c>
      <c r="G1220" s="3">
        <v>20240000</v>
      </c>
      <c r="H1220" s="3">
        <f t="shared" ref="H1220:H1244" si="57">+G1220*B1220</f>
        <v>33375760000</v>
      </c>
      <c r="J1220" s="3">
        <v>272682786</v>
      </c>
      <c r="K1220" s="3">
        <f t="shared" ref="K1220:K1244" si="58">+J1220*E1220</f>
        <v>130546883797.5</v>
      </c>
      <c r="M1220" s="4">
        <f t="shared" ref="M1220:M1244" si="59">1- (H1220/K1220)</f>
        <v>0.74433889933541897</v>
      </c>
    </row>
    <row r="1221" spans="1:13" x14ac:dyDescent="0.45">
      <c r="A1221" s="2">
        <v>44148</v>
      </c>
      <c r="B1221" s="1">
        <v>1604.95</v>
      </c>
      <c r="D1221" s="2">
        <v>44148</v>
      </c>
      <c r="E1221" s="1">
        <v>477.8</v>
      </c>
      <c r="G1221" s="3">
        <v>20240000</v>
      </c>
      <c r="H1221" s="3">
        <f t="shared" si="57"/>
        <v>32484188000</v>
      </c>
      <c r="J1221" s="3">
        <v>272682786</v>
      </c>
      <c r="K1221" s="3">
        <f t="shared" si="58"/>
        <v>130287835150.8</v>
      </c>
      <c r="M1221" s="4">
        <f t="shared" si="59"/>
        <v>0.75067366832520022</v>
      </c>
    </row>
    <row r="1222" spans="1:13" x14ac:dyDescent="0.45">
      <c r="A1222" s="2">
        <v>44147</v>
      </c>
      <c r="B1222" s="1">
        <v>1599.65</v>
      </c>
      <c r="D1222" s="2">
        <v>44147</v>
      </c>
      <c r="E1222" s="1">
        <v>481.6</v>
      </c>
      <c r="G1222" s="3">
        <v>20240000</v>
      </c>
      <c r="H1222" s="3">
        <f t="shared" si="57"/>
        <v>32376916000</v>
      </c>
      <c r="J1222" s="3">
        <v>272682786</v>
      </c>
      <c r="K1222" s="3">
        <f t="shared" si="58"/>
        <v>131324029737.60001</v>
      </c>
      <c r="M1222" s="4">
        <f t="shared" si="59"/>
        <v>0.7534577939414997</v>
      </c>
    </row>
    <row r="1223" spans="1:13" x14ac:dyDescent="0.45">
      <c r="A1223" s="2">
        <v>44146</v>
      </c>
      <c r="B1223" s="1">
        <v>1671.8</v>
      </c>
      <c r="D1223" s="2">
        <v>44146</v>
      </c>
      <c r="E1223" s="1">
        <v>477.4</v>
      </c>
      <c r="G1223" s="3">
        <v>20240000</v>
      </c>
      <c r="H1223" s="3">
        <f t="shared" si="57"/>
        <v>33837232000</v>
      </c>
      <c r="J1223" s="3">
        <v>272682786</v>
      </c>
      <c r="K1223" s="3">
        <f t="shared" si="58"/>
        <v>130178762036.39999</v>
      </c>
      <c r="M1223" s="4">
        <f t="shared" si="59"/>
        <v>0.74007102640491707</v>
      </c>
    </row>
    <row r="1224" spans="1:13" x14ac:dyDescent="0.45">
      <c r="A1224" s="2">
        <v>44145</v>
      </c>
      <c r="B1224" s="1">
        <v>1670.4</v>
      </c>
      <c r="D1224" s="2">
        <v>44145</v>
      </c>
      <c r="E1224" s="1">
        <v>479.05</v>
      </c>
      <c r="G1224" s="3">
        <v>20240000</v>
      </c>
      <c r="H1224" s="3">
        <f t="shared" si="57"/>
        <v>33808896000</v>
      </c>
      <c r="J1224" s="3">
        <v>272682786</v>
      </c>
      <c r="K1224" s="3">
        <f t="shared" si="58"/>
        <v>130628688633.3</v>
      </c>
      <c r="M1224" s="4">
        <f t="shared" si="59"/>
        <v>0.74118322434585471</v>
      </c>
    </row>
    <row r="1225" spans="1:13" x14ac:dyDescent="0.45">
      <c r="A1225" s="2">
        <v>44144</v>
      </c>
      <c r="B1225" s="1">
        <v>1665.1</v>
      </c>
      <c r="D1225" s="2">
        <v>44144</v>
      </c>
      <c r="E1225" s="1">
        <v>479.1</v>
      </c>
      <c r="G1225" s="3">
        <v>20240000</v>
      </c>
      <c r="H1225" s="3">
        <f t="shared" si="57"/>
        <v>33701624000</v>
      </c>
      <c r="J1225" s="3">
        <v>272682786</v>
      </c>
      <c r="K1225" s="3">
        <f t="shared" si="58"/>
        <v>130642322772.60001</v>
      </c>
      <c r="M1225" s="4">
        <f t="shared" si="59"/>
        <v>0.7420313472329938</v>
      </c>
    </row>
    <row r="1226" spans="1:13" x14ac:dyDescent="0.45">
      <c r="A1226" s="2">
        <v>44141</v>
      </c>
      <c r="B1226" s="1">
        <v>1656.75</v>
      </c>
      <c r="D1226" s="2">
        <v>44141</v>
      </c>
      <c r="E1226" s="1">
        <v>479.6</v>
      </c>
      <c r="G1226" s="3">
        <v>20240000</v>
      </c>
      <c r="H1226" s="3">
        <f t="shared" si="57"/>
        <v>33532620000</v>
      </c>
      <c r="J1226" s="3">
        <v>272682786</v>
      </c>
      <c r="K1226" s="3">
        <f t="shared" si="58"/>
        <v>130778664165.60001</v>
      </c>
      <c r="M1226" s="4">
        <f t="shared" si="59"/>
        <v>0.74359257900402675</v>
      </c>
    </row>
    <row r="1227" spans="1:13" x14ac:dyDescent="0.45">
      <c r="A1227" s="2">
        <v>44140</v>
      </c>
      <c r="B1227" s="1">
        <v>1714.3</v>
      </c>
      <c r="D1227" s="2">
        <v>44140</v>
      </c>
      <c r="E1227" s="1">
        <v>476.3</v>
      </c>
      <c r="G1227" s="3">
        <v>20240000</v>
      </c>
      <c r="H1227" s="3">
        <f t="shared" si="57"/>
        <v>34697432000</v>
      </c>
      <c r="J1227" s="3">
        <v>272682786</v>
      </c>
      <c r="K1227" s="3">
        <f t="shared" si="58"/>
        <v>129878810971.8</v>
      </c>
      <c r="M1227" s="4">
        <f t="shared" si="59"/>
        <v>0.7328476312619332</v>
      </c>
    </row>
    <row r="1228" spans="1:13" x14ac:dyDescent="0.45">
      <c r="A1228" s="2">
        <v>44139</v>
      </c>
      <c r="B1228" s="1">
        <v>1681.9</v>
      </c>
      <c r="D1228" s="2">
        <v>44139</v>
      </c>
      <c r="E1228" s="1">
        <v>470.8</v>
      </c>
      <c r="G1228" s="3">
        <v>20240000</v>
      </c>
      <c r="H1228" s="3">
        <f t="shared" si="57"/>
        <v>34041656000</v>
      </c>
      <c r="J1228" s="3">
        <v>272682786</v>
      </c>
      <c r="K1228" s="3">
        <f t="shared" si="58"/>
        <v>128379055648.8</v>
      </c>
      <c r="M1228" s="4">
        <f t="shared" si="59"/>
        <v>0.73483481532123118</v>
      </c>
    </row>
    <row r="1229" spans="1:13" x14ac:dyDescent="0.45">
      <c r="A1229" s="2">
        <v>44138</v>
      </c>
      <c r="B1229" s="1">
        <v>1667.95</v>
      </c>
      <c r="D1229" s="2">
        <v>44138</v>
      </c>
      <c r="E1229" s="1">
        <v>465.35</v>
      </c>
      <c r="G1229" s="3">
        <v>20240000</v>
      </c>
      <c r="H1229" s="3">
        <f t="shared" si="57"/>
        <v>33759308000</v>
      </c>
      <c r="J1229" s="3">
        <v>272682786</v>
      </c>
      <c r="K1229" s="3">
        <f t="shared" si="58"/>
        <v>126892934465.10001</v>
      </c>
      <c r="M1229" s="4">
        <f t="shared" si="59"/>
        <v>0.73395439121722739</v>
      </c>
    </row>
    <row r="1230" spans="1:13" x14ac:dyDescent="0.45">
      <c r="A1230" s="2">
        <v>44137</v>
      </c>
      <c r="B1230" s="1">
        <v>1706.15</v>
      </c>
      <c r="D1230" s="2">
        <v>44137</v>
      </c>
      <c r="E1230" s="1">
        <v>458.65</v>
      </c>
      <c r="G1230" s="3">
        <v>20240000</v>
      </c>
      <c r="H1230" s="3">
        <f t="shared" si="57"/>
        <v>34532476000</v>
      </c>
      <c r="J1230" s="3">
        <v>272682786</v>
      </c>
      <c r="K1230" s="3">
        <f t="shared" si="58"/>
        <v>125065959798.89999</v>
      </c>
      <c r="M1230" s="4">
        <f t="shared" si="59"/>
        <v>0.72388589144858795</v>
      </c>
    </row>
    <row r="1231" spans="1:13" x14ac:dyDescent="0.45">
      <c r="A1231" s="2">
        <v>44134</v>
      </c>
      <c r="B1231" s="1">
        <v>1686.5</v>
      </c>
      <c r="D1231" s="2">
        <v>44134</v>
      </c>
      <c r="E1231" s="1">
        <v>455.25</v>
      </c>
      <c r="G1231" s="3">
        <v>20240000</v>
      </c>
      <c r="H1231" s="3">
        <f t="shared" si="57"/>
        <v>34134760000</v>
      </c>
      <c r="J1231" s="3">
        <v>272682786</v>
      </c>
      <c r="K1231" s="3">
        <f t="shared" si="58"/>
        <v>124138838326.5</v>
      </c>
      <c r="M1231" s="4">
        <f t="shared" si="59"/>
        <v>0.72502755414690201</v>
      </c>
    </row>
    <row r="1232" spans="1:13" x14ac:dyDescent="0.45">
      <c r="A1232" s="2">
        <v>44133</v>
      </c>
      <c r="B1232" s="1">
        <v>1624.65</v>
      </c>
      <c r="D1232" s="2">
        <v>44133</v>
      </c>
      <c r="E1232" s="1">
        <v>422.25</v>
      </c>
      <c r="G1232" s="3">
        <v>20240000</v>
      </c>
      <c r="H1232" s="3">
        <f t="shared" si="57"/>
        <v>32882916000</v>
      </c>
      <c r="J1232" s="3">
        <v>272682786</v>
      </c>
      <c r="K1232" s="3">
        <f t="shared" si="58"/>
        <v>115140306388.5</v>
      </c>
      <c r="M1232" s="4">
        <f t="shared" si="59"/>
        <v>0.71441003562168492</v>
      </c>
    </row>
    <row r="1233" spans="1:13" x14ac:dyDescent="0.45">
      <c r="A1233" s="2">
        <v>44132</v>
      </c>
      <c r="B1233" s="1">
        <v>1656</v>
      </c>
      <c r="D1233" s="2">
        <v>44132</v>
      </c>
      <c r="E1233" s="1">
        <v>426.75</v>
      </c>
      <c r="G1233" s="3">
        <v>20240000</v>
      </c>
      <c r="H1233" s="3">
        <f t="shared" si="57"/>
        <v>33517440000</v>
      </c>
      <c r="J1233" s="3">
        <v>272682786</v>
      </c>
      <c r="K1233" s="3">
        <f t="shared" si="58"/>
        <v>116367378925.5</v>
      </c>
      <c r="M1233" s="4">
        <f t="shared" si="59"/>
        <v>0.71196876384524965</v>
      </c>
    </row>
    <row r="1234" spans="1:13" x14ac:dyDescent="0.45">
      <c r="A1234" s="2">
        <v>44131</v>
      </c>
      <c r="B1234" s="1">
        <v>1641.95</v>
      </c>
      <c r="D1234" s="2">
        <v>44131</v>
      </c>
      <c r="E1234" s="1">
        <v>432.95</v>
      </c>
      <c r="G1234" s="3">
        <v>20240000</v>
      </c>
      <c r="H1234" s="3">
        <f t="shared" si="57"/>
        <v>33233068000</v>
      </c>
      <c r="J1234" s="3">
        <v>272682786</v>
      </c>
      <c r="K1234" s="3">
        <f t="shared" si="58"/>
        <v>118058012198.7</v>
      </c>
      <c r="M1234" s="4">
        <f t="shared" si="59"/>
        <v>0.71850222292353694</v>
      </c>
    </row>
    <row r="1235" spans="1:13" x14ac:dyDescent="0.45">
      <c r="A1235" s="2">
        <v>44130</v>
      </c>
      <c r="B1235" s="1">
        <v>1624.95</v>
      </c>
      <c r="D1235" s="2">
        <v>44130</v>
      </c>
      <c r="E1235" s="1">
        <v>429</v>
      </c>
      <c r="G1235" s="3">
        <v>20240000</v>
      </c>
      <c r="H1235" s="3">
        <f t="shared" si="57"/>
        <v>32888988000</v>
      </c>
      <c r="J1235" s="3">
        <v>272682786</v>
      </c>
      <c r="K1235" s="3">
        <f t="shared" si="58"/>
        <v>116980915194</v>
      </c>
      <c r="M1235" s="4">
        <f t="shared" si="59"/>
        <v>0.7188516781095684</v>
      </c>
    </row>
    <row r="1236" spans="1:13" x14ac:dyDescent="0.45">
      <c r="A1236" s="2">
        <v>44127</v>
      </c>
      <c r="B1236" s="1">
        <v>1632.2</v>
      </c>
      <c r="D1236" s="2">
        <v>44127</v>
      </c>
      <c r="E1236" s="1">
        <v>444.75</v>
      </c>
      <c r="G1236" s="3">
        <v>20240000</v>
      </c>
      <c r="H1236" s="3">
        <f t="shared" si="57"/>
        <v>33035728000</v>
      </c>
      <c r="J1236" s="3">
        <v>272682786</v>
      </c>
      <c r="K1236" s="3">
        <f t="shared" si="58"/>
        <v>121275669073.5</v>
      </c>
      <c r="M1236" s="4">
        <f t="shared" si="59"/>
        <v>0.72759805612799</v>
      </c>
    </row>
    <row r="1237" spans="1:13" x14ac:dyDescent="0.45">
      <c r="A1237" s="2">
        <v>44126</v>
      </c>
      <c r="B1237" s="1">
        <v>1617.75</v>
      </c>
      <c r="D1237" s="2">
        <v>44126</v>
      </c>
      <c r="E1237" s="1">
        <v>442.55</v>
      </c>
      <c r="G1237" s="3">
        <v>20240000</v>
      </c>
      <c r="H1237" s="3">
        <f t="shared" si="57"/>
        <v>32743260000</v>
      </c>
      <c r="J1237" s="3">
        <v>272682786</v>
      </c>
      <c r="K1237" s="3">
        <f t="shared" si="58"/>
        <v>120675766944.3</v>
      </c>
      <c r="M1237" s="4">
        <f t="shared" si="59"/>
        <v>0.72866747956850997</v>
      </c>
    </row>
    <row r="1238" spans="1:13" x14ac:dyDescent="0.45">
      <c r="A1238" s="2">
        <v>44125</v>
      </c>
      <c r="B1238" s="1">
        <v>1678</v>
      </c>
      <c r="D1238" s="2">
        <v>44125</v>
      </c>
      <c r="E1238" s="1">
        <v>446</v>
      </c>
      <c r="G1238" s="3">
        <v>20240000</v>
      </c>
      <c r="H1238" s="3">
        <f t="shared" si="57"/>
        <v>33962720000</v>
      </c>
      <c r="J1238" s="3">
        <v>272682786</v>
      </c>
      <c r="K1238" s="3">
        <f t="shared" si="58"/>
        <v>121616522556</v>
      </c>
      <c r="M1238" s="4">
        <f t="shared" si="59"/>
        <v>0.72073926070068817</v>
      </c>
    </row>
    <row r="1239" spans="1:13" x14ac:dyDescent="0.45">
      <c r="A1239" s="2">
        <v>44124</v>
      </c>
      <c r="B1239" s="1">
        <v>1668.75</v>
      </c>
      <c r="D1239" s="2">
        <v>44124</v>
      </c>
      <c r="E1239" s="1">
        <v>452.4</v>
      </c>
      <c r="G1239" s="3">
        <v>20240000</v>
      </c>
      <c r="H1239" s="3">
        <f t="shared" si="57"/>
        <v>33775500000</v>
      </c>
      <c r="J1239" s="3">
        <v>272682786</v>
      </c>
      <c r="K1239" s="3">
        <f t="shared" si="58"/>
        <v>123361692386.39999</v>
      </c>
      <c r="M1239" s="4">
        <f t="shared" si="59"/>
        <v>0.72620754995637871</v>
      </c>
    </row>
    <row r="1240" spans="1:13" x14ac:dyDescent="0.45">
      <c r="A1240" s="2">
        <v>44123</v>
      </c>
      <c r="B1240" s="1">
        <v>1671.25</v>
      </c>
      <c r="D1240" s="2">
        <v>44123</v>
      </c>
      <c r="E1240" s="1">
        <v>454.75</v>
      </c>
      <c r="G1240" s="3">
        <v>20240000</v>
      </c>
      <c r="H1240" s="3">
        <f t="shared" si="57"/>
        <v>33826100000</v>
      </c>
      <c r="J1240" s="3">
        <v>272682786</v>
      </c>
      <c r="K1240" s="3">
        <f t="shared" si="58"/>
        <v>124002496933.5</v>
      </c>
      <c r="M1240" s="4">
        <f t="shared" si="59"/>
        <v>0.72721436393220173</v>
      </c>
    </row>
    <row r="1241" spans="1:13" x14ac:dyDescent="0.45">
      <c r="A1241" s="2">
        <v>44120</v>
      </c>
      <c r="B1241" s="1">
        <v>1685.95</v>
      </c>
      <c r="D1241" s="2">
        <v>44120</v>
      </c>
      <c r="E1241" s="1">
        <v>463.35</v>
      </c>
      <c r="G1241" s="3">
        <v>20240000</v>
      </c>
      <c r="H1241" s="3">
        <f t="shared" si="57"/>
        <v>34123628000</v>
      </c>
      <c r="J1241" s="3">
        <v>272682786</v>
      </c>
      <c r="K1241" s="3">
        <f t="shared" si="58"/>
        <v>126347568893.10001</v>
      </c>
      <c r="M1241" s="4">
        <f t="shared" si="59"/>
        <v>0.72992255965865649</v>
      </c>
    </row>
    <row r="1242" spans="1:13" x14ac:dyDescent="0.45">
      <c r="A1242" s="2">
        <v>44119</v>
      </c>
      <c r="B1242" s="1">
        <v>1661.45</v>
      </c>
      <c r="D1242" s="2">
        <v>44119</v>
      </c>
      <c r="E1242" s="1">
        <v>457.4</v>
      </c>
      <c r="G1242" s="3">
        <v>20240000</v>
      </c>
      <c r="H1242" s="3">
        <f t="shared" si="57"/>
        <v>33627748000</v>
      </c>
      <c r="J1242" s="3">
        <v>272682786</v>
      </c>
      <c r="K1242" s="3">
        <f t="shared" si="58"/>
        <v>124725106316.39999</v>
      </c>
      <c r="M1242" s="4">
        <f t="shared" si="59"/>
        <v>0.73038509251943351</v>
      </c>
    </row>
    <row r="1243" spans="1:13" x14ac:dyDescent="0.45">
      <c r="A1243" s="2">
        <v>44118</v>
      </c>
      <c r="B1243" s="1">
        <v>1678.35</v>
      </c>
      <c r="D1243" s="2">
        <v>44118</v>
      </c>
      <c r="E1243" s="1">
        <v>461.65</v>
      </c>
      <c r="G1243" s="3">
        <v>20240000</v>
      </c>
      <c r="H1243" s="3">
        <f t="shared" si="57"/>
        <v>33969804000</v>
      </c>
      <c r="J1243" s="3">
        <v>272682786</v>
      </c>
      <c r="K1243" s="3">
        <f t="shared" si="58"/>
        <v>125884008156.89999</v>
      </c>
      <c r="M1243" s="4">
        <f t="shared" si="59"/>
        <v>0.73014996505624019</v>
      </c>
    </row>
    <row r="1244" spans="1:13" x14ac:dyDescent="0.45">
      <c r="A1244" s="2">
        <v>44117</v>
      </c>
      <c r="B1244" s="1">
        <v>1666.4</v>
      </c>
      <c r="D1244" s="2">
        <v>44117</v>
      </c>
      <c r="E1244" s="1">
        <v>461.3</v>
      </c>
      <c r="G1244" s="3">
        <v>20240000</v>
      </c>
      <c r="H1244" s="3">
        <f t="shared" si="57"/>
        <v>33727936000</v>
      </c>
      <c r="J1244" s="3">
        <v>272682786</v>
      </c>
      <c r="K1244" s="3">
        <f t="shared" si="58"/>
        <v>125788569181.8</v>
      </c>
      <c r="M1244" s="4">
        <f t="shared" si="59"/>
        <v>0.73186803682253831</v>
      </c>
    </row>
  </sheetData>
  <mergeCells count="4">
    <mergeCell ref="A1:B1"/>
    <mergeCell ref="D1:E1"/>
    <mergeCell ref="P28:T28"/>
    <mergeCell ref="P29:T2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D78EC-D988-4E54-A91B-99DBD2AABEDC}">
  <dimension ref="B2:N22"/>
  <sheetViews>
    <sheetView showGridLines="0" tabSelected="1" workbookViewId="0">
      <selection activeCell="E20" sqref="E20"/>
    </sheetView>
  </sheetViews>
  <sheetFormatPr defaultRowHeight="14.25" x14ac:dyDescent="0.45"/>
  <cols>
    <col min="2" max="2" width="16.33203125" bestFit="1" customWidth="1"/>
    <col min="3" max="3" width="11" bestFit="1" customWidth="1"/>
    <col min="4" max="4" width="10.86328125" bestFit="1" customWidth="1"/>
    <col min="5" max="5" width="12.796875" bestFit="1" customWidth="1"/>
    <col min="6" max="6" width="14.06640625" bestFit="1" customWidth="1"/>
    <col min="9" max="9" width="17.06640625" bestFit="1" customWidth="1"/>
    <col min="12" max="12" width="14.53125" bestFit="1" customWidth="1"/>
    <col min="14" max="14" width="34.73046875" bestFit="1" customWidth="1"/>
  </cols>
  <sheetData>
    <row r="2" spans="2:14" x14ac:dyDescent="0.45">
      <c r="D2" s="16" t="s">
        <v>15</v>
      </c>
      <c r="E2" s="16"/>
      <c r="F2" s="16" t="s">
        <v>16</v>
      </c>
      <c r="G2" s="16"/>
      <c r="H2" s="16" t="s">
        <v>17</v>
      </c>
      <c r="I2" s="16"/>
      <c r="J2" s="16" t="s">
        <v>16</v>
      </c>
      <c r="K2" s="16"/>
      <c r="L2" s="16" t="s">
        <v>18</v>
      </c>
      <c r="M2" s="16"/>
      <c r="N2" s="16" t="s">
        <v>19</v>
      </c>
    </row>
    <row r="3" spans="2:14" x14ac:dyDescent="0.45">
      <c r="B3" s="2">
        <v>45943</v>
      </c>
      <c r="D3">
        <v>250</v>
      </c>
      <c r="E3" t="s">
        <v>28</v>
      </c>
      <c r="F3" s="17">
        <v>16100</v>
      </c>
      <c r="H3" s="18">
        <f t="shared" ref="H3:H8" si="0">+(F3/J3)*D3</f>
        <v>1149.0151298886669</v>
      </c>
      <c r="I3" t="s">
        <v>29</v>
      </c>
      <c r="J3" s="17">
        <v>3503</v>
      </c>
      <c r="L3" s="19">
        <f>+ 1 - ((F3/J3)/N3)</f>
        <v>0.61042306912447841</v>
      </c>
      <c r="N3" s="20">
        <f>+'TVS Comparison'!J3/'TVS Comparison'!G3</f>
        <v>11.797568478260869</v>
      </c>
    </row>
    <row r="4" spans="2:14" x14ac:dyDescent="0.45">
      <c r="B4" s="2">
        <f>+B3+7</f>
        <v>45950</v>
      </c>
      <c r="D4">
        <v>50</v>
      </c>
      <c r="E4" t="s">
        <v>28</v>
      </c>
      <c r="F4" s="17">
        <v>15300</v>
      </c>
      <c r="H4" s="18">
        <f t="shared" si="0"/>
        <v>218.38424207821868</v>
      </c>
      <c r="I4" t="s">
        <v>29</v>
      </c>
      <c r="J4" s="17">
        <v>3503</v>
      </c>
      <c r="L4" s="19">
        <f t="shared" ref="L4:L8" si="1">+ 1 - ((F4/J4)/N4)</f>
        <v>0.62978092904375893</v>
      </c>
      <c r="N4" s="20">
        <v>11.797568478260869</v>
      </c>
    </row>
    <row r="5" spans="2:14" x14ac:dyDescent="0.45">
      <c r="B5" s="2">
        <f>+B4+7</f>
        <v>45957</v>
      </c>
      <c r="D5">
        <v>50</v>
      </c>
      <c r="E5" t="s">
        <v>28</v>
      </c>
      <c r="F5" s="17">
        <v>14450</v>
      </c>
      <c r="H5" s="18">
        <f t="shared" si="0"/>
        <v>206.25178418498427</v>
      </c>
      <c r="I5" t="s">
        <v>29</v>
      </c>
      <c r="J5" s="17">
        <v>3503</v>
      </c>
      <c r="L5" s="19">
        <f t="shared" si="1"/>
        <v>0.65034865520799456</v>
      </c>
      <c r="N5" s="20">
        <v>11.797568478260869</v>
      </c>
    </row>
    <row r="6" spans="2:14" x14ac:dyDescent="0.45">
      <c r="B6" s="2">
        <f>+B5+7</f>
        <v>45964</v>
      </c>
      <c r="D6">
        <v>50</v>
      </c>
      <c r="E6" t="s">
        <v>28</v>
      </c>
      <c r="F6" s="17">
        <v>13650</v>
      </c>
      <c r="H6" s="18">
        <f t="shared" si="0"/>
        <v>194.83300028546958</v>
      </c>
      <c r="I6" t="s">
        <v>29</v>
      </c>
      <c r="J6" s="17">
        <v>3503</v>
      </c>
      <c r="L6" s="19">
        <f t="shared" si="1"/>
        <v>0.66970651512727519</v>
      </c>
      <c r="N6" s="20">
        <v>11.797568478260869</v>
      </c>
    </row>
    <row r="7" spans="2:14" x14ac:dyDescent="0.45">
      <c r="B7" s="2">
        <f>+B6+7</f>
        <v>45971</v>
      </c>
      <c r="D7">
        <v>50</v>
      </c>
      <c r="E7" t="s">
        <v>28</v>
      </c>
      <c r="F7" s="17">
        <v>12800</v>
      </c>
      <c r="H7" s="18">
        <f t="shared" si="0"/>
        <v>182.70054239223523</v>
      </c>
      <c r="I7" t="s">
        <v>29</v>
      </c>
      <c r="J7" s="17">
        <v>3503</v>
      </c>
      <c r="L7" s="19">
        <f t="shared" si="1"/>
        <v>0.69027424129151083</v>
      </c>
      <c r="N7" s="20">
        <v>11.797568478260869</v>
      </c>
    </row>
    <row r="8" spans="2:14" ht="14.65" thickBot="1" x14ac:dyDescent="0.5">
      <c r="B8" s="21">
        <f>+B7+7</f>
        <v>45978</v>
      </c>
      <c r="C8" s="22"/>
      <c r="D8" s="22">
        <v>50</v>
      </c>
      <c r="E8" s="22" t="s">
        <v>28</v>
      </c>
      <c r="F8" s="23">
        <v>12000</v>
      </c>
      <c r="G8" s="22"/>
      <c r="H8" s="24">
        <f t="shared" si="0"/>
        <v>171.28175849272051</v>
      </c>
      <c r="I8" s="22" t="s">
        <v>29</v>
      </c>
      <c r="J8" s="23">
        <v>3503</v>
      </c>
      <c r="K8" s="22"/>
      <c r="L8" s="25">
        <f t="shared" si="1"/>
        <v>0.70963210121079134</v>
      </c>
      <c r="M8" s="22"/>
      <c r="N8" s="26">
        <v>11.797568478260869</v>
      </c>
    </row>
    <row r="9" spans="2:14" x14ac:dyDescent="0.45">
      <c r="B9" s="16" t="s">
        <v>20</v>
      </c>
      <c r="C9" s="16"/>
      <c r="D9" s="16">
        <f>+SUM(D3:D8)</f>
        <v>500</v>
      </c>
      <c r="E9" s="16"/>
      <c r="F9" s="27">
        <f>+SUMPRODUCT(D3:D8,F3:F8)/D9</f>
        <v>14870</v>
      </c>
      <c r="G9" s="16"/>
      <c r="H9" s="28">
        <f>+SUM(H3:H8)</f>
        <v>2122.4664573222954</v>
      </c>
      <c r="I9" s="16"/>
      <c r="J9" s="27">
        <f>+SUMPRODUCT(H3:H8,J3:J8)/H9</f>
        <v>3502.9999999999995</v>
      </c>
      <c r="K9" s="16"/>
      <c r="L9" s="16"/>
    </row>
    <row r="10" spans="2:14" x14ac:dyDescent="0.45">
      <c r="B10" s="16"/>
      <c r="C10" s="16"/>
      <c r="D10" s="16"/>
      <c r="E10" s="16"/>
      <c r="F10" s="27"/>
      <c r="G10" s="16"/>
      <c r="H10" s="16"/>
      <c r="I10" s="16"/>
      <c r="J10" s="27"/>
      <c r="K10" s="16"/>
      <c r="L10" s="16"/>
    </row>
    <row r="11" spans="2:14" x14ac:dyDescent="0.45">
      <c r="B11" s="16"/>
      <c r="C11" s="16"/>
      <c r="D11" s="16"/>
      <c r="E11" s="16"/>
      <c r="F11" s="27"/>
      <c r="G11" s="16"/>
      <c r="H11" s="16"/>
      <c r="I11" s="16"/>
      <c r="J11" s="27"/>
      <c r="K11" s="16"/>
      <c r="L11" s="16"/>
    </row>
    <row r="12" spans="2:14" x14ac:dyDescent="0.45">
      <c r="B12" s="16" t="s">
        <v>31</v>
      </c>
      <c r="C12" s="29">
        <f>+(F8-F9)*D9</f>
        <v>-1435000</v>
      </c>
      <c r="D12" s="16"/>
      <c r="E12" s="16"/>
      <c r="F12" s="27"/>
      <c r="G12" s="16"/>
      <c r="H12" s="16"/>
      <c r="I12" s="16"/>
      <c r="J12" s="27"/>
      <c r="K12" s="16"/>
      <c r="L12" s="16"/>
    </row>
    <row r="13" spans="2:14" x14ac:dyDescent="0.45">
      <c r="B13" s="16" t="s">
        <v>32</v>
      </c>
      <c r="C13" s="30">
        <f>+(J9-J8)*H9</f>
        <v>-9.6518599881269227E-10</v>
      </c>
      <c r="D13" s="16"/>
      <c r="E13" s="16"/>
      <c r="F13" s="27"/>
      <c r="G13" s="16"/>
      <c r="H13" s="16"/>
      <c r="I13" s="16"/>
      <c r="J13" s="27"/>
      <c r="K13" s="16"/>
      <c r="L13" s="16"/>
    </row>
    <row r="14" spans="2:14" x14ac:dyDescent="0.45">
      <c r="B14" s="16" t="s">
        <v>23</v>
      </c>
      <c r="C14" s="29">
        <f>+C12+C13</f>
        <v>-1435000.0000000009</v>
      </c>
      <c r="D14" s="16"/>
      <c r="E14" s="16"/>
      <c r="F14" s="27"/>
      <c r="G14" s="16"/>
      <c r="H14" s="16"/>
      <c r="I14" s="16"/>
      <c r="J14" s="27"/>
      <c r="K14" s="16"/>
      <c r="L14" s="16"/>
    </row>
    <row r="15" spans="2:14" x14ac:dyDescent="0.45">
      <c r="L15" s="16"/>
      <c r="M15" s="27"/>
    </row>
    <row r="19" spans="2:6" x14ac:dyDescent="0.45">
      <c r="D19" t="s">
        <v>13</v>
      </c>
      <c r="E19" t="s">
        <v>33</v>
      </c>
      <c r="F19" s="16" t="s">
        <v>26</v>
      </c>
    </row>
    <row r="20" spans="2:6" x14ac:dyDescent="0.45">
      <c r="B20" t="s">
        <v>26</v>
      </c>
      <c r="D20" s="31">
        <f>+D9*F9</f>
        <v>7435000</v>
      </c>
      <c r="E20" s="31"/>
      <c r="F20" s="32">
        <f>+D20+E20</f>
        <v>7435000</v>
      </c>
    </row>
    <row r="22" spans="2:6" x14ac:dyDescent="0.45">
      <c r="B22" s="16" t="s">
        <v>27</v>
      </c>
      <c r="F22" s="33">
        <f>+C14/F20</f>
        <v>-0.19300605245460672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9CB33-2F3E-453C-9D7A-4F96F341141E}">
  <dimension ref="A2:O38"/>
  <sheetViews>
    <sheetView showGridLines="0" workbookViewId="0">
      <selection activeCell="K28" sqref="K28"/>
    </sheetView>
  </sheetViews>
  <sheetFormatPr defaultRowHeight="14.25" x14ac:dyDescent="0.45"/>
  <cols>
    <col min="1" max="1" width="9.06640625" style="1"/>
    <col min="2" max="2" width="16.33203125" style="1" bestFit="1" customWidth="1"/>
    <col min="3" max="3" width="11" style="1" bestFit="1" customWidth="1"/>
    <col min="4" max="4" width="10.265625" style="1" bestFit="1" customWidth="1"/>
    <col min="5" max="5" width="12.796875" style="1" bestFit="1" customWidth="1"/>
    <col min="6" max="6" width="14.06640625" style="1" bestFit="1" customWidth="1"/>
    <col min="7" max="8" width="9.06640625" style="1"/>
    <col min="9" max="9" width="17.06640625" style="1" bestFit="1" customWidth="1"/>
    <col min="10" max="11" width="9.06640625" style="1"/>
    <col min="12" max="12" width="14.53125" style="1" bestFit="1" customWidth="1"/>
    <col min="13" max="13" width="9.06640625" style="1"/>
    <col min="14" max="14" width="35.796875" style="1" customWidth="1"/>
    <col min="15" max="16384" width="9.06640625" style="1"/>
  </cols>
  <sheetData>
    <row r="2" spans="1:15" x14ac:dyDescent="0.45">
      <c r="A2" s="1" t="s">
        <v>34</v>
      </c>
      <c r="D2" s="12" t="s">
        <v>15</v>
      </c>
      <c r="E2" s="12"/>
      <c r="F2" s="12" t="s">
        <v>16</v>
      </c>
      <c r="G2" s="12"/>
      <c r="H2" s="12" t="s">
        <v>17</v>
      </c>
      <c r="I2" s="12"/>
      <c r="J2" s="12" t="s">
        <v>16</v>
      </c>
      <c r="K2" s="12"/>
      <c r="L2" s="12" t="s">
        <v>18</v>
      </c>
      <c r="M2" s="12"/>
      <c r="N2" s="12" t="s">
        <v>36</v>
      </c>
    </row>
    <row r="3" spans="1:15" x14ac:dyDescent="0.45">
      <c r="B3" s="2">
        <v>45943</v>
      </c>
      <c r="D3" s="1">
        <v>250</v>
      </c>
      <c r="E3" t="s">
        <v>28</v>
      </c>
      <c r="F3" s="17">
        <v>16100</v>
      </c>
      <c r="G3"/>
      <c r="H3" s="18">
        <f t="shared" ref="H3:H8" si="0">+(F3/J3)*D3</f>
        <v>1149.0151298886669</v>
      </c>
      <c r="I3" t="s">
        <v>29</v>
      </c>
      <c r="J3" s="17">
        <v>3503</v>
      </c>
      <c r="K3"/>
      <c r="L3" s="19">
        <f>+ 1 - ((F3/J3)/N3)</f>
        <v>0.61042306912447841</v>
      </c>
      <c r="M3"/>
      <c r="N3" s="20">
        <f>+'TVS Comparison'!J3/'TVS Comparison'!G3</f>
        <v>11.797568478260869</v>
      </c>
      <c r="O3"/>
    </row>
    <row r="4" spans="1:15" x14ac:dyDescent="0.45">
      <c r="B4" s="2">
        <f>+B3+7</f>
        <v>45950</v>
      </c>
      <c r="D4" s="1">
        <v>50</v>
      </c>
      <c r="E4" t="s">
        <v>28</v>
      </c>
      <c r="F4" s="17">
        <v>15300</v>
      </c>
      <c r="G4"/>
      <c r="H4" s="18">
        <f t="shared" si="0"/>
        <v>218.38424207821868</v>
      </c>
      <c r="I4" t="s">
        <v>29</v>
      </c>
      <c r="J4" s="17">
        <v>3503</v>
      </c>
      <c r="K4"/>
      <c r="L4" s="19">
        <f t="shared" ref="L4:L8" si="1">+ 1 - ((F4/J4)/N4)</f>
        <v>0.62978092904375893</v>
      </c>
      <c r="M4"/>
      <c r="N4" s="20">
        <v>11.797568478260869</v>
      </c>
      <c r="O4"/>
    </row>
    <row r="5" spans="1:15" x14ac:dyDescent="0.45">
      <c r="B5" s="2">
        <f>+B4+7</f>
        <v>45957</v>
      </c>
      <c r="D5" s="1">
        <v>50</v>
      </c>
      <c r="E5" t="s">
        <v>28</v>
      </c>
      <c r="F5" s="17">
        <v>14450</v>
      </c>
      <c r="G5"/>
      <c r="H5" s="18">
        <f t="shared" si="0"/>
        <v>206.25178418498427</v>
      </c>
      <c r="I5" t="s">
        <v>29</v>
      </c>
      <c r="J5" s="17">
        <v>3503</v>
      </c>
      <c r="K5"/>
      <c r="L5" s="19">
        <f t="shared" si="1"/>
        <v>0.65034865520799456</v>
      </c>
      <c r="M5"/>
      <c r="N5" s="20">
        <v>11.797568478260869</v>
      </c>
      <c r="O5"/>
    </row>
    <row r="6" spans="1:15" x14ac:dyDescent="0.45">
      <c r="B6" s="2">
        <f>+B5+7</f>
        <v>45964</v>
      </c>
      <c r="D6" s="1">
        <v>50</v>
      </c>
      <c r="E6" t="s">
        <v>28</v>
      </c>
      <c r="F6" s="17">
        <v>13650</v>
      </c>
      <c r="G6"/>
      <c r="H6" s="18">
        <f t="shared" si="0"/>
        <v>194.83300028546958</v>
      </c>
      <c r="I6" t="s">
        <v>29</v>
      </c>
      <c r="J6" s="17">
        <v>3503</v>
      </c>
      <c r="K6"/>
      <c r="L6" s="19">
        <f t="shared" si="1"/>
        <v>0.66970651512727519</v>
      </c>
      <c r="M6"/>
      <c r="N6" s="20">
        <v>11.797568478260869</v>
      </c>
      <c r="O6"/>
    </row>
    <row r="7" spans="1:15" x14ac:dyDescent="0.45">
      <c r="B7" s="2">
        <f>+B6+7</f>
        <v>45971</v>
      </c>
      <c r="D7" s="1">
        <v>50</v>
      </c>
      <c r="E7" t="s">
        <v>28</v>
      </c>
      <c r="F7" s="17">
        <v>12800</v>
      </c>
      <c r="G7"/>
      <c r="H7" s="18">
        <f t="shared" si="0"/>
        <v>182.70054239223523</v>
      </c>
      <c r="I7" t="s">
        <v>29</v>
      </c>
      <c r="J7" s="17">
        <v>3503</v>
      </c>
      <c r="K7"/>
      <c r="L7" s="19">
        <f t="shared" si="1"/>
        <v>0.69027424129151083</v>
      </c>
      <c r="M7"/>
      <c r="N7" s="20">
        <v>11.797568478260869</v>
      </c>
      <c r="O7"/>
    </row>
    <row r="8" spans="1:15" ht="14.65" thickBot="1" x14ac:dyDescent="0.5">
      <c r="B8" s="21">
        <f>+B7+7</f>
        <v>45978</v>
      </c>
      <c r="C8" s="5"/>
      <c r="D8" s="5">
        <v>50</v>
      </c>
      <c r="E8" s="22" t="s">
        <v>28</v>
      </c>
      <c r="F8" s="23">
        <v>12000</v>
      </c>
      <c r="G8" s="22"/>
      <c r="H8" s="24">
        <f t="shared" si="0"/>
        <v>171.28175849272051</v>
      </c>
      <c r="I8" s="22" t="s">
        <v>29</v>
      </c>
      <c r="J8" s="23">
        <v>3503</v>
      </c>
      <c r="K8" s="22"/>
      <c r="L8" s="25">
        <f t="shared" si="1"/>
        <v>0.70963210121079134</v>
      </c>
      <c r="M8" s="22"/>
      <c r="N8" s="26">
        <v>11.797568478260869</v>
      </c>
      <c r="O8"/>
    </row>
    <row r="9" spans="1:15" x14ac:dyDescent="0.45">
      <c r="B9" s="12" t="s">
        <v>20</v>
      </c>
      <c r="C9" s="12"/>
      <c r="D9" s="12">
        <f>+SUM(D3:D8)</f>
        <v>500</v>
      </c>
      <c r="E9" s="12"/>
      <c r="F9" s="37">
        <f>+SUMPRODUCT(D3:D8,F3:F8)/D9</f>
        <v>14870</v>
      </c>
      <c r="G9" s="12"/>
      <c r="H9" s="38">
        <f>+SUM(H3:H8)</f>
        <v>2122.4664573222954</v>
      </c>
      <c r="I9" s="12"/>
      <c r="J9" s="37">
        <f>+SUMPRODUCT(H3:H8,J3:J8)/H9</f>
        <v>3502.9999999999995</v>
      </c>
      <c r="K9" s="12"/>
      <c r="L9" s="12"/>
    </row>
    <row r="10" spans="1:15" x14ac:dyDescent="0.45">
      <c r="B10" s="12"/>
      <c r="C10" s="12"/>
      <c r="D10" s="12"/>
      <c r="E10" s="12"/>
      <c r="F10" s="37"/>
      <c r="G10" s="12"/>
      <c r="H10" s="12"/>
      <c r="I10" s="12"/>
      <c r="J10" s="37"/>
      <c r="K10" s="12"/>
      <c r="L10" s="12"/>
    </row>
    <row r="11" spans="1:15" x14ac:dyDescent="0.45">
      <c r="B11" s="12"/>
      <c r="C11" s="12"/>
      <c r="D11" s="12"/>
      <c r="E11" s="12"/>
      <c r="F11" s="37"/>
      <c r="G11" s="12"/>
      <c r="H11" s="12"/>
      <c r="I11" s="12"/>
      <c r="J11" s="37"/>
      <c r="K11" s="12"/>
      <c r="L11" s="12"/>
    </row>
    <row r="12" spans="1:15" x14ac:dyDescent="0.45">
      <c r="B12" s="12"/>
      <c r="C12" s="12"/>
      <c r="D12" s="12" t="s">
        <v>35</v>
      </c>
      <c r="E12" s="12"/>
      <c r="F12" s="12" t="s">
        <v>16</v>
      </c>
      <c r="G12" s="12"/>
      <c r="H12" s="12" t="s">
        <v>17</v>
      </c>
      <c r="I12" s="12"/>
      <c r="J12" s="12" t="s">
        <v>16</v>
      </c>
      <c r="K12" s="12"/>
      <c r="L12" s="12" t="s">
        <v>18</v>
      </c>
      <c r="M12" s="12"/>
      <c r="N12" s="12" t="s">
        <v>19</v>
      </c>
    </row>
    <row r="13" spans="1:15" x14ac:dyDescent="0.45">
      <c r="B13" s="2">
        <v>45984</v>
      </c>
      <c r="D13" s="39">
        <v>-50</v>
      </c>
      <c r="E13" s="1" t="s">
        <v>28</v>
      </c>
      <c r="F13" s="17">
        <v>16100</v>
      </c>
      <c r="H13" s="39">
        <f>+(D13/$D$9)*$H$9</f>
        <v>-212.24664573222955</v>
      </c>
      <c r="I13" s="1" t="s">
        <v>29</v>
      </c>
      <c r="J13" s="3">
        <v>3503</v>
      </c>
      <c r="L13" s="34">
        <f t="shared" ref="L13:L18" si="2">+ 1 - ((F13/J13)/N13)</f>
        <v>0.61042306912447841</v>
      </c>
      <c r="N13" s="20">
        <f>+'TVS Comparison'!J13/'TVS Comparison'!G13</f>
        <v>11.797568478260869</v>
      </c>
    </row>
    <row r="14" spans="1:15" x14ac:dyDescent="0.45">
      <c r="B14" s="2">
        <f>+B13+7</f>
        <v>45991</v>
      </c>
      <c r="C14" s="12"/>
      <c r="D14" s="39">
        <v>-50</v>
      </c>
      <c r="E14" s="1" t="s">
        <v>28</v>
      </c>
      <c r="F14" s="3">
        <v>17350</v>
      </c>
      <c r="H14" s="39">
        <f t="shared" ref="H14:H18" si="3">+(D14/$D$9)*$H$9</f>
        <v>-212.24664573222955</v>
      </c>
      <c r="I14" s="1" t="s">
        <v>29</v>
      </c>
      <c r="J14" s="3">
        <v>3503</v>
      </c>
      <c r="L14" s="34">
        <f t="shared" si="2"/>
        <v>0.58017641300060252</v>
      </c>
      <c r="N14" s="20">
        <v>11.797568478260869</v>
      </c>
    </row>
    <row r="15" spans="1:15" x14ac:dyDescent="0.45">
      <c r="B15" s="2">
        <f>+B14+7</f>
        <v>45998</v>
      </c>
      <c r="C15" s="12"/>
      <c r="D15" s="39">
        <v>-50</v>
      </c>
      <c r="E15" s="1" t="s">
        <v>28</v>
      </c>
      <c r="F15" s="3">
        <v>18600</v>
      </c>
      <c r="H15" s="39">
        <f t="shared" si="3"/>
        <v>-212.24664573222955</v>
      </c>
      <c r="I15" s="1" t="s">
        <v>29</v>
      </c>
      <c r="J15" s="3">
        <v>3503</v>
      </c>
      <c r="L15" s="34">
        <f t="shared" si="2"/>
        <v>0.54992975687672652</v>
      </c>
      <c r="N15" s="20">
        <v>11.797568478260869</v>
      </c>
    </row>
    <row r="16" spans="1:15" x14ac:dyDescent="0.45">
      <c r="B16" s="2">
        <f>+B15+7</f>
        <v>46005</v>
      </c>
      <c r="C16" s="12"/>
      <c r="D16" s="39">
        <v>-100</v>
      </c>
      <c r="E16" s="1" t="s">
        <v>28</v>
      </c>
      <c r="F16" s="3">
        <v>19850</v>
      </c>
      <c r="H16" s="39">
        <f t="shared" si="3"/>
        <v>-424.49329146445911</v>
      </c>
      <c r="I16" s="1" t="s">
        <v>29</v>
      </c>
      <c r="J16" s="3">
        <v>3503</v>
      </c>
      <c r="L16" s="34">
        <f t="shared" si="2"/>
        <v>0.51968310075285062</v>
      </c>
      <c r="N16" s="20">
        <v>11.797568478260869</v>
      </c>
    </row>
    <row r="17" spans="2:14" x14ac:dyDescent="0.45">
      <c r="B17" s="2">
        <f>+B16+7</f>
        <v>46012</v>
      </c>
      <c r="C17" s="12"/>
      <c r="D17" s="39">
        <v>-100</v>
      </c>
      <c r="E17" s="1" t="s">
        <v>28</v>
      </c>
      <c r="F17" s="3">
        <v>21075</v>
      </c>
      <c r="H17" s="39">
        <f t="shared" si="3"/>
        <v>-424.49329146445911</v>
      </c>
      <c r="I17" s="1" t="s">
        <v>29</v>
      </c>
      <c r="J17" s="3">
        <v>3503</v>
      </c>
      <c r="L17" s="34">
        <f t="shared" si="2"/>
        <v>0.49004137775145229</v>
      </c>
      <c r="N17" s="20">
        <v>11.797568478260869</v>
      </c>
    </row>
    <row r="18" spans="2:14" ht="14.65" thickBot="1" x14ac:dyDescent="0.5">
      <c r="B18" s="21">
        <f>+B17+7</f>
        <v>46019</v>
      </c>
      <c r="C18" s="40"/>
      <c r="D18" s="41">
        <v>-150</v>
      </c>
      <c r="E18" s="5" t="s">
        <v>28</v>
      </c>
      <c r="F18" s="35">
        <v>22300</v>
      </c>
      <c r="G18" s="5"/>
      <c r="H18" s="41">
        <f t="shared" si="3"/>
        <v>-636.73993719668863</v>
      </c>
      <c r="I18" s="5" t="s">
        <v>29</v>
      </c>
      <c r="J18" s="35">
        <v>3503</v>
      </c>
      <c r="K18" s="5"/>
      <c r="L18" s="36">
        <f t="shared" si="2"/>
        <v>0.46039965475005395</v>
      </c>
      <c r="M18" s="5"/>
      <c r="N18" s="26">
        <v>11.797568478260869</v>
      </c>
    </row>
    <row r="19" spans="2:14" x14ac:dyDescent="0.45">
      <c r="B19" s="12" t="s">
        <v>20</v>
      </c>
      <c r="C19" s="12"/>
      <c r="D19" s="12">
        <f>+SUM(D13:D18)</f>
        <v>-500</v>
      </c>
      <c r="E19" s="12"/>
      <c r="F19" s="37">
        <f>+SUMPRODUCT(D13:D18,F13:F18)/D19</f>
        <v>20080</v>
      </c>
      <c r="G19" s="12"/>
      <c r="H19" s="38">
        <f>+SUM(H13:H18)</f>
        <v>-2122.4664573222954</v>
      </c>
      <c r="I19" s="12"/>
      <c r="J19" s="37">
        <f>+SUMPRODUCT(H13:H18,J13:J18)/H19</f>
        <v>3503.0000000000005</v>
      </c>
      <c r="K19" s="12"/>
      <c r="L19" s="12"/>
    </row>
    <row r="20" spans="2:14" x14ac:dyDescent="0.45">
      <c r="B20" s="12"/>
      <c r="C20" s="12"/>
      <c r="D20" s="12"/>
      <c r="E20" s="12"/>
      <c r="F20" s="37"/>
      <c r="G20" s="12"/>
      <c r="H20" s="12"/>
      <c r="I20" s="12"/>
      <c r="J20" s="37"/>
      <c r="K20" s="12"/>
      <c r="L20" s="12"/>
    </row>
    <row r="21" spans="2:14" x14ac:dyDescent="0.45">
      <c r="B21" s="12"/>
      <c r="C21" s="12"/>
      <c r="D21" s="12"/>
      <c r="E21" s="12"/>
      <c r="F21" s="47"/>
      <c r="G21" s="12"/>
      <c r="H21" s="12"/>
      <c r="I21" s="12"/>
      <c r="J21" s="37"/>
      <c r="K21" s="12"/>
      <c r="L21" s="12"/>
    </row>
    <row r="22" spans="2:14" x14ac:dyDescent="0.45">
      <c r="B22" s="12"/>
      <c r="C22" s="12"/>
      <c r="D22" s="12"/>
      <c r="E22" s="12"/>
      <c r="F22" s="47"/>
      <c r="G22" s="12"/>
      <c r="H22" s="12"/>
      <c r="I22" s="12"/>
      <c r="J22" s="37"/>
      <c r="K22" s="12"/>
      <c r="L22" s="12"/>
    </row>
    <row r="23" spans="2:14" x14ac:dyDescent="0.45">
      <c r="B23" s="12"/>
      <c r="C23" s="12"/>
      <c r="D23" s="12"/>
      <c r="E23" s="12"/>
      <c r="F23" s="47"/>
      <c r="G23" s="12"/>
      <c r="H23" s="12"/>
      <c r="I23" s="12"/>
      <c r="J23" s="37"/>
      <c r="K23" s="12"/>
      <c r="L23" s="12"/>
    </row>
    <row r="24" spans="2:14" x14ac:dyDescent="0.45">
      <c r="B24" s="12"/>
      <c r="C24" s="12"/>
      <c r="D24" s="12"/>
      <c r="E24" s="12"/>
      <c r="F24" s="47"/>
      <c r="G24" s="12"/>
      <c r="H24" s="12"/>
      <c r="I24" s="12"/>
      <c r="J24" s="37"/>
      <c r="K24" s="12"/>
      <c r="L24" s="12"/>
    </row>
    <row r="25" spans="2:14" x14ac:dyDescent="0.45">
      <c r="B25" s="12"/>
      <c r="C25" s="12"/>
      <c r="D25" s="12"/>
      <c r="E25" s="12"/>
      <c r="F25" s="47"/>
      <c r="G25" s="12"/>
      <c r="H25" s="12"/>
      <c r="I25" s="12"/>
      <c r="J25" s="37"/>
      <c r="K25" s="12"/>
      <c r="L25" s="12"/>
    </row>
    <row r="26" spans="2:14" x14ac:dyDescent="0.45">
      <c r="B26" s="12"/>
      <c r="C26" s="12"/>
      <c r="D26" s="12"/>
      <c r="E26" s="12"/>
      <c r="F26" s="47"/>
      <c r="G26" s="12"/>
      <c r="H26" s="12"/>
      <c r="I26" s="12"/>
      <c r="J26" s="37"/>
      <c r="K26" s="12"/>
      <c r="L26" s="12"/>
    </row>
    <row r="27" spans="2:14" x14ac:dyDescent="0.45">
      <c r="B27" s="12"/>
      <c r="C27" s="12"/>
      <c r="D27" s="12"/>
      <c r="E27" s="12"/>
      <c r="F27" s="37"/>
      <c r="G27" s="12"/>
      <c r="H27" s="12"/>
      <c r="I27" s="12"/>
      <c r="J27" s="37"/>
      <c r="K27" s="12"/>
      <c r="L27" s="12"/>
    </row>
    <row r="28" spans="2:14" x14ac:dyDescent="0.45">
      <c r="B28" s="12" t="s">
        <v>21</v>
      </c>
      <c r="C28" s="42">
        <f>+-(D9*F9)-(D19*F19)</f>
        <v>2605000</v>
      </c>
      <c r="D28" s="12"/>
      <c r="E28" s="12"/>
      <c r="F28" s="37"/>
      <c r="G28" s="12"/>
      <c r="H28" s="12"/>
      <c r="I28" s="12"/>
      <c r="J28" s="37"/>
      <c r="K28" s="12"/>
      <c r="L28" s="12"/>
    </row>
    <row r="29" spans="2:14" x14ac:dyDescent="0.45">
      <c r="B29" s="12" t="s">
        <v>22</v>
      </c>
      <c r="C29" s="43">
        <f>+(H9*J9)+(H19*J19)</f>
        <v>0</v>
      </c>
      <c r="D29" s="12"/>
      <c r="E29" s="12"/>
      <c r="F29" s="37"/>
      <c r="G29" s="12"/>
      <c r="H29" s="12"/>
      <c r="I29" s="12"/>
      <c r="J29" s="37"/>
      <c r="K29" s="12"/>
      <c r="L29" s="12"/>
    </row>
    <row r="30" spans="2:14" x14ac:dyDescent="0.45">
      <c r="B30" s="12" t="s">
        <v>23</v>
      </c>
      <c r="C30" s="42">
        <f>+C28+C29</f>
        <v>2605000</v>
      </c>
      <c r="D30" s="12"/>
      <c r="E30" s="12"/>
      <c r="F30" s="37"/>
      <c r="G30" s="12"/>
      <c r="H30" s="12"/>
      <c r="I30" s="12"/>
      <c r="J30" s="37"/>
      <c r="K30" s="12"/>
      <c r="L30" s="12"/>
    </row>
    <row r="31" spans="2:14" x14ac:dyDescent="0.45">
      <c r="L31" s="12"/>
      <c r="M31" s="37"/>
    </row>
    <row r="35" spans="2:6" x14ac:dyDescent="0.45">
      <c r="D35" t="s">
        <v>24</v>
      </c>
      <c r="E35" t="s">
        <v>25</v>
      </c>
      <c r="F35" s="12" t="s">
        <v>26</v>
      </c>
    </row>
    <row r="36" spans="2:6" x14ac:dyDescent="0.45">
      <c r="B36" s="1" t="s">
        <v>26</v>
      </c>
      <c r="D36" s="44">
        <f>+D9*F9</f>
        <v>7435000</v>
      </c>
      <c r="E36" s="44"/>
      <c r="F36" s="45">
        <f>+D36+E36</f>
        <v>7435000</v>
      </c>
    </row>
    <row r="38" spans="2:6" x14ac:dyDescent="0.45">
      <c r="B38" s="12" t="s">
        <v>27</v>
      </c>
      <c r="F38" s="46">
        <f>+C30/F36</f>
        <v>0.35036987222595828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TVS Comparison</vt:lpstr>
      <vt:lpstr>Entry Simulation</vt:lpstr>
      <vt:lpstr>Exit Simulation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Ronit Kothari</cp:lastModifiedBy>
  <dcterms:created xsi:type="dcterms:W3CDTF">2025-10-09T10:54:41Z</dcterms:created>
  <dcterms:modified xsi:type="dcterms:W3CDTF">2025-11-16T10:39:17Z</dcterms:modified>
</cp:coreProperties>
</file>